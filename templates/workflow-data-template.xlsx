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smnoc.sharepoint.com/sites/ImplementationCustomers/Shared Documents/Project Document Templates/Purchase Documents/"/>
    </mc:Choice>
  </mc:AlternateContent>
  <xr:revisionPtr revIDLastSave="5" documentId="11_2889B27C31ED67F788A85BD6BFCD341E216E3112" xr6:coauthVersionLast="47" xr6:coauthVersionMax="47" xr10:uidLastSave="{723673A6-4DEF-43CD-8AA9-33FA5348180B}"/>
  <bookViews>
    <workbookView xWindow="-28920" yWindow="-1185" windowWidth="29040" windowHeight="17520" tabRatio="615" activeTab="2" xr2:uid="{00000000-000D-0000-FFFF-FFFF00000000}"/>
  </bookViews>
  <sheets>
    <sheet name="Instructions" sheetId="1" r:id="rId1"/>
    <sheet name="Step 1 - Budget Manager" sheetId="2" r:id="rId2"/>
    <sheet name="Step 2 - Special" sheetId="3" r:id="rId3"/>
    <sheet name="Step 3 - Dean-Director-AVP" sheetId="4" r:id="rId4"/>
    <sheet name="Step 4 - Vice President" sheetId="5" r:id="rId5"/>
    <sheet name="Step 5 - President" sheetId="6" r:id="rId6"/>
    <sheet name="Step 6 - Purchasing" sheetId="7" r:id="rId7"/>
    <sheet name="Step 7 - Dept Head" sheetId="8" r:id="rId8"/>
    <sheet name="Step 8 - Controller" sheetId="9" r:id="rId9"/>
    <sheet name="Step 9 - CFO" sheetId="10" r:id="rId10"/>
    <sheet name="Step 10 - Provost" sheetId="11" r:id="rId11"/>
    <sheet name="Step 11 - Board" sheetId="12" r:id="rId12"/>
    <sheet name="Step 12 - Legal" sheetId="13" r:id="rId13"/>
    <sheet name="Step 13 - Compliance" sheetId="14" r:id="rId14"/>
    <sheet name="Step 14 - IT Review" sheetId="15" r:id="rId15"/>
    <sheet name="Step 15 - Final Approval" sheetId="16" r:id="rId16"/>
    <sheet name="ESM Import (SC Use)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M757" i="17" l="1"/>
  <c r="AL757" i="17"/>
  <c r="AK757" i="17"/>
  <c r="AJ757" i="17"/>
  <c r="AI757" i="17"/>
  <c r="AH757" i="17"/>
  <c r="AG757" i="17"/>
  <c r="AF757" i="17"/>
  <c r="AE757" i="17"/>
  <c r="AD757" i="17"/>
  <c r="AC757" i="17"/>
  <c r="AB757" i="17"/>
  <c r="AA757" i="17"/>
  <c r="Z757" i="17"/>
  <c r="Y757" i="17"/>
  <c r="X757" i="17"/>
  <c r="W757" i="17"/>
  <c r="V757" i="17"/>
  <c r="U757" i="17"/>
  <c r="T757" i="17"/>
  <c r="S757" i="17"/>
  <c r="R757" i="17"/>
  <c r="Q757" i="17"/>
  <c r="P757" i="17"/>
  <c r="O757" i="17"/>
  <c r="N757" i="17"/>
  <c r="M757" i="17"/>
  <c r="L757" i="17"/>
  <c r="K757" i="17"/>
  <c r="J757" i="17"/>
  <c r="I757" i="17"/>
  <c r="H757" i="17"/>
  <c r="G757" i="17"/>
  <c r="F757" i="17"/>
  <c r="E757" i="17"/>
  <c r="D757" i="17"/>
  <c r="C757" i="17"/>
  <c r="B757" i="17"/>
  <c r="A757" i="17"/>
  <c r="AM756" i="17"/>
  <c r="AL756" i="17"/>
  <c r="AK756" i="17"/>
  <c r="AJ756" i="17"/>
  <c r="AI756" i="17"/>
  <c r="AH756" i="17"/>
  <c r="AG756" i="17"/>
  <c r="AF756" i="17"/>
  <c r="AE756" i="17"/>
  <c r="AD756" i="17"/>
  <c r="AC756" i="17"/>
  <c r="AB756" i="17"/>
  <c r="AA756" i="17"/>
  <c r="Z756" i="17"/>
  <c r="Y756" i="17"/>
  <c r="X756" i="17"/>
  <c r="W756" i="17"/>
  <c r="V756" i="17"/>
  <c r="U756" i="17"/>
  <c r="T756" i="17"/>
  <c r="S756" i="17"/>
  <c r="R756" i="17"/>
  <c r="Q756" i="17"/>
  <c r="P756" i="17"/>
  <c r="O756" i="17"/>
  <c r="N756" i="17"/>
  <c r="M756" i="17"/>
  <c r="L756" i="17"/>
  <c r="K756" i="17"/>
  <c r="J756" i="17"/>
  <c r="I756" i="17"/>
  <c r="H756" i="17"/>
  <c r="G756" i="17"/>
  <c r="F756" i="17"/>
  <c r="E756" i="17"/>
  <c r="D756" i="17"/>
  <c r="C756" i="17"/>
  <c r="B756" i="17"/>
  <c r="A756" i="17"/>
  <c r="AM755" i="17"/>
  <c r="AL755" i="17"/>
  <c r="AK755" i="17"/>
  <c r="AJ755" i="17"/>
  <c r="AI755" i="17"/>
  <c r="AH755" i="17"/>
  <c r="AG755" i="17"/>
  <c r="AF755" i="17"/>
  <c r="AE755" i="17"/>
  <c r="AD755" i="17"/>
  <c r="AC755" i="17"/>
  <c r="AB755" i="17"/>
  <c r="AA755" i="17"/>
  <c r="Z755" i="17"/>
  <c r="Y755" i="17"/>
  <c r="X755" i="17"/>
  <c r="W755" i="17"/>
  <c r="V755" i="17"/>
  <c r="U755" i="17"/>
  <c r="T755" i="17"/>
  <c r="S755" i="17"/>
  <c r="R755" i="17"/>
  <c r="Q755" i="17"/>
  <c r="P755" i="17"/>
  <c r="O755" i="17"/>
  <c r="N755" i="17"/>
  <c r="M755" i="17"/>
  <c r="L755" i="17"/>
  <c r="K755" i="17"/>
  <c r="J755" i="17"/>
  <c r="I755" i="17"/>
  <c r="H755" i="17"/>
  <c r="G755" i="17"/>
  <c r="F755" i="17"/>
  <c r="E755" i="17"/>
  <c r="D755" i="17"/>
  <c r="C755" i="17"/>
  <c r="B755" i="17"/>
  <c r="A755" i="17"/>
  <c r="AM754" i="17"/>
  <c r="AL754" i="17"/>
  <c r="AK754" i="17"/>
  <c r="AJ754" i="17"/>
  <c r="AI754" i="17"/>
  <c r="AH754" i="17"/>
  <c r="AG754" i="17"/>
  <c r="AF754" i="17"/>
  <c r="AE754" i="17"/>
  <c r="AD754" i="17"/>
  <c r="AC754" i="17"/>
  <c r="AB754" i="17"/>
  <c r="AA754" i="17"/>
  <c r="Z754" i="17"/>
  <c r="Y754" i="17"/>
  <c r="X754" i="17"/>
  <c r="W754" i="17"/>
  <c r="V754" i="17"/>
  <c r="U754" i="17"/>
  <c r="T754" i="17"/>
  <c r="S754" i="17"/>
  <c r="R754" i="17"/>
  <c r="Q754" i="17"/>
  <c r="P754" i="17"/>
  <c r="O754" i="17"/>
  <c r="N754" i="17"/>
  <c r="M754" i="17"/>
  <c r="L754" i="17"/>
  <c r="K754" i="17"/>
  <c r="J754" i="17"/>
  <c r="I754" i="17"/>
  <c r="H754" i="17"/>
  <c r="G754" i="17"/>
  <c r="F754" i="17"/>
  <c r="E754" i="17"/>
  <c r="D754" i="17"/>
  <c r="C754" i="17"/>
  <c r="B754" i="17"/>
  <c r="A754" i="17"/>
  <c r="AM753" i="17"/>
  <c r="AL753" i="17"/>
  <c r="AK753" i="17"/>
  <c r="AJ753" i="17"/>
  <c r="AI753" i="17"/>
  <c r="AH753" i="17"/>
  <c r="AG753" i="17"/>
  <c r="AF753" i="17"/>
  <c r="AE753" i="17"/>
  <c r="AD753" i="17"/>
  <c r="AC753" i="17"/>
  <c r="AB753" i="17"/>
  <c r="AA753" i="17"/>
  <c r="Z753" i="17"/>
  <c r="Y753" i="17"/>
  <c r="X753" i="17"/>
  <c r="W753" i="17"/>
  <c r="V753" i="17"/>
  <c r="U753" i="17"/>
  <c r="T753" i="17"/>
  <c r="S753" i="17"/>
  <c r="R753" i="17"/>
  <c r="Q753" i="17"/>
  <c r="P753" i="17"/>
  <c r="O753" i="17"/>
  <c r="N753" i="17"/>
  <c r="M753" i="17"/>
  <c r="L753" i="17"/>
  <c r="K753" i="17"/>
  <c r="J753" i="17"/>
  <c r="I753" i="17"/>
  <c r="H753" i="17"/>
  <c r="G753" i="17"/>
  <c r="F753" i="17"/>
  <c r="E753" i="17"/>
  <c r="D753" i="17"/>
  <c r="C753" i="17"/>
  <c r="B753" i="17"/>
  <c r="A753" i="17"/>
  <c r="AM752" i="17"/>
  <c r="AL752" i="17"/>
  <c r="AK752" i="17"/>
  <c r="AJ752" i="17"/>
  <c r="AI752" i="17"/>
  <c r="AH752" i="17"/>
  <c r="AG752" i="17"/>
  <c r="AF752" i="17"/>
  <c r="AE752" i="17"/>
  <c r="AD752" i="17"/>
  <c r="AC752" i="17"/>
  <c r="AB752" i="17"/>
  <c r="AA752" i="17"/>
  <c r="Z752" i="17"/>
  <c r="Y752" i="17"/>
  <c r="X752" i="17"/>
  <c r="W752" i="17"/>
  <c r="V752" i="17"/>
  <c r="U752" i="17"/>
  <c r="T752" i="17"/>
  <c r="S752" i="17"/>
  <c r="R752" i="17"/>
  <c r="Q752" i="17"/>
  <c r="P752" i="17"/>
  <c r="O752" i="17"/>
  <c r="N752" i="17"/>
  <c r="M752" i="17"/>
  <c r="L752" i="17"/>
  <c r="K752" i="17"/>
  <c r="J752" i="17"/>
  <c r="I752" i="17"/>
  <c r="H752" i="17"/>
  <c r="G752" i="17"/>
  <c r="F752" i="17"/>
  <c r="E752" i="17"/>
  <c r="D752" i="17"/>
  <c r="C752" i="17"/>
  <c r="B752" i="17"/>
  <c r="A752" i="17"/>
  <c r="AM751" i="17"/>
  <c r="AL751" i="17"/>
  <c r="AK751" i="17"/>
  <c r="AJ751" i="17"/>
  <c r="AI751" i="17"/>
  <c r="AH751" i="17"/>
  <c r="AG751" i="17"/>
  <c r="AF751" i="17"/>
  <c r="AE751" i="17"/>
  <c r="AD751" i="17"/>
  <c r="AC751" i="17"/>
  <c r="AB751" i="17"/>
  <c r="AA751" i="17"/>
  <c r="Z751" i="17"/>
  <c r="Y751" i="17"/>
  <c r="X751" i="17"/>
  <c r="W751" i="17"/>
  <c r="V751" i="17"/>
  <c r="U751" i="17"/>
  <c r="T751" i="17"/>
  <c r="S751" i="17"/>
  <c r="R751" i="17"/>
  <c r="Q751" i="17"/>
  <c r="P751" i="17"/>
  <c r="O751" i="17"/>
  <c r="N751" i="17"/>
  <c r="M751" i="17"/>
  <c r="L751" i="17"/>
  <c r="K751" i="17"/>
  <c r="J751" i="17"/>
  <c r="I751" i="17"/>
  <c r="H751" i="17"/>
  <c r="G751" i="17"/>
  <c r="F751" i="17"/>
  <c r="E751" i="17"/>
  <c r="D751" i="17"/>
  <c r="C751" i="17"/>
  <c r="B751" i="17"/>
  <c r="A751" i="17"/>
  <c r="AM750" i="17"/>
  <c r="AL750" i="17"/>
  <c r="AK750" i="17"/>
  <c r="AJ750" i="17"/>
  <c r="AI750" i="17"/>
  <c r="AH750" i="17"/>
  <c r="AG750" i="17"/>
  <c r="AF750" i="17"/>
  <c r="AE750" i="17"/>
  <c r="AD750" i="17"/>
  <c r="AC750" i="17"/>
  <c r="AB750" i="17"/>
  <c r="AA750" i="17"/>
  <c r="Z750" i="17"/>
  <c r="Y750" i="17"/>
  <c r="X750" i="17"/>
  <c r="W750" i="17"/>
  <c r="V750" i="17"/>
  <c r="U750" i="17"/>
  <c r="T750" i="17"/>
  <c r="S750" i="17"/>
  <c r="R750" i="17"/>
  <c r="Q750" i="17"/>
  <c r="P750" i="17"/>
  <c r="O750" i="17"/>
  <c r="N750" i="17"/>
  <c r="M750" i="17"/>
  <c r="L750" i="17"/>
  <c r="K750" i="17"/>
  <c r="J750" i="17"/>
  <c r="I750" i="17"/>
  <c r="H750" i="17"/>
  <c r="G750" i="17"/>
  <c r="F750" i="17"/>
  <c r="E750" i="17"/>
  <c r="D750" i="17"/>
  <c r="C750" i="17"/>
  <c r="B750" i="17"/>
  <c r="A750" i="17"/>
  <c r="AM749" i="17"/>
  <c r="AL749" i="17"/>
  <c r="AK749" i="17"/>
  <c r="AJ749" i="17"/>
  <c r="AI749" i="17"/>
  <c r="AH749" i="17"/>
  <c r="AG749" i="17"/>
  <c r="AF749" i="17"/>
  <c r="AE749" i="17"/>
  <c r="AD749" i="17"/>
  <c r="AC749" i="17"/>
  <c r="AB749" i="17"/>
  <c r="AA749" i="17"/>
  <c r="Z749" i="17"/>
  <c r="Y749" i="17"/>
  <c r="X749" i="17"/>
  <c r="W749" i="17"/>
  <c r="V749" i="17"/>
  <c r="U749" i="17"/>
  <c r="T749" i="17"/>
  <c r="S749" i="17"/>
  <c r="R749" i="17"/>
  <c r="Q749" i="17"/>
  <c r="P749" i="17"/>
  <c r="O749" i="17"/>
  <c r="N749" i="17"/>
  <c r="M749" i="17"/>
  <c r="L749" i="17"/>
  <c r="K749" i="17"/>
  <c r="J749" i="17"/>
  <c r="I749" i="17"/>
  <c r="H749" i="17"/>
  <c r="G749" i="17"/>
  <c r="F749" i="17"/>
  <c r="E749" i="17"/>
  <c r="D749" i="17"/>
  <c r="C749" i="17"/>
  <c r="B749" i="17"/>
  <c r="A749" i="17"/>
  <c r="AM748" i="17"/>
  <c r="AL748" i="17"/>
  <c r="AK748" i="17"/>
  <c r="AJ748" i="17"/>
  <c r="AI748" i="17"/>
  <c r="AH748" i="17"/>
  <c r="AG748" i="17"/>
  <c r="AF748" i="17"/>
  <c r="AE748" i="17"/>
  <c r="AD748" i="17"/>
  <c r="AC748" i="17"/>
  <c r="AB748" i="17"/>
  <c r="AA748" i="17"/>
  <c r="Z748" i="17"/>
  <c r="Y748" i="17"/>
  <c r="X748" i="17"/>
  <c r="W748" i="17"/>
  <c r="V748" i="17"/>
  <c r="U748" i="17"/>
  <c r="T748" i="17"/>
  <c r="S748" i="17"/>
  <c r="R748" i="17"/>
  <c r="Q748" i="17"/>
  <c r="P748" i="17"/>
  <c r="O748" i="17"/>
  <c r="N748" i="17"/>
  <c r="M748" i="17"/>
  <c r="L748" i="17"/>
  <c r="K748" i="17"/>
  <c r="J748" i="17"/>
  <c r="I748" i="17"/>
  <c r="H748" i="17"/>
  <c r="G748" i="17"/>
  <c r="F748" i="17"/>
  <c r="E748" i="17"/>
  <c r="D748" i="17"/>
  <c r="C748" i="17"/>
  <c r="B748" i="17"/>
  <c r="A748" i="17"/>
  <c r="AM747" i="17"/>
  <c r="AL747" i="17"/>
  <c r="AK747" i="17"/>
  <c r="AJ747" i="17"/>
  <c r="AI747" i="17"/>
  <c r="AH747" i="17"/>
  <c r="AG747" i="17"/>
  <c r="AF747" i="17"/>
  <c r="AE747" i="17"/>
  <c r="AD747" i="17"/>
  <c r="AC747" i="17"/>
  <c r="AB747" i="17"/>
  <c r="AA747" i="17"/>
  <c r="Z747" i="17"/>
  <c r="Y747" i="17"/>
  <c r="X747" i="17"/>
  <c r="W747" i="17"/>
  <c r="V747" i="17"/>
  <c r="U747" i="17"/>
  <c r="T747" i="17"/>
  <c r="S747" i="17"/>
  <c r="R747" i="17"/>
  <c r="Q747" i="17"/>
  <c r="P747" i="17"/>
  <c r="O747" i="17"/>
  <c r="N747" i="17"/>
  <c r="M747" i="17"/>
  <c r="L747" i="17"/>
  <c r="K747" i="17"/>
  <c r="J747" i="17"/>
  <c r="I747" i="17"/>
  <c r="H747" i="17"/>
  <c r="G747" i="17"/>
  <c r="F747" i="17"/>
  <c r="E747" i="17"/>
  <c r="D747" i="17"/>
  <c r="C747" i="17"/>
  <c r="B747" i="17"/>
  <c r="A747" i="17"/>
  <c r="AM746" i="17"/>
  <c r="AL746" i="17"/>
  <c r="AK746" i="17"/>
  <c r="AJ746" i="17"/>
  <c r="AI746" i="17"/>
  <c r="AH746" i="17"/>
  <c r="AG746" i="17"/>
  <c r="AF746" i="17"/>
  <c r="AE746" i="17"/>
  <c r="AD746" i="17"/>
  <c r="AC746" i="17"/>
  <c r="AB746" i="17"/>
  <c r="AA746" i="17"/>
  <c r="Z746" i="17"/>
  <c r="Y746" i="17"/>
  <c r="X746" i="17"/>
  <c r="W746" i="17"/>
  <c r="V746" i="17"/>
  <c r="U746" i="17"/>
  <c r="T746" i="17"/>
  <c r="S746" i="17"/>
  <c r="R746" i="17"/>
  <c r="Q746" i="17"/>
  <c r="P746" i="17"/>
  <c r="O746" i="17"/>
  <c r="N746" i="17"/>
  <c r="M746" i="17"/>
  <c r="L746" i="17"/>
  <c r="K746" i="17"/>
  <c r="J746" i="17"/>
  <c r="I746" i="17"/>
  <c r="H746" i="17"/>
  <c r="G746" i="17"/>
  <c r="F746" i="17"/>
  <c r="E746" i="17"/>
  <c r="D746" i="17"/>
  <c r="C746" i="17"/>
  <c r="B746" i="17"/>
  <c r="A746" i="17"/>
  <c r="AM745" i="17"/>
  <c r="AL745" i="17"/>
  <c r="AK745" i="17"/>
  <c r="AJ745" i="17"/>
  <c r="AI745" i="17"/>
  <c r="AH745" i="17"/>
  <c r="AG745" i="17"/>
  <c r="AF745" i="17"/>
  <c r="AE745" i="17"/>
  <c r="AD745" i="17"/>
  <c r="AC745" i="17"/>
  <c r="AB745" i="17"/>
  <c r="AA745" i="17"/>
  <c r="Z745" i="17"/>
  <c r="Y745" i="17"/>
  <c r="X745" i="17"/>
  <c r="W745" i="17"/>
  <c r="V745" i="17"/>
  <c r="U745" i="17"/>
  <c r="T745" i="17"/>
  <c r="S745" i="17"/>
  <c r="R745" i="17"/>
  <c r="Q745" i="17"/>
  <c r="P745" i="17"/>
  <c r="O745" i="17"/>
  <c r="N745" i="17"/>
  <c r="M745" i="17"/>
  <c r="L745" i="17"/>
  <c r="K745" i="17"/>
  <c r="J745" i="17"/>
  <c r="I745" i="17"/>
  <c r="H745" i="17"/>
  <c r="G745" i="17"/>
  <c r="F745" i="17"/>
  <c r="E745" i="17"/>
  <c r="D745" i="17"/>
  <c r="C745" i="17"/>
  <c r="B745" i="17"/>
  <c r="A745" i="17"/>
  <c r="AM744" i="17"/>
  <c r="AL744" i="17"/>
  <c r="AK744" i="17"/>
  <c r="AJ744" i="17"/>
  <c r="AI744" i="17"/>
  <c r="AH744" i="17"/>
  <c r="AG744" i="17"/>
  <c r="AF744" i="17"/>
  <c r="AE744" i="17"/>
  <c r="AD744" i="17"/>
  <c r="AC744" i="17"/>
  <c r="AB744" i="17"/>
  <c r="AA744" i="17"/>
  <c r="Z744" i="17"/>
  <c r="Y744" i="17"/>
  <c r="X744" i="17"/>
  <c r="W744" i="17"/>
  <c r="V744" i="17"/>
  <c r="U744" i="17"/>
  <c r="T744" i="17"/>
  <c r="S744" i="17"/>
  <c r="R744" i="17"/>
  <c r="Q744" i="17"/>
  <c r="P744" i="17"/>
  <c r="O744" i="17"/>
  <c r="N744" i="17"/>
  <c r="M744" i="17"/>
  <c r="L744" i="17"/>
  <c r="K744" i="17"/>
  <c r="J744" i="17"/>
  <c r="I744" i="17"/>
  <c r="H744" i="17"/>
  <c r="G744" i="17"/>
  <c r="F744" i="17"/>
  <c r="E744" i="17"/>
  <c r="D744" i="17"/>
  <c r="C744" i="17"/>
  <c r="B744" i="17"/>
  <c r="A744" i="17"/>
  <c r="AM743" i="17"/>
  <c r="AL743" i="17"/>
  <c r="AK743" i="17"/>
  <c r="AJ743" i="17"/>
  <c r="AI743" i="17"/>
  <c r="AH743" i="17"/>
  <c r="AG743" i="17"/>
  <c r="AF743" i="17"/>
  <c r="AE743" i="17"/>
  <c r="AD743" i="17"/>
  <c r="AC743" i="17"/>
  <c r="AB743" i="17"/>
  <c r="AA743" i="17"/>
  <c r="Z743" i="17"/>
  <c r="Y743" i="17"/>
  <c r="X743" i="17"/>
  <c r="W743" i="17"/>
  <c r="V743" i="17"/>
  <c r="U743" i="17"/>
  <c r="T743" i="17"/>
  <c r="S743" i="17"/>
  <c r="R743" i="17"/>
  <c r="Q743" i="17"/>
  <c r="P743" i="17"/>
  <c r="O743" i="17"/>
  <c r="N743" i="17"/>
  <c r="M743" i="17"/>
  <c r="L743" i="17"/>
  <c r="K743" i="17"/>
  <c r="J743" i="17"/>
  <c r="I743" i="17"/>
  <c r="H743" i="17"/>
  <c r="G743" i="17"/>
  <c r="F743" i="17"/>
  <c r="E743" i="17"/>
  <c r="D743" i="17"/>
  <c r="C743" i="17"/>
  <c r="B743" i="17"/>
  <c r="A743" i="17"/>
  <c r="AM742" i="17"/>
  <c r="AL742" i="17"/>
  <c r="AK742" i="17"/>
  <c r="AJ742" i="17"/>
  <c r="AI742" i="17"/>
  <c r="AH742" i="17"/>
  <c r="AG742" i="17"/>
  <c r="AF742" i="17"/>
  <c r="AE742" i="17"/>
  <c r="AD742" i="17"/>
  <c r="AC742" i="17"/>
  <c r="AB742" i="17"/>
  <c r="AA742" i="17"/>
  <c r="Z742" i="17"/>
  <c r="Y742" i="17"/>
  <c r="X742" i="17"/>
  <c r="W742" i="17"/>
  <c r="V742" i="17"/>
  <c r="U742" i="17"/>
  <c r="T742" i="17"/>
  <c r="S742" i="17"/>
  <c r="R742" i="17"/>
  <c r="Q742" i="17"/>
  <c r="P742" i="17"/>
  <c r="O742" i="17"/>
  <c r="N742" i="17"/>
  <c r="M742" i="17"/>
  <c r="L742" i="17"/>
  <c r="K742" i="17"/>
  <c r="J742" i="17"/>
  <c r="I742" i="17"/>
  <c r="H742" i="17"/>
  <c r="G742" i="17"/>
  <c r="F742" i="17"/>
  <c r="E742" i="17"/>
  <c r="D742" i="17"/>
  <c r="C742" i="17"/>
  <c r="B742" i="17"/>
  <c r="A742" i="17"/>
  <c r="AM741" i="17"/>
  <c r="AL741" i="17"/>
  <c r="AK741" i="17"/>
  <c r="AJ741" i="17"/>
  <c r="AI741" i="17"/>
  <c r="AH741" i="17"/>
  <c r="AG741" i="17"/>
  <c r="AF741" i="17"/>
  <c r="AE741" i="17"/>
  <c r="AD741" i="17"/>
  <c r="AC741" i="17"/>
  <c r="AB741" i="17"/>
  <c r="AA741" i="17"/>
  <c r="Z741" i="17"/>
  <c r="Y741" i="17"/>
  <c r="X741" i="17"/>
  <c r="W741" i="17"/>
  <c r="V741" i="17"/>
  <c r="U741" i="17"/>
  <c r="T741" i="17"/>
  <c r="S741" i="17"/>
  <c r="R741" i="17"/>
  <c r="Q741" i="17"/>
  <c r="P741" i="17"/>
  <c r="O741" i="17"/>
  <c r="N741" i="17"/>
  <c r="M741" i="17"/>
  <c r="L741" i="17"/>
  <c r="K741" i="17"/>
  <c r="J741" i="17"/>
  <c r="I741" i="17"/>
  <c r="H741" i="17"/>
  <c r="G741" i="17"/>
  <c r="F741" i="17"/>
  <c r="E741" i="17"/>
  <c r="D741" i="17"/>
  <c r="C741" i="17"/>
  <c r="B741" i="17"/>
  <c r="A741" i="17"/>
  <c r="AM740" i="17"/>
  <c r="AL740" i="17"/>
  <c r="AK740" i="17"/>
  <c r="AJ740" i="17"/>
  <c r="AI740" i="17"/>
  <c r="AH740" i="17"/>
  <c r="AG740" i="17"/>
  <c r="AF740" i="17"/>
  <c r="AE740" i="17"/>
  <c r="AD740" i="17"/>
  <c r="AC740" i="17"/>
  <c r="AB740" i="17"/>
  <c r="AA740" i="17"/>
  <c r="Z740" i="17"/>
  <c r="Y740" i="17"/>
  <c r="X740" i="17"/>
  <c r="W740" i="17"/>
  <c r="V740" i="17"/>
  <c r="U740" i="17"/>
  <c r="T740" i="17"/>
  <c r="S740" i="17"/>
  <c r="R740" i="17"/>
  <c r="Q740" i="17"/>
  <c r="P740" i="17"/>
  <c r="O740" i="17"/>
  <c r="N740" i="17"/>
  <c r="M740" i="17"/>
  <c r="L740" i="17"/>
  <c r="K740" i="17"/>
  <c r="J740" i="17"/>
  <c r="I740" i="17"/>
  <c r="H740" i="17"/>
  <c r="G740" i="17"/>
  <c r="F740" i="17"/>
  <c r="E740" i="17"/>
  <c r="D740" i="17"/>
  <c r="C740" i="17"/>
  <c r="B740" i="17"/>
  <c r="A740" i="17"/>
  <c r="AM739" i="17"/>
  <c r="AL739" i="17"/>
  <c r="AK739" i="17"/>
  <c r="AJ739" i="17"/>
  <c r="AI739" i="17"/>
  <c r="AH739" i="17"/>
  <c r="AG739" i="17"/>
  <c r="AF739" i="17"/>
  <c r="AE739" i="17"/>
  <c r="AD739" i="17"/>
  <c r="AC739" i="17"/>
  <c r="AB739" i="17"/>
  <c r="AA739" i="17"/>
  <c r="Z739" i="17"/>
  <c r="Y739" i="17"/>
  <c r="X739" i="17"/>
  <c r="W739" i="17"/>
  <c r="V739" i="17"/>
  <c r="U739" i="17"/>
  <c r="T739" i="17"/>
  <c r="S739" i="17"/>
  <c r="R739" i="17"/>
  <c r="Q739" i="17"/>
  <c r="P739" i="17"/>
  <c r="O739" i="17"/>
  <c r="N739" i="17"/>
  <c r="M739" i="17"/>
  <c r="L739" i="17"/>
  <c r="K739" i="17"/>
  <c r="J739" i="17"/>
  <c r="I739" i="17"/>
  <c r="H739" i="17"/>
  <c r="G739" i="17"/>
  <c r="F739" i="17"/>
  <c r="E739" i="17"/>
  <c r="D739" i="17"/>
  <c r="C739" i="17"/>
  <c r="B739" i="17"/>
  <c r="A739" i="17"/>
  <c r="AM738" i="17"/>
  <c r="AL738" i="17"/>
  <c r="AK738" i="17"/>
  <c r="AJ738" i="17"/>
  <c r="AI738" i="17"/>
  <c r="AH738" i="17"/>
  <c r="AG738" i="17"/>
  <c r="AF738" i="17"/>
  <c r="AE738" i="17"/>
  <c r="AD738" i="17"/>
  <c r="AC738" i="17"/>
  <c r="AB738" i="17"/>
  <c r="AA738" i="17"/>
  <c r="Z738" i="17"/>
  <c r="Y738" i="17"/>
  <c r="X738" i="17"/>
  <c r="W738" i="17"/>
  <c r="V738" i="17"/>
  <c r="U738" i="17"/>
  <c r="T738" i="17"/>
  <c r="S738" i="17"/>
  <c r="R738" i="17"/>
  <c r="Q738" i="17"/>
  <c r="P738" i="17"/>
  <c r="O738" i="17"/>
  <c r="N738" i="17"/>
  <c r="M738" i="17"/>
  <c r="L738" i="17"/>
  <c r="K738" i="17"/>
  <c r="J738" i="17"/>
  <c r="I738" i="17"/>
  <c r="H738" i="17"/>
  <c r="G738" i="17"/>
  <c r="F738" i="17"/>
  <c r="E738" i="17"/>
  <c r="D738" i="17"/>
  <c r="C738" i="17"/>
  <c r="B738" i="17"/>
  <c r="A738" i="17"/>
  <c r="AM737" i="17"/>
  <c r="AL737" i="17"/>
  <c r="AK737" i="17"/>
  <c r="AJ737" i="17"/>
  <c r="AI737" i="17"/>
  <c r="AH737" i="17"/>
  <c r="AG737" i="17"/>
  <c r="AF737" i="17"/>
  <c r="AE737" i="17"/>
  <c r="AD737" i="17"/>
  <c r="AC737" i="17"/>
  <c r="AB737" i="17"/>
  <c r="AA737" i="17"/>
  <c r="Z737" i="17"/>
  <c r="Y737" i="17"/>
  <c r="X737" i="17"/>
  <c r="W737" i="17"/>
  <c r="V737" i="17"/>
  <c r="U737" i="17"/>
  <c r="T737" i="17"/>
  <c r="S737" i="17"/>
  <c r="R737" i="17"/>
  <c r="Q737" i="17"/>
  <c r="P737" i="17"/>
  <c r="O737" i="17"/>
  <c r="N737" i="17"/>
  <c r="M737" i="17"/>
  <c r="L737" i="17"/>
  <c r="K737" i="17"/>
  <c r="J737" i="17"/>
  <c r="I737" i="17"/>
  <c r="H737" i="17"/>
  <c r="G737" i="17"/>
  <c r="F737" i="17"/>
  <c r="E737" i="17"/>
  <c r="D737" i="17"/>
  <c r="C737" i="17"/>
  <c r="B737" i="17"/>
  <c r="A737" i="17"/>
  <c r="AM736" i="17"/>
  <c r="AL736" i="17"/>
  <c r="AK736" i="17"/>
  <c r="AJ736" i="17"/>
  <c r="AI736" i="17"/>
  <c r="AH736" i="17"/>
  <c r="AG736" i="17"/>
  <c r="AF736" i="17"/>
  <c r="AE736" i="17"/>
  <c r="AD736" i="17"/>
  <c r="AC736" i="17"/>
  <c r="AB736" i="17"/>
  <c r="AA736" i="17"/>
  <c r="Z736" i="17"/>
  <c r="Y736" i="17"/>
  <c r="X736" i="17"/>
  <c r="W736" i="17"/>
  <c r="V736" i="17"/>
  <c r="U736" i="17"/>
  <c r="T736" i="17"/>
  <c r="S736" i="17"/>
  <c r="R736" i="17"/>
  <c r="Q736" i="17"/>
  <c r="P736" i="17"/>
  <c r="O736" i="17"/>
  <c r="N736" i="17"/>
  <c r="M736" i="17"/>
  <c r="L736" i="17"/>
  <c r="K736" i="17"/>
  <c r="J736" i="17"/>
  <c r="I736" i="17"/>
  <c r="H736" i="17"/>
  <c r="G736" i="17"/>
  <c r="F736" i="17"/>
  <c r="E736" i="17"/>
  <c r="D736" i="17"/>
  <c r="C736" i="17"/>
  <c r="B736" i="17"/>
  <c r="A736" i="17"/>
  <c r="AM735" i="17"/>
  <c r="AL735" i="17"/>
  <c r="AK735" i="17"/>
  <c r="AJ735" i="17"/>
  <c r="AI735" i="17"/>
  <c r="AH735" i="17"/>
  <c r="AG735" i="17"/>
  <c r="AF735" i="17"/>
  <c r="AE735" i="17"/>
  <c r="AD735" i="17"/>
  <c r="AC735" i="17"/>
  <c r="AB735" i="17"/>
  <c r="AA735" i="17"/>
  <c r="Z735" i="17"/>
  <c r="Y735" i="17"/>
  <c r="X735" i="17"/>
  <c r="W735" i="17"/>
  <c r="V735" i="17"/>
  <c r="U735" i="17"/>
  <c r="T735" i="17"/>
  <c r="S735" i="17"/>
  <c r="R735" i="17"/>
  <c r="Q735" i="17"/>
  <c r="P735" i="17"/>
  <c r="O735" i="17"/>
  <c r="N735" i="17"/>
  <c r="M735" i="17"/>
  <c r="L735" i="17"/>
  <c r="K735" i="17"/>
  <c r="J735" i="17"/>
  <c r="I735" i="17"/>
  <c r="H735" i="17"/>
  <c r="G735" i="17"/>
  <c r="F735" i="17"/>
  <c r="E735" i="17"/>
  <c r="D735" i="17"/>
  <c r="C735" i="17"/>
  <c r="B735" i="17"/>
  <c r="A735" i="17"/>
  <c r="AM734" i="17"/>
  <c r="AL734" i="17"/>
  <c r="AK734" i="17"/>
  <c r="AJ734" i="17"/>
  <c r="AI734" i="17"/>
  <c r="AH734" i="17"/>
  <c r="AG734" i="17"/>
  <c r="AF734" i="17"/>
  <c r="AE734" i="17"/>
  <c r="AD734" i="17"/>
  <c r="AC734" i="17"/>
  <c r="AB734" i="17"/>
  <c r="AA734" i="17"/>
  <c r="Z734" i="17"/>
  <c r="Y734" i="17"/>
  <c r="X734" i="17"/>
  <c r="W734" i="17"/>
  <c r="V734" i="17"/>
  <c r="U734" i="17"/>
  <c r="T734" i="17"/>
  <c r="S734" i="17"/>
  <c r="R734" i="17"/>
  <c r="Q734" i="17"/>
  <c r="P734" i="17"/>
  <c r="O734" i="17"/>
  <c r="N734" i="17"/>
  <c r="M734" i="17"/>
  <c r="L734" i="17"/>
  <c r="K734" i="17"/>
  <c r="J734" i="17"/>
  <c r="I734" i="17"/>
  <c r="H734" i="17"/>
  <c r="G734" i="17"/>
  <c r="F734" i="17"/>
  <c r="E734" i="17"/>
  <c r="D734" i="17"/>
  <c r="C734" i="17"/>
  <c r="B734" i="17"/>
  <c r="A734" i="17"/>
  <c r="AM733" i="17"/>
  <c r="AL733" i="17"/>
  <c r="AK733" i="17"/>
  <c r="AJ733" i="17"/>
  <c r="AI733" i="17"/>
  <c r="AH733" i="17"/>
  <c r="AG733" i="17"/>
  <c r="AF733" i="17"/>
  <c r="AE733" i="17"/>
  <c r="AD733" i="17"/>
  <c r="AC733" i="17"/>
  <c r="AB733" i="17"/>
  <c r="AA733" i="17"/>
  <c r="Z733" i="17"/>
  <c r="Y733" i="17"/>
  <c r="X733" i="17"/>
  <c r="W733" i="17"/>
  <c r="V733" i="17"/>
  <c r="U733" i="17"/>
  <c r="T733" i="17"/>
  <c r="S733" i="17"/>
  <c r="R733" i="17"/>
  <c r="Q733" i="17"/>
  <c r="P733" i="17"/>
  <c r="O733" i="17"/>
  <c r="N733" i="17"/>
  <c r="M733" i="17"/>
  <c r="L733" i="17"/>
  <c r="K733" i="17"/>
  <c r="J733" i="17"/>
  <c r="I733" i="17"/>
  <c r="H733" i="17"/>
  <c r="G733" i="17"/>
  <c r="F733" i="17"/>
  <c r="E733" i="17"/>
  <c r="D733" i="17"/>
  <c r="C733" i="17"/>
  <c r="B733" i="17"/>
  <c r="A733" i="17"/>
  <c r="AM732" i="17"/>
  <c r="AL732" i="17"/>
  <c r="AK732" i="17"/>
  <c r="AJ732" i="17"/>
  <c r="AI732" i="17"/>
  <c r="AH732" i="17"/>
  <c r="AG732" i="17"/>
  <c r="AF732" i="17"/>
  <c r="AE732" i="17"/>
  <c r="AD732" i="17"/>
  <c r="AC732" i="17"/>
  <c r="AB732" i="17"/>
  <c r="AA732" i="17"/>
  <c r="Z732" i="17"/>
  <c r="Y732" i="17"/>
  <c r="X732" i="17"/>
  <c r="W732" i="17"/>
  <c r="V732" i="17"/>
  <c r="U732" i="17"/>
  <c r="T732" i="17"/>
  <c r="S732" i="17"/>
  <c r="R732" i="17"/>
  <c r="Q732" i="17"/>
  <c r="P732" i="17"/>
  <c r="O732" i="17"/>
  <c r="N732" i="17"/>
  <c r="M732" i="17"/>
  <c r="L732" i="17"/>
  <c r="K732" i="17"/>
  <c r="J732" i="17"/>
  <c r="I732" i="17"/>
  <c r="H732" i="17"/>
  <c r="G732" i="17"/>
  <c r="F732" i="17"/>
  <c r="E732" i="17"/>
  <c r="D732" i="17"/>
  <c r="C732" i="17"/>
  <c r="B732" i="17"/>
  <c r="A732" i="17"/>
  <c r="AM731" i="17"/>
  <c r="AL731" i="17"/>
  <c r="AK731" i="17"/>
  <c r="AJ731" i="17"/>
  <c r="AI731" i="17"/>
  <c r="AH731" i="17"/>
  <c r="AG731" i="17"/>
  <c r="AF731" i="17"/>
  <c r="AE731" i="17"/>
  <c r="AD731" i="17"/>
  <c r="AC731" i="17"/>
  <c r="AB731" i="17"/>
  <c r="AA731" i="17"/>
  <c r="Z731" i="17"/>
  <c r="Y731" i="17"/>
  <c r="X731" i="17"/>
  <c r="W731" i="17"/>
  <c r="V731" i="17"/>
  <c r="U731" i="17"/>
  <c r="T731" i="17"/>
  <c r="S731" i="17"/>
  <c r="R731" i="17"/>
  <c r="Q731" i="17"/>
  <c r="P731" i="17"/>
  <c r="O731" i="17"/>
  <c r="N731" i="17"/>
  <c r="M731" i="17"/>
  <c r="L731" i="17"/>
  <c r="K731" i="17"/>
  <c r="J731" i="17"/>
  <c r="I731" i="17"/>
  <c r="H731" i="17"/>
  <c r="G731" i="17"/>
  <c r="F731" i="17"/>
  <c r="E731" i="17"/>
  <c r="D731" i="17"/>
  <c r="C731" i="17"/>
  <c r="B731" i="17"/>
  <c r="A731" i="17"/>
  <c r="AM730" i="17"/>
  <c r="AL730" i="17"/>
  <c r="AK730" i="17"/>
  <c r="AJ730" i="17"/>
  <c r="AI730" i="17"/>
  <c r="AH730" i="17"/>
  <c r="AG730" i="17"/>
  <c r="AF730" i="17"/>
  <c r="AE730" i="17"/>
  <c r="AD730" i="17"/>
  <c r="AC730" i="17"/>
  <c r="AB730" i="17"/>
  <c r="AA730" i="17"/>
  <c r="Z730" i="17"/>
  <c r="Y730" i="17"/>
  <c r="X730" i="17"/>
  <c r="W730" i="17"/>
  <c r="V730" i="17"/>
  <c r="U730" i="17"/>
  <c r="T730" i="17"/>
  <c r="S730" i="17"/>
  <c r="R730" i="17"/>
  <c r="Q730" i="17"/>
  <c r="P730" i="17"/>
  <c r="O730" i="17"/>
  <c r="N730" i="17"/>
  <c r="M730" i="17"/>
  <c r="L730" i="17"/>
  <c r="K730" i="17"/>
  <c r="J730" i="17"/>
  <c r="I730" i="17"/>
  <c r="H730" i="17"/>
  <c r="G730" i="17"/>
  <c r="F730" i="17"/>
  <c r="E730" i="17"/>
  <c r="D730" i="17"/>
  <c r="C730" i="17"/>
  <c r="B730" i="17"/>
  <c r="A730" i="17"/>
  <c r="AM729" i="17"/>
  <c r="AL729" i="17"/>
  <c r="AK729" i="17"/>
  <c r="AJ729" i="17"/>
  <c r="AI729" i="17"/>
  <c r="AH729" i="17"/>
  <c r="AG729" i="17"/>
  <c r="AF729" i="17"/>
  <c r="AE729" i="17"/>
  <c r="AD729" i="17"/>
  <c r="AC729" i="17"/>
  <c r="AB729" i="17"/>
  <c r="AA729" i="17"/>
  <c r="Z729" i="17"/>
  <c r="Y729" i="17"/>
  <c r="X729" i="17"/>
  <c r="W729" i="17"/>
  <c r="V729" i="17"/>
  <c r="U729" i="17"/>
  <c r="T729" i="17"/>
  <c r="S729" i="17"/>
  <c r="R729" i="17"/>
  <c r="Q729" i="17"/>
  <c r="P729" i="17"/>
  <c r="O729" i="17"/>
  <c r="N729" i="17"/>
  <c r="M729" i="17"/>
  <c r="L729" i="17"/>
  <c r="K729" i="17"/>
  <c r="J729" i="17"/>
  <c r="I729" i="17"/>
  <c r="H729" i="17"/>
  <c r="G729" i="17"/>
  <c r="F729" i="17"/>
  <c r="E729" i="17"/>
  <c r="D729" i="17"/>
  <c r="C729" i="17"/>
  <c r="B729" i="17"/>
  <c r="A729" i="17"/>
  <c r="AM728" i="17"/>
  <c r="AL728" i="17"/>
  <c r="AK728" i="17"/>
  <c r="AJ728" i="17"/>
  <c r="AI728" i="17"/>
  <c r="AH728" i="17"/>
  <c r="AG728" i="17"/>
  <c r="AF728" i="17"/>
  <c r="AE728" i="17"/>
  <c r="AD728" i="17"/>
  <c r="AC728" i="17"/>
  <c r="AB728" i="17"/>
  <c r="AA728" i="17"/>
  <c r="Z728" i="17"/>
  <c r="Y728" i="17"/>
  <c r="X728" i="17"/>
  <c r="W728" i="17"/>
  <c r="V728" i="17"/>
  <c r="U728" i="17"/>
  <c r="T728" i="17"/>
  <c r="S728" i="17"/>
  <c r="R728" i="17"/>
  <c r="Q728" i="17"/>
  <c r="P728" i="17"/>
  <c r="O728" i="17"/>
  <c r="N728" i="17"/>
  <c r="M728" i="17"/>
  <c r="L728" i="17"/>
  <c r="K728" i="17"/>
  <c r="J728" i="17"/>
  <c r="I728" i="17"/>
  <c r="H728" i="17"/>
  <c r="G728" i="17"/>
  <c r="F728" i="17"/>
  <c r="E728" i="17"/>
  <c r="D728" i="17"/>
  <c r="C728" i="17"/>
  <c r="B728" i="17"/>
  <c r="A728" i="17"/>
  <c r="AM727" i="17"/>
  <c r="AL727" i="17"/>
  <c r="AK727" i="17"/>
  <c r="AJ727" i="17"/>
  <c r="AI727" i="17"/>
  <c r="AH727" i="17"/>
  <c r="AG727" i="17"/>
  <c r="AF727" i="17"/>
  <c r="AE727" i="17"/>
  <c r="AD727" i="17"/>
  <c r="AC727" i="17"/>
  <c r="AB727" i="17"/>
  <c r="AA727" i="17"/>
  <c r="Z727" i="17"/>
  <c r="Y727" i="17"/>
  <c r="X727" i="17"/>
  <c r="W727" i="17"/>
  <c r="V727" i="17"/>
  <c r="U727" i="17"/>
  <c r="T727" i="17"/>
  <c r="S727" i="17"/>
  <c r="R727" i="17"/>
  <c r="Q727" i="17"/>
  <c r="P727" i="17"/>
  <c r="O727" i="17"/>
  <c r="N727" i="17"/>
  <c r="M727" i="17"/>
  <c r="L727" i="17"/>
  <c r="K727" i="17"/>
  <c r="J727" i="17"/>
  <c r="I727" i="17"/>
  <c r="H727" i="17"/>
  <c r="G727" i="17"/>
  <c r="F727" i="17"/>
  <c r="E727" i="17"/>
  <c r="D727" i="17"/>
  <c r="C727" i="17"/>
  <c r="B727" i="17"/>
  <c r="A727" i="17"/>
  <c r="AM726" i="17"/>
  <c r="AL726" i="17"/>
  <c r="AK726" i="17"/>
  <c r="AJ726" i="17"/>
  <c r="AI726" i="17"/>
  <c r="AH726" i="17"/>
  <c r="AG726" i="17"/>
  <c r="AF726" i="17"/>
  <c r="AE726" i="17"/>
  <c r="AD726" i="17"/>
  <c r="AC726" i="17"/>
  <c r="AB726" i="17"/>
  <c r="AA726" i="17"/>
  <c r="Z726" i="17"/>
  <c r="Y726" i="17"/>
  <c r="X726" i="17"/>
  <c r="W726" i="17"/>
  <c r="V726" i="17"/>
  <c r="U726" i="17"/>
  <c r="T726" i="17"/>
  <c r="S726" i="17"/>
  <c r="R726" i="17"/>
  <c r="Q726" i="17"/>
  <c r="P726" i="17"/>
  <c r="O726" i="17"/>
  <c r="N726" i="17"/>
  <c r="M726" i="17"/>
  <c r="L726" i="17"/>
  <c r="K726" i="17"/>
  <c r="J726" i="17"/>
  <c r="I726" i="17"/>
  <c r="H726" i="17"/>
  <c r="G726" i="17"/>
  <c r="F726" i="17"/>
  <c r="E726" i="17"/>
  <c r="D726" i="17"/>
  <c r="C726" i="17"/>
  <c r="B726" i="17"/>
  <c r="A726" i="17"/>
  <c r="AM725" i="17"/>
  <c r="AL725" i="17"/>
  <c r="AK725" i="17"/>
  <c r="AJ725" i="17"/>
  <c r="AI725" i="17"/>
  <c r="AH725" i="17"/>
  <c r="AG725" i="17"/>
  <c r="AF725" i="17"/>
  <c r="AE725" i="17"/>
  <c r="AD725" i="17"/>
  <c r="AC725" i="17"/>
  <c r="AB725" i="17"/>
  <c r="AA725" i="17"/>
  <c r="Z725" i="17"/>
  <c r="Y725" i="17"/>
  <c r="X725" i="17"/>
  <c r="W725" i="17"/>
  <c r="V725" i="17"/>
  <c r="U725" i="17"/>
  <c r="T725" i="17"/>
  <c r="S725" i="17"/>
  <c r="R725" i="17"/>
  <c r="Q725" i="17"/>
  <c r="P725" i="17"/>
  <c r="O725" i="17"/>
  <c r="N725" i="17"/>
  <c r="M725" i="17"/>
  <c r="L725" i="17"/>
  <c r="K725" i="17"/>
  <c r="J725" i="17"/>
  <c r="I725" i="17"/>
  <c r="H725" i="17"/>
  <c r="G725" i="17"/>
  <c r="F725" i="17"/>
  <c r="E725" i="17"/>
  <c r="D725" i="17"/>
  <c r="C725" i="17"/>
  <c r="B725" i="17"/>
  <c r="A725" i="17"/>
  <c r="AM724" i="17"/>
  <c r="AL724" i="17"/>
  <c r="AK724" i="17"/>
  <c r="AJ724" i="17"/>
  <c r="AI724" i="17"/>
  <c r="AH724" i="17"/>
  <c r="AG724" i="17"/>
  <c r="AF724" i="17"/>
  <c r="AE724" i="17"/>
  <c r="AD724" i="17"/>
  <c r="AC724" i="17"/>
  <c r="AB724" i="17"/>
  <c r="AA724" i="17"/>
  <c r="Z724" i="17"/>
  <c r="Y724" i="17"/>
  <c r="X724" i="17"/>
  <c r="W724" i="17"/>
  <c r="V724" i="17"/>
  <c r="U724" i="17"/>
  <c r="T724" i="17"/>
  <c r="S724" i="17"/>
  <c r="R724" i="17"/>
  <c r="Q724" i="17"/>
  <c r="P724" i="17"/>
  <c r="O724" i="17"/>
  <c r="N724" i="17"/>
  <c r="M724" i="17"/>
  <c r="L724" i="17"/>
  <c r="K724" i="17"/>
  <c r="J724" i="17"/>
  <c r="I724" i="17"/>
  <c r="H724" i="17"/>
  <c r="G724" i="17"/>
  <c r="F724" i="17"/>
  <c r="E724" i="17"/>
  <c r="D724" i="17"/>
  <c r="C724" i="17"/>
  <c r="B724" i="17"/>
  <c r="A724" i="17"/>
  <c r="AM723" i="17"/>
  <c r="AL723" i="17"/>
  <c r="AK723" i="17"/>
  <c r="AJ723" i="17"/>
  <c r="AI723" i="17"/>
  <c r="AH723" i="17"/>
  <c r="AG723" i="17"/>
  <c r="AF723" i="17"/>
  <c r="AE723" i="17"/>
  <c r="AD723" i="17"/>
  <c r="AC723" i="17"/>
  <c r="AB723" i="17"/>
  <c r="AA723" i="17"/>
  <c r="Z723" i="17"/>
  <c r="Y723" i="17"/>
  <c r="X723" i="17"/>
  <c r="W723" i="17"/>
  <c r="V723" i="17"/>
  <c r="U723" i="17"/>
  <c r="T723" i="17"/>
  <c r="S723" i="17"/>
  <c r="R723" i="17"/>
  <c r="Q723" i="17"/>
  <c r="P723" i="17"/>
  <c r="O723" i="17"/>
  <c r="N723" i="17"/>
  <c r="M723" i="17"/>
  <c r="L723" i="17"/>
  <c r="K723" i="17"/>
  <c r="J723" i="17"/>
  <c r="I723" i="17"/>
  <c r="H723" i="17"/>
  <c r="G723" i="17"/>
  <c r="F723" i="17"/>
  <c r="E723" i="17"/>
  <c r="D723" i="17"/>
  <c r="C723" i="17"/>
  <c r="B723" i="17"/>
  <c r="A723" i="17"/>
  <c r="AM722" i="17"/>
  <c r="AL722" i="17"/>
  <c r="AK722" i="17"/>
  <c r="AJ722" i="17"/>
  <c r="AI722" i="17"/>
  <c r="AH722" i="17"/>
  <c r="AG722" i="17"/>
  <c r="AF722" i="17"/>
  <c r="AE722" i="17"/>
  <c r="AD722" i="17"/>
  <c r="AC722" i="17"/>
  <c r="AB722" i="17"/>
  <c r="AA722" i="17"/>
  <c r="Z722" i="17"/>
  <c r="Y722" i="17"/>
  <c r="X722" i="17"/>
  <c r="W722" i="17"/>
  <c r="V722" i="17"/>
  <c r="U722" i="17"/>
  <c r="T722" i="17"/>
  <c r="S722" i="17"/>
  <c r="R722" i="17"/>
  <c r="Q722" i="17"/>
  <c r="P722" i="17"/>
  <c r="O722" i="17"/>
  <c r="N722" i="17"/>
  <c r="M722" i="17"/>
  <c r="L722" i="17"/>
  <c r="K722" i="17"/>
  <c r="J722" i="17"/>
  <c r="I722" i="17"/>
  <c r="H722" i="17"/>
  <c r="G722" i="17"/>
  <c r="F722" i="17"/>
  <c r="E722" i="17"/>
  <c r="D722" i="17"/>
  <c r="C722" i="17"/>
  <c r="B722" i="17"/>
  <c r="A722" i="17"/>
  <c r="AM721" i="17"/>
  <c r="AL721" i="17"/>
  <c r="AK721" i="17"/>
  <c r="AJ721" i="17"/>
  <c r="AI721" i="17"/>
  <c r="AH721" i="17"/>
  <c r="AG721" i="17"/>
  <c r="AF721" i="17"/>
  <c r="AE721" i="17"/>
  <c r="AD721" i="17"/>
  <c r="AC721" i="17"/>
  <c r="AB721" i="17"/>
  <c r="AA721" i="17"/>
  <c r="Z721" i="17"/>
  <c r="Y721" i="17"/>
  <c r="X721" i="17"/>
  <c r="W721" i="17"/>
  <c r="V721" i="17"/>
  <c r="U721" i="17"/>
  <c r="T721" i="17"/>
  <c r="S721" i="17"/>
  <c r="R721" i="17"/>
  <c r="Q721" i="17"/>
  <c r="P721" i="17"/>
  <c r="O721" i="17"/>
  <c r="N721" i="17"/>
  <c r="M721" i="17"/>
  <c r="L721" i="17"/>
  <c r="K721" i="17"/>
  <c r="J721" i="17"/>
  <c r="I721" i="17"/>
  <c r="H721" i="17"/>
  <c r="G721" i="17"/>
  <c r="F721" i="17"/>
  <c r="E721" i="17"/>
  <c r="D721" i="17"/>
  <c r="C721" i="17"/>
  <c r="B721" i="17"/>
  <c r="A721" i="17"/>
  <c r="AM720" i="17"/>
  <c r="AL720" i="17"/>
  <c r="AK720" i="17"/>
  <c r="AJ720" i="17"/>
  <c r="AI720" i="17"/>
  <c r="AH720" i="17"/>
  <c r="AG720" i="17"/>
  <c r="AF720" i="17"/>
  <c r="AE720" i="17"/>
  <c r="AD720" i="17"/>
  <c r="AC720" i="17"/>
  <c r="AB720" i="17"/>
  <c r="AA720" i="17"/>
  <c r="Z720" i="17"/>
  <c r="Y720" i="17"/>
  <c r="X720" i="17"/>
  <c r="W720" i="17"/>
  <c r="V720" i="17"/>
  <c r="U720" i="17"/>
  <c r="T720" i="17"/>
  <c r="S720" i="17"/>
  <c r="R720" i="17"/>
  <c r="Q720" i="17"/>
  <c r="P720" i="17"/>
  <c r="O720" i="17"/>
  <c r="N720" i="17"/>
  <c r="M720" i="17"/>
  <c r="L720" i="17"/>
  <c r="K720" i="17"/>
  <c r="J720" i="17"/>
  <c r="I720" i="17"/>
  <c r="H720" i="17"/>
  <c r="G720" i="17"/>
  <c r="F720" i="17"/>
  <c r="E720" i="17"/>
  <c r="D720" i="17"/>
  <c r="C720" i="17"/>
  <c r="B720" i="17"/>
  <c r="A720" i="17"/>
  <c r="AM719" i="17"/>
  <c r="AL719" i="17"/>
  <c r="AK719" i="17"/>
  <c r="AJ719" i="17"/>
  <c r="AI719" i="17"/>
  <c r="AH719" i="17"/>
  <c r="AG719" i="17"/>
  <c r="AF719" i="17"/>
  <c r="AE719" i="17"/>
  <c r="AD719" i="17"/>
  <c r="AC719" i="17"/>
  <c r="AB719" i="17"/>
  <c r="AA719" i="17"/>
  <c r="Z719" i="17"/>
  <c r="Y719" i="17"/>
  <c r="X719" i="17"/>
  <c r="W719" i="17"/>
  <c r="V719" i="17"/>
  <c r="U719" i="17"/>
  <c r="T719" i="17"/>
  <c r="S719" i="17"/>
  <c r="R719" i="17"/>
  <c r="Q719" i="17"/>
  <c r="P719" i="17"/>
  <c r="O719" i="17"/>
  <c r="N719" i="17"/>
  <c r="M719" i="17"/>
  <c r="L719" i="17"/>
  <c r="K719" i="17"/>
  <c r="J719" i="17"/>
  <c r="I719" i="17"/>
  <c r="H719" i="17"/>
  <c r="G719" i="17"/>
  <c r="F719" i="17"/>
  <c r="E719" i="17"/>
  <c r="D719" i="17"/>
  <c r="C719" i="17"/>
  <c r="B719" i="17"/>
  <c r="A719" i="17"/>
  <c r="AM718" i="17"/>
  <c r="AL718" i="17"/>
  <c r="AK718" i="17"/>
  <c r="AJ718" i="17"/>
  <c r="AI718" i="17"/>
  <c r="AH718" i="17"/>
  <c r="AG718" i="17"/>
  <c r="AF718" i="17"/>
  <c r="AE718" i="17"/>
  <c r="AD718" i="17"/>
  <c r="AC718" i="17"/>
  <c r="AB718" i="17"/>
  <c r="AA718" i="17"/>
  <c r="Z718" i="17"/>
  <c r="Y718" i="17"/>
  <c r="X718" i="17"/>
  <c r="W718" i="17"/>
  <c r="V718" i="17"/>
  <c r="U718" i="17"/>
  <c r="T718" i="17"/>
  <c r="S718" i="17"/>
  <c r="R718" i="17"/>
  <c r="Q718" i="17"/>
  <c r="P718" i="17"/>
  <c r="O718" i="17"/>
  <c r="N718" i="17"/>
  <c r="M718" i="17"/>
  <c r="L718" i="17"/>
  <c r="K718" i="17"/>
  <c r="J718" i="17"/>
  <c r="I718" i="17"/>
  <c r="H718" i="17"/>
  <c r="G718" i="17"/>
  <c r="F718" i="17"/>
  <c r="E718" i="17"/>
  <c r="D718" i="17"/>
  <c r="C718" i="17"/>
  <c r="B718" i="17"/>
  <c r="A718" i="17"/>
  <c r="AM717" i="17"/>
  <c r="AL717" i="17"/>
  <c r="AK717" i="17"/>
  <c r="AJ717" i="17"/>
  <c r="AI717" i="17"/>
  <c r="AH717" i="17"/>
  <c r="AG717" i="17"/>
  <c r="AF717" i="17"/>
  <c r="AE717" i="17"/>
  <c r="AD717" i="17"/>
  <c r="AC717" i="17"/>
  <c r="AB717" i="17"/>
  <c r="AA717" i="17"/>
  <c r="Z717" i="17"/>
  <c r="Y717" i="17"/>
  <c r="X717" i="17"/>
  <c r="W717" i="17"/>
  <c r="V717" i="17"/>
  <c r="U717" i="17"/>
  <c r="T717" i="17"/>
  <c r="S717" i="17"/>
  <c r="R717" i="17"/>
  <c r="Q717" i="17"/>
  <c r="P717" i="17"/>
  <c r="O717" i="17"/>
  <c r="N717" i="17"/>
  <c r="M717" i="17"/>
  <c r="L717" i="17"/>
  <c r="K717" i="17"/>
  <c r="J717" i="17"/>
  <c r="I717" i="17"/>
  <c r="H717" i="17"/>
  <c r="G717" i="17"/>
  <c r="F717" i="17"/>
  <c r="E717" i="17"/>
  <c r="D717" i="17"/>
  <c r="C717" i="17"/>
  <c r="B717" i="17"/>
  <c r="A717" i="17"/>
  <c r="AM716" i="17"/>
  <c r="AL716" i="17"/>
  <c r="AK716" i="17"/>
  <c r="AJ716" i="17"/>
  <c r="AI716" i="17"/>
  <c r="AH716" i="17"/>
  <c r="AG716" i="17"/>
  <c r="AF716" i="17"/>
  <c r="AE716" i="17"/>
  <c r="AD716" i="17"/>
  <c r="AC716" i="17"/>
  <c r="AB716" i="17"/>
  <c r="AA716" i="17"/>
  <c r="Z716" i="17"/>
  <c r="Y716" i="17"/>
  <c r="X716" i="17"/>
  <c r="W716" i="17"/>
  <c r="V716" i="17"/>
  <c r="U716" i="17"/>
  <c r="T716" i="17"/>
  <c r="S716" i="17"/>
  <c r="R716" i="17"/>
  <c r="Q716" i="17"/>
  <c r="P716" i="17"/>
  <c r="O716" i="17"/>
  <c r="N716" i="17"/>
  <c r="M716" i="17"/>
  <c r="L716" i="17"/>
  <c r="K716" i="17"/>
  <c r="J716" i="17"/>
  <c r="I716" i="17"/>
  <c r="H716" i="17"/>
  <c r="G716" i="17"/>
  <c r="F716" i="17"/>
  <c r="E716" i="17"/>
  <c r="D716" i="17"/>
  <c r="C716" i="17"/>
  <c r="B716" i="17"/>
  <c r="A716" i="17"/>
  <c r="AM715" i="17"/>
  <c r="AL715" i="17"/>
  <c r="AK715" i="17"/>
  <c r="AJ715" i="17"/>
  <c r="AI715" i="17"/>
  <c r="AH715" i="17"/>
  <c r="AG715" i="17"/>
  <c r="AF715" i="17"/>
  <c r="AE715" i="17"/>
  <c r="AD715" i="17"/>
  <c r="AC715" i="17"/>
  <c r="AB715" i="17"/>
  <c r="AA715" i="17"/>
  <c r="Z715" i="17"/>
  <c r="Y715" i="17"/>
  <c r="X715" i="17"/>
  <c r="W715" i="17"/>
  <c r="V715" i="17"/>
  <c r="U715" i="17"/>
  <c r="T715" i="17"/>
  <c r="S715" i="17"/>
  <c r="R715" i="17"/>
  <c r="Q715" i="17"/>
  <c r="P715" i="17"/>
  <c r="O715" i="17"/>
  <c r="N715" i="17"/>
  <c r="M715" i="17"/>
  <c r="L715" i="17"/>
  <c r="K715" i="17"/>
  <c r="J715" i="17"/>
  <c r="I715" i="17"/>
  <c r="H715" i="17"/>
  <c r="G715" i="17"/>
  <c r="F715" i="17"/>
  <c r="E715" i="17"/>
  <c r="D715" i="17"/>
  <c r="C715" i="17"/>
  <c r="B715" i="17"/>
  <c r="A715" i="17"/>
  <c r="AM714" i="17"/>
  <c r="AL714" i="17"/>
  <c r="AK714" i="17"/>
  <c r="AJ714" i="17"/>
  <c r="AI714" i="17"/>
  <c r="AH714" i="17"/>
  <c r="AG714" i="17"/>
  <c r="AF714" i="17"/>
  <c r="AE714" i="17"/>
  <c r="AD714" i="17"/>
  <c r="AC714" i="17"/>
  <c r="AB714" i="17"/>
  <c r="AA714" i="17"/>
  <c r="Z714" i="17"/>
  <c r="Y714" i="17"/>
  <c r="X714" i="17"/>
  <c r="W714" i="17"/>
  <c r="V714" i="17"/>
  <c r="U714" i="17"/>
  <c r="T714" i="17"/>
  <c r="S714" i="17"/>
  <c r="R714" i="17"/>
  <c r="Q714" i="17"/>
  <c r="P714" i="17"/>
  <c r="O714" i="17"/>
  <c r="N714" i="17"/>
  <c r="M714" i="17"/>
  <c r="L714" i="17"/>
  <c r="K714" i="17"/>
  <c r="J714" i="17"/>
  <c r="I714" i="17"/>
  <c r="H714" i="17"/>
  <c r="G714" i="17"/>
  <c r="F714" i="17"/>
  <c r="E714" i="17"/>
  <c r="D714" i="17"/>
  <c r="C714" i="17"/>
  <c r="B714" i="17"/>
  <c r="A714" i="17"/>
  <c r="AM713" i="17"/>
  <c r="AL713" i="17"/>
  <c r="AK713" i="17"/>
  <c r="AJ713" i="17"/>
  <c r="AI713" i="17"/>
  <c r="AH713" i="17"/>
  <c r="AG713" i="17"/>
  <c r="AF713" i="17"/>
  <c r="AE713" i="17"/>
  <c r="AD713" i="17"/>
  <c r="AC713" i="17"/>
  <c r="AB713" i="17"/>
  <c r="AA713" i="17"/>
  <c r="Z713" i="17"/>
  <c r="Y713" i="17"/>
  <c r="X713" i="17"/>
  <c r="W713" i="17"/>
  <c r="V713" i="17"/>
  <c r="U713" i="17"/>
  <c r="T713" i="17"/>
  <c r="S713" i="17"/>
  <c r="R713" i="17"/>
  <c r="Q713" i="17"/>
  <c r="P713" i="17"/>
  <c r="O713" i="17"/>
  <c r="N713" i="17"/>
  <c r="M713" i="17"/>
  <c r="L713" i="17"/>
  <c r="K713" i="17"/>
  <c r="J713" i="17"/>
  <c r="I713" i="17"/>
  <c r="H713" i="17"/>
  <c r="G713" i="17"/>
  <c r="F713" i="17"/>
  <c r="E713" i="17"/>
  <c r="D713" i="17"/>
  <c r="C713" i="17"/>
  <c r="B713" i="17"/>
  <c r="A713" i="17"/>
  <c r="AM712" i="17"/>
  <c r="AL712" i="17"/>
  <c r="AK712" i="17"/>
  <c r="AJ712" i="17"/>
  <c r="AI712" i="17"/>
  <c r="AH712" i="17"/>
  <c r="AG712" i="17"/>
  <c r="AF712" i="17"/>
  <c r="AE712" i="17"/>
  <c r="AD712" i="17"/>
  <c r="AC712" i="17"/>
  <c r="AB712" i="17"/>
  <c r="AA712" i="17"/>
  <c r="Z712" i="17"/>
  <c r="Y712" i="17"/>
  <c r="X712" i="17"/>
  <c r="W712" i="17"/>
  <c r="V712" i="17"/>
  <c r="U712" i="17"/>
  <c r="T712" i="17"/>
  <c r="S712" i="17"/>
  <c r="R712" i="17"/>
  <c r="Q712" i="17"/>
  <c r="P712" i="17"/>
  <c r="O712" i="17"/>
  <c r="N712" i="17"/>
  <c r="M712" i="17"/>
  <c r="L712" i="17"/>
  <c r="K712" i="17"/>
  <c r="J712" i="17"/>
  <c r="I712" i="17"/>
  <c r="H712" i="17"/>
  <c r="G712" i="17"/>
  <c r="F712" i="17"/>
  <c r="E712" i="17"/>
  <c r="D712" i="17"/>
  <c r="C712" i="17"/>
  <c r="B712" i="17"/>
  <c r="A712" i="17"/>
  <c r="AM711" i="17"/>
  <c r="AL711" i="17"/>
  <c r="AK711" i="17"/>
  <c r="AJ711" i="17"/>
  <c r="AI711" i="17"/>
  <c r="AH711" i="17"/>
  <c r="AG711" i="17"/>
  <c r="AF711" i="17"/>
  <c r="AE711" i="17"/>
  <c r="AD711" i="17"/>
  <c r="AC711" i="17"/>
  <c r="AB711" i="17"/>
  <c r="AA711" i="17"/>
  <c r="Z711" i="17"/>
  <c r="Y711" i="17"/>
  <c r="X711" i="17"/>
  <c r="W711" i="17"/>
  <c r="V711" i="17"/>
  <c r="U711" i="17"/>
  <c r="T711" i="17"/>
  <c r="S711" i="17"/>
  <c r="R711" i="17"/>
  <c r="Q711" i="17"/>
  <c r="P711" i="17"/>
  <c r="O711" i="17"/>
  <c r="N711" i="17"/>
  <c r="M711" i="17"/>
  <c r="L711" i="17"/>
  <c r="K711" i="17"/>
  <c r="J711" i="17"/>
  <c r="I711" i="17"/>
  <c r="H711" i="17"/>
  <c r="G711" i="17"/>
  <c r="F711" i="17"/>
  <c r="E711" i="17"/>
  <c r="D711" i="17"/>
  <c r="C711" i="17"/>
  <c r="B711" i="17"/>
  <c r="A711" i="17"/>
  <c r="AM710" i="17"/>
  <c r="AL710" i="17"/>
  <c r="AK710" i="17"/>
  <c r="AJ710" i="17"/>
  <c r="AI710" i="17"/>
  <c r="AH710" i="17"/>
  <c r="AG710" i="17"/>
  <c r="AF710" i="17"/>
  <c r="AE710" i="17"/>
  <c r="AD710" i="17"/>
  <c r="AC710" i="17"/>
  <c r="AB710" i="17"/>
  <c r="AA710" i="17"/>
  <c r="Z710" i="17"/>
  <c r="Y710" i="17"/>
  <c r="X710" i="17"/>
  <c r="W710" i="17"/>
  <c r="V710" i="17"/>
  <c r="U710" i="17"/>
  <c r="T710" i="17"/>
  <c r="S710" i="17"/>
  <c r="R710" i="17"/>
  <c r="Q710" i="17"/>
  <c r="P710" i="17"/>
  <c r="O710" i="17"/>
  <c r="N710" i="17"/>
  <c r="M710" i="17"/>
  <c r="L710" i="17"/>
  <c r="K710" i="17"/>
  <c r="J710" i="17"/>
  <c r="I710" i="17"/>
  <c r="H710" i="17"/>
  <c r="G710" i="17"/>
  <c r="F710" i="17"/>
  <c r="E710" i="17"/>
  <c r="D710" i="17"/>
  <c r="C710" i="17"/>
  <c r="B710" i="17"/>
  <c r="A710" i="17"/>
  <c r="AM709" i="17"/>
  <c r="AL709" i="17"/>
  <c r="AK709" i="17"/>
  <c r="AJ709" i="17"/>
  <c r="AI709" i="17"/>
  <c r="AH709" i="17"/>
  <c r="AG709" i="17"/>
  <c r="AF709" i="17"/>
  <c r="AE709" i="17"/>
  <c r="AD709" i="17"/>
  <c r="AC709" i="17"/>
  <c r="AB709" i="17"/>
  <c r="AA709" i="17"/>
  <c r="Z709" i="17"/>
  <c r="Y709" i="17"/>
  <c r="X709" i="17"/>
  <c r="W709" i="17"/>
  <c r="V709" i="17"/>
  <c r="U709" i="17"/>
  <c r="T709" i="17"/>
  <c r="S709" i="17"/>
  <c r="R709" i="17"/>
  <c r="Q709" i="17"/>
  <c r="P709" i="17"/>
  <c r="O709" i="17"/>
  <c r="N709" i="17"/>
  <c r="M709" i="17"/>
  <c r="L709" i="17"/>
  <c r="K709" i="17"/>
  <c r="J709" i="17"/>
  <c r="I709" i="17"/>
  <c r="H709" i="17"/>
  <c r="G709" i="17"/>
  <c r="F709" i="17"/>
  <c r="E709" i="17"/>
  <c r="D709" i="17"/>
  <c r="C709" i="17"/>
  <c r="B709" i="17"/>
  <c r="A709" i="17"/>
  <c r="AM708" i="17"/>
  <c r="AL708" i="17"/>
  <c r="AK708" i="17"/>
  <c r="AJ708" i="17"/>
  <c r="AI708" i="17"/>
  <c r="AH708" i="17"/>
  <c r="AG708" i="17"/>
  <c r="AF708" i="17"/>
  <c r="AE708" i="17"/>
  <c r="AD708" i="17"/>
  <c r="AC708" i="17"/>
  <c r="AB708" i="17"/>
  <c r="AA708" i="17"/>
  <c r="Z708" i="17"/>
  <c r="Y708" i="17"/>
  <c r="X708" i="17"/>
  <c r="W708" i="17"/>
  <c r="V708" i="17"/>
  <c r="U708" i="17"/>
  <c r="T708" i="17"/>
  <c r="S708" i="17"/>
  <c r="R708" i="17"/>
  <c r="Q708" i="17"/>
  <c r="P708" i="17"/>
  <c r="O708" i="17"/>
  <c r="N708" i="17"/>
  <c r="M708" i="17"/>
  <c r="L708" i="17"/>
  <c r="K708" i="17"/>
  <c r="J708" i="17"/>
  <c r="I708" i="17"/>
  <c r="H708" i="17"/>
  <c r="G708" i="17"/>
  <c r="F708" i="17"/>
  <c r="E708" i="17"/>
  <c r="D708" i="17"/>
  <c r="C708" i="17"/>
  <c r="B708" i="17"/>
  <c r="A708" i="17"/>
  <c r="AM706" i="17"/>
  <c r="AL706" i="17"/>
  <c r="AK706" i="17"/>
  <c r="AJ706" i="17"/>
  <c r="AI706" i="17"/>
  <c r="AH706" i="17"/>
  <c r="AG706" i="17"/>
  <c r="AF706" i="17"/>
  <c r="AE706" i="17"/>
  <c r="AD706" i="17"/>
  <c r="AC706" i="17"/>
  <c r="AB706" i="17"/>
  <c r="AA706" i="17"/>
  <c r="Z706" i="17"/>
  <c r="Y706" i="17"/>
  <c r="X706" i="17"/>
  <c r="W706" i="17"/>
  <c r="V706" i="17"/>
  <c r="U706" i="17"/>
  <c r="T706" i="17"/>
  <c r="S706" i="17"/>
  <c r="R706" i="17"/>
  <c r="Q706" i="17"/>
  <c r="P706" i="17"/>
  <c r="O706" i="17"/>
  <c r="N706" i="17"/>
  <c r="M706" i="17"/>
  <c r="L706" i="17"/>
  <c r="K706" i="17"/>
  <c r="J706" i="17"/>
  <c r="I706" i="17"/>
  <c r="H706" i="17"/>
  <c r="G706" i="17"/>
  <c r="F706" i="17"/>
  <c r="E706" i="17"/>
  <c r="D706" i="17"/>
  <c r="C706" i="17"/>
  <c r="B706" i="17"/>
  <c r="A706" i="17"/>
  <c r="AM705" i="17"/>
  <c r="AL705" i="17"/>
  <c r="AK705" i="17"/>
  <c r="AJ705" i="17"/>
  <c r="AI705" i="17"/>
  <c r="AH705" i="17"/>
  <c r="AG705" i="17"/>
  <c r="AF705" i="17"/>
  <c r="AE705" i="17"/>
  <c r="AD705" i="17"/>
  <c r="AC705" i="17"/>
  <c r="AB705" i="17"/>
  <c r="AA705" i="17"/>
  <c r="Z705" i="17"/>
  <c r="Y705" i="17"/>
  <c r="X705" i="17"/>
  <c r="W705" i="17"/>
  <c r="V705" i="17"/>
  <c r="U705" i="17"/>
  <c r="T705" i="17"/>
  <c r="S705" i="17"/>
  <c r="R705" i="17"/>
  <c r="Q705" i="17"/>
  <c r="P705" i="17"/>
  <c r="O705" i="17"/>
  <c r="N705" i="17"/>
  <c r="M705" i="17"/>
  <c r="L705" i="17"/>
  <c r="K705" i="17"/>
  <c r="J705" i="17"/>
  <c r="I705" i="17"/>
  <c r="H705" i="17"/>
  <c r="G705" i="17"/>
  <c r="F705" i="17"/>
  <c r="E705" i="17"/>
  <c r="D705" i="17"/>
  <c r="C705" i="17"/>
  <c r="B705" i="17"/>
  <c r="A705" i="17"/>
  <c r="AM704" i="17"/>
  <c r="AL704" i="17"/>
  <c r="AK704" i="17"/>
  <c r="AJ704" i="17"/>
  <c r="AI704" i="17"/>
  <c r="AH704" i="17"/>
  <c r="AG704" i="17"/>
  <c r="AF704" i="17"/>
  <c r="AE704" i="17"/>
  <c r="AD704" i="17"/>
  <c r="AC704" i="17"/>
  <c r="AB704" i="17"/>
  <c r="AA704" i="17"/>
  <c r="Z704" i="17"/>
  <c r="Y704" i="17"/>
  <c r="X704" i="17"/>
  <c r="W704" i="17"/>
  <c r="V704" i="17"/>
  <c r="U704" i="17"/>
  <c r="T704" i="17"/>
  <c r="S704" i="17"/>
  <c r="R704" i="17"/>
  <c r="Q704" i="17"/>
  <c r="P704" i="17"/>
  <c r="O704" i="17"/>
  <c r="N704" i="17"/>
  <c r="M704" i="17"/>
  <c r="L704" i="17"/>
  <c r="K704" i="17"/>
  <c r="J704" i="17"/>
  <c r="I704" i="17"/>
  <c r="H704" i="17"/>
  <c r="G704" i="17"/>
  <c r="F704" i="17"/>
  <c r="E704" i="17"/>
  <c r="D704" i="17"/>
  <c r="C704" i="17"/>
  <c r="B704" i="17"/>
  <c r="A704" i="17"/>
  <c r="AM703" i="17"/>
  <c r="AL703" i="17"/>
  <c r="AK703" i="17"/>
  <c r="AJ703" i="17"/>
  <c r="AI703" i="17"/>
  <c r="AH703" i="17"/>
  <c r="AG703" i="17"/>
  <c r="AF703" i="17"/>
  <c r="AE703" i="17"/>
  <c r="AD703" i="17"/>
  <c r="AC703" i="17"/>
  <c r="AB703" i="17"/>
  <c r="AA703" i="17"/>
  <c r="Z703" i="17"/>
  <c r="Y703" i="17"/>
  <c r="X703" i="17"/>
  <c r="W703" i="17"/>
  <c r="V703" i="17"/>
  <c r="U703" i="17"/>
  <c r="T703" i="17"/>
  <c r="S703" i="17"/>
  <c r="R703" i="17"/>
  <c r="Q703" i="17"/>
  <c r="P703" i="17"/>
  <c r="O703" i="17"/>
  <c r="N703" i="17"/>
  <c r="M703" i="17"/>
  <c r="L703" i="17"/>
  <c r="K703" i="17"/>
  <c r="J703" i="17"/>
  <c r="I703" i="17"/>
  <c r="H703" i="17"/>
  <c r="G703" i="17"/>
  <c r="F703" i="17"/>
  <c r="E703" i="17"/>
  <c r="D703" i="17"/>
  <c r="C703" i="17"/>
  <c r="B703" i="17"/>
  <c r="A703" i="17"/>
  <c r="AM702" i="17"/>
  <c r="AL702" i="17"/>
  <c r="AK702" i="17"/>
  <c r="AJ702" i="17"/>
  <c r="AI702" i="17"/>
  <c r="AH702" i="17"/>
  <c r="AG702" i="17"/>
  <c r="AF702" i="17"/>
  <c r="AE702" i="17"/>
  <c r="AD702" i="17"/>
  <c r="AC702" i="17"/>
  <c r="AB702" i="17"/>
  <c r="AA702" i="17"/>
  <c r="Z702" i="17"/>
  <c r="Y702" i="17"/>
  <c r="X702" i="17"/>
  <c r="W702" i="17"/>
  <c r="V702" i="17"/>
  <c r="U702" i="17"/>
  <c r="T702" i="17"/>
  <c r="S702" i="17"/>
  <c r="R702" i="17"/>
  <c r="Q702" i="17"/>
  <c r="P702" i="17"/>
  <c r="O702" i="17"/>
  <c r="N702" i="17"/>
  <c r="M702" i="17"/>
  <c r="L702" i="17"/>
  <c r="K702" i="17"/>
  <c r="J702" i="17"/>
  <c r="I702" i="17"/>
  <c r="H702" i="17"/>
  <c r="G702" i="17"/>
  <c r="F702" i="17"/>
  <c r="E702" i="17"/>
  <c r="D702" i="17"/>
  <c r="C702" i="17"/>
  <c r="B702" i="17"/>
  <c r="A702" i="17"/>
  <c r="AM701" i="17"/>
  <c r="AL701" i="17"/>
  <c r="AK701" i="17"/>
  <c r="AJ701" i="17"/>
  <c r="AI701" i="17"/>
  <c r="AH701" i="17"/>
  <c r="AG701" i="17"/>
  <c r="AF701" i="17"/>
  <c r="AE701" i="17"/>
  <c r="AD701" i="17"/>
  <c r="AC701" i="17"/>
  <c r="AB701" i="17"/>
  <c r="AA701" i="17"/>
  <c r="Z701" i="17"/>
  <c r="Y701" i="17"/>
  <c r="X701" i="17"/>
  <c r="W701" i="17"/>
  <c r="V701" i="17"/>
  <c r="U701" i="17"/>
  <c r="T701" i="17"/>
  <c r="S701" i="17"/>
  <c r="R701" i="17"/>
  <c r="Q701" i="17"/>
  <c r="P701" i="17"/>
  <c r="O701" i="17"/>
  <c r="N701" i="17"/>
  <c r="M701" i="17"/>
  <c r="L701" i="17"/>
  <c r="K701" i="17"/>
  <c r="J701" i="17"/>
  <c r="I701" i="17"/>
  <c r="H701" i="17"/>
  <c r="G701" i="17"/>
  <c r="F701" i="17"/>
  <c r="E701" i="17"/>
  <c r="D701" i="17"/>
  <c r="C701" i="17"/>
  <c r="B701" i="17"/>
  <c r="A701" i="17"/>
  <c r="AM700" i="17"/>
  <c r="AL700" i="17"/>
  <c r="AK700" i="17"/>
  <c r="AJ700" i="17"/>
  <c r="AI700" i="17"/>
  <c r="AH700" i="17"/>
  <c r="AG700" i="17"/>
  <c r="AF700" i="17"/>
  <c r="AE700" i="17"/>
  <c r="AD700" i="17"/>
  <c r="AC700" i="17"/>
  <c r="AB700" i="17"/>
  <c r="AA700" i="17"/>
  <c r="Z700" i="17"/>
  <c r="Y700" i="17"/>
  <c r="X700" i="17"/>
  <c r="W700" i="17"/>
  <c r="V700" i="17"/>
  <c r="U700" i="17"/>
  <c r="T700" i="17"/>
  <c r="S700" i="17"/>
  <c r="R700" i="17"/>
  <c r="Q700" i="17"/>
  <c r="P700" i="17"/>
  <c r="O700" i="17"/>
  <c r="N700" i="17"/>
  <c r="M700" i="17"/>
  <c r="L700" i="17"/>
  <c r="K700" i="17"/>
  <c r="J700" i="17"/>
  <c r="I700" i="17"/>
  <c r="H700" i="17"/>
  <c r="G700" i="17"/>
  <c r="F700" i="17"/>
  <c r="E700" i="17"/>
  <c r="D700" i="17"/>
  <c r="C700" i="17"/>
  <c r="B700" i="17"/>
  <c r="A700" i="17"/>
  <c r="AM699" i="17"/>
  <c r="AL699" i="17"/>
  <c r="AK699" i="17"/>
  <c r="AJ699" i="17"/>
  <c r="AI699" i="17"/>
  <c r="AH699" i="17"/>
  <c r="AG699" i="17"/>
  <c r="AF699" i="17"/>
  <c r="AE699" i="17"/>
  <c r="AD699" i="17"/>
  <c r="AC699" i="17"/>
  <c r="AB699" i="17"/>
  <c r="AA699" i="17"/>
  <c r="Z699" i="17"/>
  <c r="Y699" i="17"/>
  <c r="X699" i="17"/>
  <c r="W699" i="17"/>
  <c r="V699" i="17"/>
  <c r="U699" i="17"/>
  <c r="T699" i="17"/>
  <c r="S699" i="17"/>
  <c r="R699" i="17"/>
  <c r="Q699" i="17"/>
  <c r="P699" i="17"/>
  <c r="O699" i="17"/>
  <c r="N699" i="17"/>
  <c r="M699" i="17"/>
  <c r="L699" i="17"/>
  <c r="K699" i="17"/>
  <c r="J699" i="17"/>
  <c r="I699" i="17"/>
  <c r="H699" i="17"/>
  <c r="G699" i="17"/>
  <c r="F699" i="17"/>
  <c r="E699" i="17"/>
  <c r="D699" i="17"/>
  <c r="C699" i="17"/>
  <c r="B699" i="17"/>
  <c r="A699" i="17"/>
  <c r="AM698" i="17"/>
  <c r="AL698" i="17"/>
  <c r="AK698" i="17"/>
  <c r="AJ698" i="17"/>
  <c r="AI698" i="17"/>
  <c r="AH698" i="17"/>
  <c r="AG698" i="17"/>
  <c r="AF698" i="17"/>
  <c r="AE698" i="17"/>
  <c r="AD698" i="17"/>
  <c r="AC698" i="17"/>
  <c r="AB698" i="17"/>
  <c r="AA698" i="17"/>
  <c r="Z698" i="17"/>
  <c r="Y698" i="17"/>
  <c r="X698" i="17"/>
  <c r="W698" i="17"/>
  <c r="V698" i="17"/>
  <c r="U698" i="17"/>
  <c r="T698" i="17"/>
  <c r="S698" i="17"/>
  <c r="R698" i="17"/>
  <c r="Q698" i="17"/>
  <c r="P698" i="17"/>
  <c r="O698" i="17"/>
  <c r="N698" i="17"/>
  <c r="M698" i="17"/>
  <c r="L698" i="17"/>
  <c r="K698" i="17"/>
  <c r="J698" i="17"/>
  <c r="I698" i="17"/>
  <c r="H698" i="17"/>
  <c r="G698" i="17"/>
  <c r="F698" i="17"/>
  <c r="E698" i="17"/>
  <c r="D698" i="17"/>
  <c r="C698" i="17"/>
  <c r="B698" i="17"/>
  <c r="A698" i="17"/>
  <c r="AM697" i="17"/>
  <c r="AL697" i="17"/>
  <c r="AK697" i="17"/>
  <c r="AJ697" i="17"/>
  <c r="AI697" i="17"/>
  <c r="AH697" i="17"/>
  <c r="AG697" i="17"/>
  <c r="AF697" i="17"/>
  <c r="AE697" i="17"/>
  <c r="AD697" i="17"/>
  <c r="AC697" i="17"/>
  <c r="AB697" i="17"/>
  <c r="AA697" i="17"/>
  <c r="Z697" i="17"/>
  <c r="Y697" i="17"/>
  <c r="X697" i="17"/>
  <c r="W697" i="17"/>
  <c r="V697" i="17"/>
  <c r="U697" i="17"/>
  <c r="T697" i="17"/>
  <c r="S697" i="17"/>
  <c r="R697" i="17"/>
  <c r="Q697" i="17"/>
  <c r="P697" i="17"/>
  <c r="O697" i="17"/>
  <c r="N697" i="17"/>
  <c r="M697" i="17"/>
  <c r="L697" i="17"/>
  <c r="K697" i="17"/>
  <c r="J697" i="17"/>
  <c r="I697" i="17"/>
  <c r="H697" i="17"/>
  <c r="G697" i="17"/>
  <c r="F697" i="17"/>
  <c r="E697" i="17"/>
  <c r="D697" i="17"/>
  <c r="C697" i="17"/>
  <c r="B697" i="17"/>
  <c r="A697" i="17"/>
  <c r="AM696" i="17"/>
  <c r="AL696" i="17"/>
  <c r="AK696" i="17"/>
  <c r="AJ696" i="17"/>
  <c r="AI696" i="17"/>
  <c r="AH696" i="17"/>
  <c r="AG696" i="17"/>
  <c r="AF696" i="17"/>
  <c r="AE696" i="17"/>
  <c r="AD696" i="17"/>
  <c r="AC696" i="17"/>
  <c r="AB696" i="17"/>
  <c r="AA696" i="17"/>
  <c r="Z696" i="17"/>
  <c r="Y696" i="17"/>
  <c r="X696" i="17"/>
  <c r="W696" i="17"/>
  <c r="V696" i="17"/>
  <c r="U696" i="17"/>
  <c r="T696" i="17"/>
  <c r="S696" i="17"/>
  <c r="R696" i="17"/>
  <c r="Q696" i="17"/>
  <c r="P696" i="17"/>
  <c r="O696" i="17"/>
  <c r="N696" i="17"/>
  <c r="M696" i="17"/>
  <c r="L696" i="17"/>
  <c r="K696" i="17"/>
  <c r="J696" i="17"/>
  <c r="I696" i="17"/>
  <c r="H696" i="17"/>
  <c r="G696" i="17"/>
  <c r="F696" i="17"/>
  <c r="E696" i="17"/>
  <c r="D696" i="17"/>
  <c r="C696" i="17"/>
  <c r="B696" i="17"/>
  <c r="A696" i="17"/>
  <c r="AM695" i="17"/>
  <c r="AL695" i="17"/>
  <c r="AK695" i="17"/>
  <c r="AJ695" i="17"/>
  <c r="AI695" i="17"/>
  <c r="AH695" i="17"/>
  <c r="AG695" i="17"/>
  <c r="AF695" i="17"/>
  <c r="AE695" i="17"/>
  <c r="AD695" i="17"/>
  <c r="AC695" i="17"/>
  <c r="AB695" i="17"/>
  <c r="AA695" i="17"/>
  <c r="Z695" i="17"/>
  <c r="Y695" i="17"/>
  <c r="X695" i="17"/>
  <c r="W695" i="17"/>
  <c r="V695" i="17"/>
  <c r="U695" i="17"/>
  <c r="T695" i="17"/>
  <c r="S695" i="17"/>
  <c r="R695" i="17"/>
  <c r="Q695" i="17"/>
  <c r="P695" i="17"/>
  <c r="O695" i="17"/>
  <c r="N695" i="17"/>
  <c r="M695" i="17"/>
  <c r="L695" i="17"/>
  <c r="K695" i="17"/>
  <c r="J695" i="17"/>
  <c r="I695" i="17"/>
  <c r="H695" i="17"/>
  <c r="G695" i="17"/>
  <c r="F695" i="17"/>
  <c r="E695" i="17"/>
  <c r="D695" i="17"/>
  <c r="C695" i="17"/>
  <c r="B695" i="17"/>
  <c r="A695" i="17"/>
  <c r="AM694" i="17"/>
  <c r="AL694" i="17"/>
  <c r="AK694" i="17"/>
  <c r="AJ694" i="17"/>
  <c r="AI694" i="17"/>
  <c r="AH694" i="17"/>
  <c r="AG694" i="17"/>
  <c r="AF694" i="17"/>
  <c r="AE694" i="17"/>
  <c r="AD694" i="17"/>
  <c r="AC694" i="17"/>
  <c r="AB694" i="17"/>
  <c r="AA694" i="17"/>
  <c r="Z694" i="17"/>
  <c r="Y694" i="17"/>
  <c r="X694" i="17"/>
  <c r="W694" i="17"/>
  <c r="V694" i="17"/>
  <c r="U694" i="17"/>
  <c r="T694" i="17"/>
  <c r="S694" i="17"/>
  <c r="R694" i="17"/>
  <c r="Q694" i="17"/>
  <c r="P694" i="17"/>
  <c r="O694" i="17"/>
  <c r="N694" i="17"/>
  <c r="M694" i="17"/>
  <c r="L694" i="17"/>
  <c r="K694" i="17"/>
  <c r="J694" i="17"/>
  <c r="I694" i="17"/>
  <c r="H694" i="17"/>
  <c r="G694" i="17"/>
  <c r="F694" i="17"/>
  <c r="E694" i="17"/>
  <c r="D694" i="17"/>
  <c r="C694" i="17"/>
  <c r="B694" i="17"/>
  <c r="A694" i="17"/>
  <c r="AM693" i="17"/>
  <c r="AL693" i="17"/>
  <c r="AK693" i="17"/>
  <c r="AJ693" i="17"/>
  <c r="AI693" i="17"/>
  <c r="AH693" i="17"/>
  <c r="AG693" i="17"/>
  <c r="AF693" i="17"/>
  <c r="AE693" i="17"/>
  <c r="AD693" i="17"/>
  <c r="AC693" i="17"/>
  <c r="AB693" i="17"/>
  <c r="AA693" i="17"/>
  <c r="Z693" i="17"/>
  <c r="Y693" i="17"/>
  <c r="X693" i="17"/>
  <c r="W693" i="17"/>
  <c r="V693" i="17"/>
  <c r="U693" i="17"/>
  <c r="T693" i="17"/>
  <c r="S693" i="17"/>
  <c r="R693" i="17"/>
  <c r="Q693" i="17"/>
  <c r="P693" i="17"/>
  <c r="O693" i="17"/>
  <c r="N693" i="17"/>
  <c r="M693" i="17"/>
  <c r="L693" i="17"/>
  <c r="K693" i="17"/>
  <c r="J693" i="17"/>
  <c r="I693" i="17"/>
  <c r="H693" i="17"/>
  <c r="G693" i="17"/>
  <c r="F693" i="17"/>
  <c r="E693" i="17"/>
  <c r="D693" i="17"/>
  <c r="C693" i="17"/>
  <c r="B693" i="17"/>
  <c r="A693" i="17"/>
  <c r="AM692" i="17"/>
  <c r="AL692" i="17"/>
  <c r="AK692" i="17"/>
  <c r="AJ692" i="17"/>
  <c r="AI692" i="17"/>
  <c r="AH692" i="17"/>
  <c r="AG692" i="17"/>
  <c r="AF692" i="17"/>
  <c r="AE692" i="17"/>
  <c r="AD692" i="17"/>
  <c r="AC692" i="17"/>
  <c r="AB692" i="17"/>
  <c r="AA692" i="17"/>
  <c r="Z692" i="17"/>
  <c r="Y692" i="17"/>
  <c r="X692" i="17"/>
  <c r="W692" i="17"/>
  <c r="V692" i="17"/>
  <c r="U692" i="17"/>
  <c r="T692" i="17"/>
  <c r="S692" i="17"/>
  <c r="R692" i="17"/>
  <c r="Q692" i="17"/>
  <c r="P692" i="17"/>
  <c r="O692" i="17"/>
  <c r="N692" i="17"/>
  <c r="M692" i="17"/>
  <c r="L692" i="17"/>
  <c r="K692" i="17"/>
  <c r="J692" i="17"/>
  <c r="I692" i="17"/>
  <c r="H692" i="17"/>
  <c r="G692" i="17"/>
  <c r="F692" i="17"/>
  <c r="E692" i="17"/>
  <c r="D692" i="17"/>
  <c r="C692" i="17"/>
  <c r="B692" i="17"/>
  <c r="A692" i="17"/>
  <c r="AM691" i="17"/>
  <c r="AL691" i="17"/>
  <c r="AK691" i="17"/>
  <c r="AJ691" i="17"/>
  <c r="AI691" i="17"/>
  <c r="AH691" i="17"/>
  <c r="AG691" i="17"/>
  <c r="AF691" i="17"/>
  <c r="AE691" i="17"/>
  <c r="AD691" i="17"/>
  <c r="AC691" i="17"/>
  <c r="AB691" i="17"/>
  <c r="AA691" i="17"/>
  <c r="Z691" i="17"/>
  <c r="Y691" i="17"/>
  <c r="X691" i="17"/>
  <c r="W691" i="17"/>
  <c r="V691" i="17"/>
  <c r="U691" i="17"/>
  <c r="T691" i="17"/>
  <c r="S691" i="17"/>
  <c r="R691" i="17"/>
  <c r="Q691" i="17"/>
  <c r="P691" i="17"/>
  <c r="O691" i="17"/>
  <c r="N691" i="17"/>
  <c r="M691" i="17"/>
  <c r="L691" i="17"/>
  <c r="K691" i="17"/>
  <c r="J691" i="17"/>
  <c r="I691" i="17"/>
  <c r="H691" i="17"/>
  <c r="G691" i="17"/>
  <c r="F691" i="17"/>
  <c r="E691" i="17"/>
  <c r="D691" i="17"/>
  <c r="C691" i="17"/>
  <c r="B691" i="17"/>
  <c r="A691" i="17"/>
  <c r="AM690" i="17"/>
  <c r="AL690" i="17"/>
  <c r="AK690" i="17"/>
  <c r="AJ690" i="17"/>
  <c r="AI690" i="17"/>
  <c r="AH690" i="17"/>
  <c r="AG690" i="17"/>
  <c r="AF690" i="17"/>
  <c r="AE690" i="17"/>
  <c r="AD690" i="17"/>
  <c r="AC690" i="17"/>
  <c r="AB690" i="17"/>
  <c r="AA690" i="17"/>
  <c r="Z690" i="17"/>
  <c r="Y690" i="17"/>
  <c r="X690" i="17"/>
  <c r="W690" i="17"/>
  <c r="V690" i="17"/>
  <c r="U690" i="17"/>
  <c r="T690" i="17"/>
  <c r="S690" i="17"/>
  <c r="R690" i="17"/>
  <c r="Q690" i="17"/>
  <c r="P690" i="17"/>
  <c r="O690" i="17"/>
  <c r="N690" i="17"/>
  <c r="M690" i="17"/>
  <c r="L690" i="17"/>
  <c r="K690" i="17"/>
  <c r="J690" i="17"/>
  <c r="I690" i="17"/>
  <c r="H690" i="17"/>
  <c r="G690" i="17"/>
  <c r="F690" i="17"/>
  <c r="E690" i="17"/>
  <c r="D690" i="17"/>
  <c r="C690" i="17"/>
  <c r="B690" i="17"/>
  <c r="A690" i="17"/>
  <c r="AM689" i="17"/>
  <c r="AL689" i="17"/>
  <c r="AK689" i="17"/>
  <c r="AJ689" i="17"/>
  <c r="AI689" i="17"/>
  <c r="AH689" i="17"/>
  <c r="AG689" i="17"/>
  <c r="AF689" i="17"/>
  <c r="AE689" i="17"/>
  <c r="AD689" i="17"/>
  <c r="AC689" i="17"/>
  <c r="AB689" i="17"/>
  <c r="AA689" i="17"/>
  <c r="Z689" i="17"/>
  <c r="Y689" i="17"/>
  <c r="X689" i="17"/>
  <c r="W689" i="17"/>
  <c r="V689" i="17"/>
  <c r="U689" i="17"/>
  <c r="T689" i="17"/>
  <c r="S689" i="17"/>
  <c r="R689" i="17"/>
  <c r="Q689" i="17"/>
  <c r="P689" i="17"/>
  <c r="O689" i="17"/>
  <c r="N689" i="17"/>
  <c r="M689" i="17"/>
  <c r="L689" i="17"/>
  <c r="K689" i="17"/>
  <c r="J689" i="17"/>
  <c r="I689" i="17"/>
  <c r="H689" i="17"/>
  <c r="G689" i="17"/>
  <c r="F689" i="17"/>
  <c r="E689" i="17"/>
  <c r="D689" i="17"/>
  <c r="C689" i="17"/>
  <c r="B689" i="17"/>
  <c r="A689" i="17"/>
  <c r="AM688" i="17"/>
  <c r="AL688" i="17"/>
  <c r="AK688" i="17"/>
  <c r="AJ688" i="17"/>
  <c r="AI688" i="17"/>
  <c r="AH688" i="17"/>
  <c r="AG688" i="17"/>
  <c r="AF688" i="17"/>
  <c r="AE688" i="17"/>
  <c r="AD688" i="17"/>
  <c r="AC688" i="17"/>
  <c r="AB688" i="17"/>
  <c r="AA688" i="17"/>
  <c r="Z688" i="17"/>
  <c r="Y688" i="17"/>
  <c r="X688" i="17"/>
  <c r="W688" i="17"/>
  <c r="V688" i="17"/>
  <c r="U688" i="17"/>
  <c r="T688" i="17"/>
  <c r="S688" i="17"/>
  <c r="R688" i="17"/>
  <c r="Q688" i="17"/>
  <c r="P688" i="17"/>
  <c r="O688" i="17"/>
  <c r="N688" i="17"/>
  <c r="M688" i="17"/>
  <c r="L688" i="17"/>
  <c r="K688" i="17"/>
  <c r="J688" i="17"/>
  <c r="I688" i="17"/>
  <c r="H688" i="17"/>
  <c r="G688" i="17"/>
  <c r="F688" i="17"/>
  <c r="E688" i="17"/>
  <c r="D688" i="17"/>
  <c r="C688" i="17"/>
  <c r="B688" i="17"/>
  <c r="A688" i="17"/>
  <c r="AM687" i="17"/>
  <c r="AL687" i="17"/>
  <c r="AK687" i="17"/>
  <c r="AJ687" i="17"/>
  <c r="AI687" i="17"/>
  <c r="AH687" i="17"/>
  <c r="AG687" i="17"/>
  <c r="AF687" i="17"/>
  <c r="AE687" i="17"/>
  <c r="AD687" i="17"/>
  <c r="AC687" i="17"/>
  <c r="AB687" i="17"/>
  <c r="AA687" i="17"/>
  <c r="Z687" i="17"/>
  <c r="Y687" i="17"/>
  <c r="X687" i="17"/>
  <c r="W687" i="17"/>
  <c r="V687" i="17"/>
  <c r="U687" i="17"/>
  <c r="T687" i="17"/>
  <c r="S687" i="17"/>
  <c r="R687" i="17"/>
  <c r="Q687" i="17"/>
  <c r="P687" i="17"/>
  <c r="O687" i="17"/>
  <c r="N687" i="17"/>
  <c r="M687" i="17"/>
  <c r="L687" i="17"/>
  <c r="K687" i="17"/>
  <c r="J687" i="17"/>
  <c r="I687" i="17"/>
  <c r="H687" i="17"/>
  <c r="G687" i="17"/>
  <c r="F687" i="17"/>
  <c r="E687" i="17"/>
  <c r="D687" i="17"/>
  <c r="C687" i="17"/>
  <c r="B687" i="17"/>
  <c r="A687" i="17"/>
  <c r="AM686" i="17"/>
  <c r="AL686" i="17"/>
  <c r="AK686" i="17"/>
  <c r="AJ686" i="17"/>
  <c r="AI686" i="17"/>
  <c r="AH686" i="17"/>
  <c r="AG686" i="17"/>
  <c r="AF686" i="17"/>
  <c r="AE686" i="17"/>
  <c r="AD686" i="17"/>
  <c r="AC686" i="17"/>
  <c r="AB686" i="17"/>
  <c r="AA686" i="17"/>
  <c r="Z686" i="17"/>
  <c r="Y686" i="17"/>
  <c r="X686" i="17"/>
  <c r="W686" i="17"/>
  <c r="V686" i="17"/>
  <c r="U686" i="17"/>
  <c r="T686" i="17"/>
  <c r="S686" i="17"/>
  <c r="R686" i="17"/>
  <c r="Q686" i="17"/>
  <c r="P686" i="17"/>
  <c r="O686" i="17"/>
  <c r="N686" i="17"/>
  <c r="M686" i="17"/>
  <c r="L686" i="17"/>
  <c r="K686" i="17"/>
  <c r="J686" i="17"/>
  <c r="I686" i="17"/>
  <c r="H686" i="17"/>
  <c r="G686" i="17"/>
  <c r="F686" i="17"/>
  <c r="E686" i="17"/>
  <c r="D686" i="17"/>
  <c r="C686" i="17"/>
  <c r="B686" i="17"/>
  <c r="A686" i="17"/>
  <c r="AM685" i="17"/>
  <c r="AL685" i="17"/>
  <c r="AK685" i="17"/>
  <c r="AJ685" i="17"/>
  <c r="AI685" i="17"/>
  <c r="AH685" i="17"/>
  <c r="AG685" i="17"/>
  <c r="AF685" i="17"/>
  <c r="AE685" i="17"/>
  <c r="AD685" i="17"/>
  <c r="AC685" i="17"/>
  <c r="AB685" i="17"/>
  <c r="AA685" i="17"/>
  <c r="Z685" i="17"/>
  <c r="Y685" i="17"/>
  <c r="X685" i="17"/>
  <c r="W685" i="17"/>
  <c r="V685" i="17"/>
  <c r="U685" i="17"/>
  <c r="T685" i="17"/>
  <c r="S685" i="17"/>
  <c r="R685" i="17"/>
  <c r="Q685" i="17"/>
  <c r="P685" i="17"/>
  <c r="O685" i="17"/>
  <c r="N685" i="17"/>
  <c r="M685" i="17"/>
  <c r="L685" i="17"/>
  <c r="K685" i="17"/>
  <c r="J685" i="17"/>
  <c r="I685" i="17"/>
  <c r="H685" i="17"/>
  <c r="G685" i="17"/>
  <c r="F685" i="17"/>
  <c r="E685" i="17"/>
  <c r="D685" i="17"/>
  <c r="C685" i="17"/>
  <c r="B685" i="17"/>
  <c r="A685" i="17"/>
  <c r="AM684" i="17"/>
  <c r="AL684" i="17"/>
  <c r="AK684" i="17"/>
  <c r="AJ684" i="17"/>
  <c r="AI684" i="17"/>
  <c r="AH684" i="17"/>
  <c r="AG684" i="17"/>
  <c r="AF684" i="17"/>
  <c r="AE684" i="17"/>
  <c r="AD684" i="17"/>
  <c r="AC684" i="17"/>
  <c r="AB684" i="17"/>
  <c r="AA684" i="17"/>
  <c r="Z684" i="17"/>
  <c r="Y684" i="17"/>
  <c r="X684" i="17"/>
  <c r="W684" i="17"/>
  <c r="V684" i="17"/>
  <c r="U684" i="17"/>
  <c r="T684" i="17"/>
  <c r="S684" i="17"/>
  <c r="R684" i="17"/>
  <c r="Q684" i="17"/>
  <c r="P684" i="17"/>
  <c r="O684" i="17"/>
  <c r="N684" i="17"/>
  <c r="M684" i="17"/>
  <c r="L684" i="17"/>
  <c r="K684" i="17"/>
  <c r="J684" i="17"/>
  <c r="I684" i="17"/>
  <c r="H684" i="17"/>
  <c r="G684" i="17"/>
  <c r="F684" i="17"/>
  <c r="E684" i="17"/>
  <c r="D684" i="17"/>
  <c r="C684" i="17"/>
  <c r="B684" i="17"/>
  <c r="A684" i="17"/>
  <c r="AM683" i="17"/>
  <c r="AL683" i="17"/>
  <c r="AK683" i="17"/>
  <c r="AJ683" i="17"/>
  <c r="AI683" i="17"/>
  <c r="AH683" i="17"/>
  <c r="AG683" i="17"/>
  <c r="AF683" i="17"/>
  <c r="AE683" i="17"/>
  <c r="AD683" i="17"/>
  <c r="AC683" i="17"/>
  <c r="AB683" i="17"/>
  <c r="AA683" i="17"/>
  <c r="Z683" i="17"/>
  <c r="Y683" i="17"/>
  <c r="X683" i="17"/>
  <c r="W683" i="17"/>
  <c r="V683" i="17"/>
  <c r="U683" i="17"/>
  <c r="T683" i="17"/>
  <c r="S683" i="17"/>
  <c r="R683" i="17"/>
  <c r="Q683" i="17"/>
  <c r="P683" i="17"/>
  <c r="O683" i="17"/>
  <c r="N683" i="17"/>
  <c r="M683" i="17"/>
  <c r="L683" i="17"/>
  <c r="K683" i="17"/>
  <c r="J683" i="17"/>
  <c r="I683" i="17"/>
  <c r="H683" i="17"/>
  <c r="G683" i="17"/>
  <c r="F683" i="17"/>
  <c r="E683" i="17"/>
  <c r="D683" i="17"/>
  <c r="C683" i="17"/>
  <c r="B683" i="17"/>
  <c r="A683" i="17"/>
  <c r="AM682" i="17"/>
  <c r="AL682" i="17"/>
  <c r="AK682" i="17"/>
  <c r="AJ682" i="17"/>
  <c r="AI682" i="17"/>
  <c r="AH682" i="17"/>
  <c r="AG682" i="17"/>
  <c r="AF682" i="17"/>
  <c r="AE682" i="17"/>
  <c r="AD682" i="17"/>
  <c r="AC682" i="17"/>
  <c r="AB682" i="17"/>
  <c r="AA682" i="17"/>
  <c r="Z682" i="17"/>
  <c r="Y682" i="17"/>
  <c r="X682" i="17"/>
  <c r="W682" i="17"/>
  <c r="V682" i="17"/>
  <c r="U682" i="17"/>
  <c r="T682" i="17"/>
  <c r="S682" i="17"/>
  <c r="R682" i="17"/>
  <c r="Q682" i="17"/>
  <c r="P682" i="17"/>
  <c r="O682" i="17"/>
  <c r="N682" i="17"/>
  <c r="M682" i="17"/>
  <c r="L682" i="17"/>
  <c r="K682" i="17"/>
  <c r="J682" i="17"/>
  <c r="I682" i="17"/>
  <c r="H682" i="17"/>
  <c r="G682" i="17"/>
  <c r="F682" i="17"/>
  <c r="E682" i="17"/>
  <c r="D682" i="17"/>
  <c r="C682" i="17"/>
  <c r="B682" i="17"/>
  <c r="A682" i="17"/>
  <c r="AM681" i="17"/>
  <c r="AL681" i="17"/>
  <c r="AK681" i="17"/>
  <c r="AJ681" i="17"/>
  <c r="AI681" i="17"/>
  <c r="AH681" i="17"/>
  <c r="AG681" i="17"/>
  <c r="AF681" i="17"/>
  <c r="AE681" i="17"/>
  <c r="AD681" i="17"/>
  <c r="AC681" i="17"/>
  <c r="AB681" i="17"/>
  <c r="AA681" i="17"/>
  <c r="Z681" i="17"/>
  <c r="Y681" i="17"/>
  <c r="X681" i="17"/>
  <c r="W681" i="17"/>
  <c r="V681" i="17"/>
  <c r="U681" i="17"/>
  <c r="T681" i="17"/>
  <c r="S681" i="17"/>
  <c r="R681" i="17"/>
  <c r="Q681" i="17"/>
  <c r="P681" i="17"/>
  <c r="O681" i="17"/>
  <c r="N681" i="17"/>
  <c r="M681" i="17"/>
  <c r="L681" i="17"/>
  <c r="K681" i="17"/>
  <c r="J681" i="17"/>
  <c r="I681" i="17"/>
  <c r="H681" i="17"/>
  <c r="G681" i="17"/>
  <c r="F681" i="17"/>
  <c r="E681" i="17"/>
  <c r="D681" i="17"/>
  <c r="C681" i="17"/>
  <c r="B681" i="17"/>
  <c r="A681" i="17"/>
  <c r="AM680" i="17"/>
  <c r="AL680" i="17"/>
  <c r="AK680" i="17"/>
  <c r="AJ680" i="17"/>
  <c r="AI680" i="17"/>
  <c r="AH680" i="17"/>
  <c r="AG680" i="17"/>
  <c r="AF680" i="17"/>
  <c r="AE680" i="17"/>
  <c r="AD680" i="17"/>
  <c r="AC680" i="17"/>
  <c r="AB680" i="17"/>
  <c r="AA680" i="17"/>
  <c r="Z680" i="17"/>
  <c r="Y680" i="17"/>
  <c r="X680" i="17"/>
  <c r="W680" i="17"/>
  <c r="V680" i="17"/>
  <c r="U680" i="17"/>
  <c r="T680" i="17"/>
  <c r="S680" i="17"/>
  <c r="R680" i="17"/>
  <c r="Q680" i="17"/>
  <c r="P680" i="17"/>
  <c r="O680" i="17"/>
  <c r="N680" i="17"/>
  <c r="M680" i="17"/>
  <c r="L680" i="17"/>
  <c r="K680" i="17"/>
  <c r="J680" i="17"/>
  <c r="I680" i="17"/>
  <c r="H680" i="17"/>
  <c r="G680" i="17"/>
  <c r="F680" i="17"/>
  <c r="E680" i="17"/>
  <c r="D680" i="17"/>
  <c r="C680" i="17"/>
  <c r="B680" i="17"/>
  <c r="A680" i="17"/>
  <c r="AM679" i="17"/>
  <c r="AL679" i="17"/>
  <c r="AK679" i="17"/>
  <c r="AJ679" i="17"/>
  <c r="AI679" i="17"/>
  <c r="AH679" i="17"/>
  <c r="AG679" i="17"/>
  <c r="AF679" i="17"/>
  <c r="AE679" i="17"/>
  <c r="AD679" i="17"/>
  <c r="AC679" i="17"/>
  <c r="AB679" i="17"/>
  <c r="AA679" i="17"/>
  <c r="Z679" i="17"/>
  <c r="Y679" i="17"/>
  <c r="X679" i="17"/>
  <c r="W679" i="17"/>
  <c r="V679" i="17"/>
  <c r="U679" i="17"/>
  <c r="T679" i="17"/>
  <c r="S679" i="17"/>
  <c r="R679" i="17"/>
  <c r="Q679" i="17"/>
  <c r="P679" i="17"/>
  <c r="O679" i="17"/>
  <c r="N679" i="17"/>
  <c r="M679" i="17"/>
  <c r="L679" i="17"/>
  <c r="K679" i="17"/>
  <c r="J679" i="17"/>
  <c r="I679" i="17"/>
  <c r="H679" i="17"/>
  <c r="G679" i="17"/>
  <c r="F679" i="17"/>
  <c r="E679" i="17"/>
  <c r="D679" i="17"/>
  <c r="C679" i="17"/>
  <c r="B679" i="17"/>
  <c r="A679" i="17"/>
  <c r="AM678" i="17"/>
  <c r="AL678" i="17"/>
  <c r="AK678" i="17"/>
  <c r="AJ678" i="17"/>
  <c r="AI678" i="17"/>
  <c r="AH678" i="17"/>
  <c r="AG678" i="17"/>
  <c r="AF678" i="17"/>
  <c r="AE678" i="17"/>
  <c r="AD678" i="17"/>
  <c r="AC678" i="17"/>
  <c r="AB678" i="17"/>
  <c r="AA678" i="17"/>
  <c r="Z678" i="17"/>
  <c r="Y678" i="17"/>
  <c r="X678" i="17"/>
  <c r="W678" i="17"/>
  <c r="V678" i="17"/>
  <c r="U678" i="17"/>
  <c r="T678" i="17"/>
  <c r="S678" i="17"/>
  <c r="R678" i="17"/>
  <c r="Q678" i="17"/>
  <c r="P678" i="17"/>
  <c r="O678" i="17"/>
  <c r="N678" i="17"/>
  <c r="M678" i="17"/>
  <c r="L678" i="17"/>
  <c r="K678" i="17"/>
  <c r="J678" i="17"/>
  <c r="I678" i="17"/>
  <c r="H678" i="17"/>
  <c r="G678" i="17"/>
  <c r="F678" i="17"/>
  <c r="E678" i="17"/>
  <c r="D678" i="17"/>
  <c r="C678" i="17"/>
  <c r="B678" i="17"/>
  <c r="A678" i="17"/>
  <c r="AM677" i="17"/>
  <c r="AL677" i="17"/>
  <c r="AK677" i="17"/>
  <c r="AJ677" i="17"/>
  <c r="AI677" i="17"/>
  <c r="AH677" i="17"/>
  <c r="AG677" i="17"/>
  <c r="AF677" i="17"/>
  <c r="AE677" i="17"/>
  <c r="AD677" i="17"/>
  <c r="AC677" i="17"/>
  <c r="AB677" i="17"/>
  <c r="AA677" i="17"/>
  <c r="Z677" i="17"/>
  <c r="Y677" i="17"/>
  <c r="X677" i="17"/>
  <c r="W677" i="17"/>
  <c r="V677" i="17"/>
  <c r="U677" i="17"/>
  <c r="T677" i="17"/>
  <c r="S677" i="17"/>
  <c r="R677" i="17"/>
  <c r="Q677" i="17"/>
  <c r="P677" i="17"/>
  <c r="O677" i="17"/>
  <c r="N677" i="17"/>
  <c r="M677" i="17"/>
  <c r="L677" i="17"/>
  <c r="K677" i="17"/>
  <c r="J677" i="17"/>
  <c r="I677" i="17"/>
  <c r="H677" i="17"/>
  <c r="G677" i="17"/>
  <c r="F677" i="17"/>
  <c r="E677" i="17"/>
  <c r="D677" i="17"/>
  <c r="C677" i="17"/>
  <c r="B677" i="17"/>
  <c r="A677" i="17"/>
  <c r="AM676" i="17"/>
  <c r="AL676" i="17"/>
  <c r="AK676" i="17"/>
  <c r="AJ676" i="17"/>
  <c r="AI676" i="17"/>
  <c r="AH676" i="17"/>
  <c r="AG676" i="17"/>
  <c r="AF676" i="17"/>
  <c r="AE676" i="17"/>
  <c r="AD676" i="17"/>
  <c r="AC676" i="17"/>
  <c r="AB676" i="17"/>
  <c r="AA676" i="17"/>
  <c r="Z676" i="17"/>
  <c r="Y676" i="17"/>
  <c r="X676" i="17"/>
  <c r="W676" i="17"/>
  <c r="V676" i="17"/>
  <c r="U676" i="17"/>
  <c r="T676" i="17"/>
  <c r="S676" i="17"/>
  <c r="R676" i="17"/>
  <c r="Q676" i="17"/>
  <c r="P676" i="17"/>
  <c r="O676" i="17"/>
  <c r="N676" i="17"/>
  <c r="M676" i="17"/>
  <c r="L676" i="17"/>
  <c r="K676" i="17"/>
  <c r="J676" i="17"/>
  <c r="I676" i="17"/>
  <c r="H676" i="17"/>
  <c r="G676" i="17"/>
  <c r="F676" i="17"/>
  <c r="E676" i="17"/>
  <c r="D676" i="17"/>
  <c r="C676" i="17"/>
  <c r="B676" i="17"/>
  <c r="A676" i="17"/>
  <c r="AM675" i="17"/>
  <c r="AL675" i="17"/>
  <c r="AK675" i="17"/>
  <c r="AJ675" i="17"/>
  <c r="AI675" i="17"/>
  <c r="AH675" i="17"/>
  <c r="AG675" i="17"/>
  <c r="AF675" i="17"/>
  <c r="AE675" i="17"/>
  <c r="AD675" i="17"/>
  <c r="AC675" i="17"/>
  <c r="AB675" i="17"/>
  <c r="AA675" i="17"/>
  <c r="Z675" i="17"/>
  <c r="Y675" i="17"/>
  <c r="X675" i="17"/>
  <c r="W675" i="17"/>
  <c r="V675" i="17"/>
  <c r="U675" i="17"/>
  <c r="T675" i="17"/>
  <c r="S675" i="17"/>
  <c r="R675" i="17"/>
  <c r="Q675" i="17"/>
  <c r="P675" i="17"/>
  <c r="O675" i="17"/>
  <c r="N675" i="17"/>
  <c r="M675" i="17"/>
  <c r="L675" i="17"/>
  <c r="K675" i="17"/>
  <c r="J675" i="17"/>
  <c r="I675" i="17"/>
  <c r="H675" i="17"/>
  <c r="G675" i="17"/>
  <c r="F675" i="17"/>
  <c r="E675" i="17"/>
  <c r="D675" i="17"/>
  <c r="C675" i="17"/>
  <c r="B675" i="17"/>
  <c r="A675" i="17"/>
  <c r="AM674" i="17"/>
  <c r="AL674" i="17"/>
  <c r="AK674" i="17"/>
  <c r="AJ674" i="17"/>
  <c r="AI674" i="17"/>
  <c r="AH674" i="17"/>
  <c r="AG674" i="17"/>
  <c r="AF674" i="17"/>
  <c r="AE674" i="17"/>
  <c r="AD674" i="17"/>
  <c r="AC674" i="17"/>
  <c r="AB674" i="17"/>
  <c r="AA674" i="17"/>
  <c r="Z674" i="17"/>
  <c r="Y674" i="17"/>
  <c r="X674" i="17"/>
  <c r="W674" i="17"/>
  <c r="V674" i="17"/>
  <c r="U674" i="17"/>
  <c r="T674" i="17"/>
  <c r="S674" i="17"/>
  <c r="R674" i="17"/>
  <c r="Q674" i="17"/>
  <c r="P674" i="17"/>
  <c r="O674" i="17"/>
  <c r="N674" i="17"/>
  <c r="M674" i="17"/>
  <c r="L674" i="17"/>
  <c r="K674" i="17"/>
  <c r="J674" i="17"/>
  <c r="I674" i="17"/>
  <c r="H674" i="17"/>
  <c r="G674" i="17"/>
  <c r="F674" i="17"/>
  <c r="E674" i="17"/>
  <c r="D674" i="17"/>
  <c r="C674" i="17"/>
  <c r="B674" i="17"/>
  <c r="A674" i="17"/>
  <c r="AM673" i="17"/>
  <c r="AL673" i="17"/>
  <c r="AK673" i="17"/>
  <c r="AJ673" i="17"/>
  <c r="AI673" i="17"/>
  <c r="AH673" i="17"/>
  <c r="AG673" i="17"/>
  <c r="AF673" i="17"/>
  <c r="AE673" i="17"/>
  <c r="AD673" i="17"/>
  <c r="AC673" i="17"/>
  <c r="AB673" i="17"/>
  <c r="AA673" i="17"/>
  <c r="Z673" i="17"/>
  <c r="Y673" i="17"/>
  <c r="X673" i="17"/>
  <c r="W673" i="17"/>
  <c r="V673" i="17"/>
  <c r="U673" i="17"/>
  <c r="T673" i="17"/>
  <c r="S673" i="17"/>
  <c r="R673" i="17"/>
  <c r="Q673" i="17"/>
  <c r="P673" i="17"/>
  <c r="O673" i="17"/>
  <c r="N673" i="17"/>
  <c r="M673" i="17"/>
  <c r="L673" i="17"/>
  <c r="K673" i="17"/>
  <c r="J673" i="17"/>
  <c r="I673" i="17"/>
  <c r="H673" i="17"/>
  <c r="G673" i="17"/>
  <c r="F673" i="17"/>
  <c r="E673" i="17"/>
  <c r="D673" i="17"/>
  <c r="C673" i="17"/>
  <c r="B673" i="17"/>
  <c r="A673" i="17"/>
  <c r="AM672" i="17"/>
  <c r="AL672" i="17"/>
  <c r="AK672" i="17"/>
  <c r="AJ672" i="17"/>
  <c r="AI672" i="17"/>
  <c r="AH672" i="17"/>
  <c r="AG672" i="17"/>
  <c r="AF672" i="17"/>
  <c r="AE672" i="17"/>
  <c r="AD672" i="17"/>
  <c r="AC672" i="17"/>
  <c r="AB672" i="17"/>
  <c r="AA672" i="17"/>
  <c r="Z672" i="17"/>
  <c r="Y672" i="17"/>
  <c r="X672" i="17"/>
  <c r="W672" i="17"/>
  <c r="V672" i="17"/>
  <c r="U672" i="17"/>
  <c r="T672" i="17"/>
  <c r="S672" i="17"/>
  <c r="R672" i="17"/>
  <c r="Q672" i="17"/>
  <c r="P672" i="17"/>
  <c r="O672" i="17"/>
  <c r="N672" i="17"/>
  <c r="M672" i="17"/>
  <c r="L672" i="17"/>
  <c r="K672" i="17"/>
  <c r="J672" i="17"/>
  <c r="I672" i="17"/>
  <c r="H672" i="17"/>
  <c r="G672" i="17"/>
  <c r="F672" i="17"/>
  <c r="E672" i="17"/>
  <c r="D672" i="17"/>
  <c r="C672" i="17"/>
  <c r="B672" i="17"/>
  <c r="A672" i="17"/>
  <c r="AM671" i="17"/>
  <c r="AL671" i="17"/>
  <c r="AK671" i="17"/>
  <c r="AJ671" i="17"/>
  <c r="AI671" i="17"/>
  <c r="AH671" i="17"/>
  <c r="AG671" i="17"/>
  <c r="AF671" i="17"/>
  <c r="AE671" i="17"/>
  <c r="AD671" i="17"/>
  <c r="AC671" i="17"/>
  <c r="AB671" i="17"/>
  <c r="AA671" i="17"/>
  <c r="Z671" i="17"/>
  <c r="Y671" i="17"/>
  <c r="X671" i="17"/>
  <c r="W671" i="17"/>
  <c r="V671" i="17"/>
  <c r="U671" i="17"/>
  <c r="T671" i="17"/>
  <c r="S671" i="17"/>
  <c r="R671" i="17"/>
  <c r="Q671" i="17"/>
  <c r="P671" i="17"/>
  <c r="O671" i="17"/>
  <c r="N671" i="17"/>
  <c r="M671" i="17"/>
  <c r="L671" i="17"/>
  <c r="K671" i="17"/>
  <c r="J671" i="17"/>
  <c r="I671" i="17"/>
  <c r="H671" i="17"/>
  <c r="G671" i="17"/>
  <c r="F671" i="17"/>
  <c r="E671" i="17"/>
  <c r="D671" i="17"/>
  <c r="C671" i="17"/>
  <c r="B671" i="17"/>
  <c r="A671" i="17"/>
  <c r="AM670" i="17"/>
  <c r="AL670" i="17"/>
  <c r="AK670" i="17"/>
  <c r="AJ670" i="17"/>
  <c r="AI670" i="17"/>
  <c r="AH670" i="17"/>
  <c r="AG670" i="17"/>
  <c r="AF670" i="17"/>
  <c r="AE670" i="17"/>
  <c r="AD670" i="17"/>
  <c r="AC670" i="17"/>
  <c r="AB670" i="17"/>
  <c r="AA670" i="17"/>
  <c r="Z670" i="17"/>
  <c r="Y670" i="17"/>
  <c r="X670" i="17"/>
  <c r="W670" i="17"/>
  <c r="V670" i="17"/>
  <c r="U670" i="17"/>
  <c r="T670" i="17"/>
  <c r="S670" i="17"/>
  <c r="R670" i="17"/>
  <c r="Q670" i="17"/>
  <c r="P670" i="17"/>
  <c r="O670" i="17"/>
  <c r="N670" i="17"/>
  <c r="M670" i="17"/>
  <c r="L670" i="17"/>
  <c r="K670" i="17"/>
  <c r="J670" i="17"/>
  <c r="I670" i="17"/>
  <c r="H670" i="17"/>
  <c r="G670" i="17"/>
  <c r="F670" i="17"/>
  <c r="E670" i="17"/>
  <c r="D670" i="17"/>
  <c r="C670" i="17"/>
  <c r="B670" i="17"/>
  <c r="A670" i="17"/>
  <c r="AM669" i="17"/>
  <c r="AL669" i="17"/>
  <c r="AK669" i="17"/>
  <c r="AJ669" i="17"/>
  <c r="AI669" i="17"/>
  <c r="AH669" i="17"/>
  <c r="AG669" i="17"/>
  <c r="AF669" i="17"/>
  <c r="AE669" i="17"/>
  <c r="AD669" i="17"/>
  <c r="AC669" i="17"/>
  <c r="AB669" i="17"/>
  <c r="AA669" i="17"/>
  <c r="Z669" i="17"/>
  <c r="Y669" i="17"/>
  <c r="X669" i="17"/>
  <c r="W669" i="17"/>
  <c r="V669" i="17"/>
  <c r="U669" i="17"/>
  <c r="T669" i="17"/>
  <c r="S669" i="17"/>
  <c r="R669" i="17"/>
  <c r="Q669" i="17"/>
  <c r="P669" i="17"/>
  <c r="O669" i="17"/>
  <c r="N669" i="17"/>
  <c r="M669" i="17"/>
  <c r="L669" i="17"/>
  <c r="K669" i="17"/>
  <c r="J669" i="17"/>
  <c r="I669" i="17"/>
  <c r="H669" i="17"/>
  <c r="G669" i="17"/>
  <c r="F669" i="17"/>
  <c r="E669" i="17"/>
  <c r="D669" i="17"/>
  <c r="C669" i="17"/>
  <c r="B669" i="17"/>
  <c r="A669" i="17"/>
  <c r="AM668" i="17"/>
  <c r="AL668" i="17"/>
  <c r="AK668" i="17"/>
  <c r="AJ668" i="17"/>
  <c r="AI668" i="17"/>
  <c r="AH668" i="17"/>
  <c r="AG668" i="17"/>
  <c r="AF668" i="17"/>
  <c r="AE668" i="17"/>
  <c r="AD668" i="17"/>
  <c r="AC668" i="17"/>
  <c r="AB668" i="17"/>
  <c r="AA668" i="17"/>
  <c r="Z668" i="17"/>
  <c r="Y668" i="17"/>
  <c r="X668" i="17"/>
  <c r="W668" i="17"/>
  <c r="V668" i="17"/>
  <c r="U668" i="17"/>
  <c r="T668" i="17"/>
  <c r="S668" i="17"/>
  <c r="R668" i="17"/>
  <c r="Q668" i="17"/>
  <c r="P668" i="17"/>
  <c r="O668" i="17"/>
  <c r="N668" i="17"/>
  <c r="M668" i="17"/>
  <c r="L668" i="17"/>
  <c r="K668" i="17"/>
  <c r="J668" i="17"/>
  <c r="I668" i="17"/>
  <c r="H668" i="17"/>
  <c r="G668" i="17"/>
  <c r="F668" i="17"/>
  <c r="E668" i="17"/>
  <c r="D668" i="17"/>
  <c r="C668" i="17"/>
  <c r="B668" i="17"/>
  <c r="A668" i="17"/>
  <c r="AM667" i="17"/>
  <c r="AL667" i="17"/>
  <c r="AK667" i="17"/>
  <c r="AJ667" i="17"/>
  <c r="AI667" i="17"/>
  <c r="AH667" i="17"/>
  <c r="AG667" i="17"/>
  <c r="AF667" i="17"/>
  <c r="AE667" i="17"/>
  <c r="AD667" i="17"/>
  <c r="AC667" i="17"/>
  <c r="AB667" i="17"/>
  <c r="AA667" i="17"/>
  <c r="Z667" i="17"/>
  <c r="Y667" i="17"/>
  <c r="X667" i="17"/>
  <c r="W667" i="17"/>
  <c r="V667" i="17"/>
  <c r="U667" i="17"/>
  <c r="T667" i="17"/>
  <c r="S667" i="17"/>
  <c r="R667" i="17"/>
  <c r="Q667" i="17"/>
  <c r="P667" i="17"/>
  <c r="O667" i="17"/>
  <c r="N667" i="17"/>
  <c r="M667" i="17"/>
  <c r="L667" i="17"/>
  <c r="K667" i="17"/>
  <c r="J667" i="17"/>
  <c r="I667" i="17"/>
  <c r="H667" i="17"/>
  <c r="G667" i="17"/>
  <c r="F667" i="17"/>
  <c r="E667" i="17"/>
  <c r="D667" i="17"/>
  <c r="C667" i="17"/>
  <c r="B667" i="17"/>
  <c r="A667" i="17"/>
  <c r="AM666" i="17"/>
  <c r="AL666" i="17"/>
  <c r="AK666" i="17"/>
  <c r="AJ666" i="17"/>
  <c r="AI666" i="17"/>
  <c r="AH666" i="17"/>
  <c r="AG666" i="17"/>
  <c r="AF666" i="17"/>
  <c r="AE666" i="17"/>
  <c r="AD666" i="17"/>
  <c r="AC666" i="17"/>
  <c r="AB666" i="17"/>
  <c r="AA666" i="17"/>
  <c r="Z666" i="17"/>
  <c r="Y666" i="17"/>
  <c r="X666" i="17"/>
  <c r="W666" i="17"/>
  <c r="V666" i="17"/>
  <c r="U666" i="17"/>
  <c r="T666" i="17"/>
  <c r="S666" i="17"/>
  <c r="R666" i="17"/>
  <c r="Q666" i="17"/>
  <c r="P666" i="17"/>
  <c r="O666" i="17"/>
  <c r="N666" i="17"/>
  <c r="M666" i="17"/>
  <c r="L666" i="17"/>
  <c r="K666" i="17"/>
  <c r="J666" i="17"/>
  <c r="I666" i="17"/>
  <c r="H666" i="17"/>
  <c r="G666" i="17"/>
  <c r="F666" i="17"/>
  <c r="E666" i="17"/>
  <c r="D666" i="17"/>
  <c r="C666" i="17"/>
  <c r="B666" i="17"/>
  <c r="A666" i="17"/>
  <c r="AM665" i="17"/>
  <c r="AL665" i="17"/>
  <c r="AK665" i="17"/>
  <c r="AJ665" i="17"/>
  <c r="AI665" i="17"/>
  <c r="AH665" i="17"/>
  <c r="AG665" i="17"/>
  <c r="AF665" i="17"/>
  <c r="AE665" i="17"/>
  <c r="AD665" i="17"/>
  <c r="AC665" i="17"/>
  <c r="AB665" i="17"/>
  <c r="AA665" i="17"/>
  <c r="Z665" i="17"/>
  <c r="Y665" i="17"/>
  <c r="X665" i="17"/>
  <c r="W665" i="17"/>
  <c r="V665" i="17"/>
  <c r="U665" i="17"/>
  <c r="T665" i="17"/>
  <c r="S665" i="17"/>
  <c r="R665" i="17"/>
  <c r="Q665" i="17"/>
  <c r="P665" i="17"/>
  <c r="O665" i="17"/>
  <c r="N665" i="17"/>
  <c r="M665" i="17"/>
  <c r="L665" i="17"/>
  <c r="K665" i="17"/>
  <c r="J665" i="17"/>
  <c r="I665" i="17"/>
  <c r="H665" i="17"/>
  <c r="G665" i="17"/>
  <c r="F665" i="17"/>
  <c r="E665" i="17"/>
  <c r="D665" i="17"/>
  <c r="C665" i="17"/>
  <c r="B665" i="17"/>
  <c r="A665" i="17"/>
  <c r="AM664" i="17"/>
  <c r="AL664" i="17"/>
  <c r="AK664" i="17"/>
  <c r="AJ664" i="17"/>
  <c r="AI664" i="17"/>
  <c r="AH664" i="17"/>
  <c r="AG664" i="17"/>
  <c r="AF664" i="17"/>
  <c r="AE664" i="17"/>
  <c r="AD664" i="17"/>
  <c r="AC664" i="17"/>
  <c r="AB664" i="17"/>
  <c r="AA664" i="17"/>
  <c r="Z664" i="17"/>
  <c r="Y664" i="17"/>
  <c r="X664" i="17"/>
  <c r="W664" i="17"/>
  <c r="V664" i="17"/>
  <c r="U664" i="17"/>
  <c r="T664" i="17"/>
  <c r="S664" i="17"/>
  <c r="R664" i="17"/>
  <c r="Q664" i="17"/>
  <c r="P664" i="17"/>
  <c r="O664" i="17"/>
  <c r="N664" i="17"/>
  <c r="M664" i="17"/>
  <c r="L664" i="17"/>
  <c r="K664" i="17"/>
  <c r="J664" i="17"/>
  <c r="I664" i="17"/>
  <c r="H664" i="17"/>
  <c r="G664" i="17"/>
  <c r="F664" i="17"/>
  <c r="E664" i="17"/>
  <c r="D664" i="17"/>
  <c r="C664" i="17"/>
  <c r="B664" i="17"/>
  <c r="A664" i="17"/>
  <c r="AM663" i="17"/>
  <c r="AL663" i="17"/>
  <c r="AK663" i="17"/>
  <c r="AJ663" i="17"/>
  <c r="AI663" i="17"/>
  <c r="AH663" i="17"/>
  <c r="AG663" i="17"/>
  <c r="AF663" i="17"/>
  <c r="AE663" i="17"/>
  <c r="AD663" i="17"/>
  <c r="AC663" i="17"/>
  <c r="AB663" i="17"/>
  <c r="AA663" i="17"/>
  <c r="Z663" i="17"/>
  <c r="Y663" i="17"/>
  <c r="X663" i="17"/>
  <c r="W663" i="17"/>
  <c r="V663" i="17"/>
  <c r="U663" i="17"/>
  <c r="T663" i="17"/>
  <c r="S663" i="17"/>
  <c r="R663" i="17"/>
  <c r="Q663" i="17"/>
  <c r="P663" i="17"/>
  <c r="O663" i="17"/>
  <c r="N663" i="17"/>
  <c r="M663" i="17"/>
  <c r="L663" i="17"/>
  <c r="K663" i="17"/>
  <c r="J663" i="17"/>
  <c r="I663" i="17"/>
  <c r="H663" i="17"/>
  <c r="G663" i="17"/>
  <c r="F663" i="17"/>
  <c r="E663" i="17"/>
  <c r="D663" i="17"/>
  <c r="C663" i="17"/>
  <c r="B663" i="17"/>
  <c r="A663" i="17"/>
  <c r="AM662" i="17"/>
  <c r="AL662" i="17"/>
  <c r="AK662" i="17"/>
  <c r="AJ662" i="17"/>
  <c r="AI662" i="17"/>
  <c r="AH662" i="17"/>
  <c r="AG662" i="17"/>
  <c r="AF662" i="17"/>
  <c r="AE662" i="17"/>
  <c r="AD662" i="17"/>
  <c r="AC662" i="17"/>
  <c r="AB662" i="17"/>
  <c r="AA662" i="17"/>
  <c r="Z662" i="17"/>
  <c r="Y662" i="17"/>
  <c r="X662" i="17"/>
  <c r="W662" i="17"/>
  <c r="V662" i="17"/>
  <c r="U662" i="17"/>
  <c r="T662" i="17"/>
  <c r="S662" i="17"/>
  <c r="R662" i="17"/>
  <c r="Q662" i="17"/>
  <c r="P662" i="17"/>
  <c r="O662" i="17"/>
  <c r="N662" i="17"/>
  <c r="M662" i="17"/>
  <c r="L662" i="17"/>
  <c r="K662" i="17"/>
  <c r="J662" i="17"/>
  <c r="I662" i="17"/>
  <c r="H662" i="17"/>
  <c r="G662" i="17"/>
  <c r="F662" i="17"/>
  <c r="E662" i="17"/>
  <c r="D662" i="17"/>
  <c r="C662" i="17"/>
  <c r="B662" i="17"/>
  <c r="A662" i="17"/>
  <c r="AM661" i="17"/>
  <c r="AL661" i="17"/>
  <c r="AK661" i="17"/>
  <c r="AJ661" i="17"/>
  <c r="AI661" i="17"/>
  <c r="AH661" i="17"/>
  <c r="AG661" i="17"/>
  <c r="AF661" i="17"/>
  <c r="AE661" i="17"/>
  <c r="AD661" i="17"/>
  <c r="AC661" i="17"/>
  <c r="AB661" i="17"/>
  <c r="AA661" i="17"/>
  <c r="Z661" i="17"/>
  <c r="Y661" i="17"/>
  <c r="X661" i="17"/>
  <c r="W661" i="17"/>
  <c r="V661" i="17"/>
  <c r="U661" i="17"/>
  <c r="T661" i="17"/>
  <c r="S661" i="17"/>
  <c r="R661" i="17"/>
  <c r="Q661" i="17"/>
  <c r="P661" i="17"/>
  <c r="O661" i="17"/>
  <c r="N661" i="17"/>
  <c r="M661" i="17"/>
  <c r="L661" i="17"/>
  <c r="K661" i="17"/>
  <c r="J661" i="17"/>
  <c r="I661" i="17"/>
  <c r="H661" i="17"/>
  <c r="G661" i="17"/>
  <c r="F661" i="17"/>
  <c r="E661" i="17"/>
  <c r="D661" i="17"/>
  <c r="C661" i="17"/>
  <c r="B661" i="17"/>
  <c r="A661" i="17"/>
  <c r="AM660" i="17"/>
  <c r="AL660" i="17"/>
  <c r="AK660" i="17"/>
  <c r="AJ660" i="17"/>
  <c r="AI660" i="17"/>
  <c r="AH660" i="17"/>
  <c r="AG660" i="17"/>
  <c r="AF660" i="17"/>
  <c r="AE660" i="17"/>
  <c r="AD660" i="17"/>
  <c r="AC660" i="17"/>
  <c r="AB660" i="17"/>
  <c r="AA660" i="17"/>
  <c r="Z660" i="17"/>
  <c r="Y660" i="17"/>
  <c r="X660" i="17"/>
  <c r="W660" i="17"/>
  <c r="V660" i="17"/>
  <c r="U660" i="17"/>
  <c r="T660" i="17"/>
  <c r="S660" i="17"/>
  <c r="R660" i="17"/>
  <c r="Q660" i="17"/>
  <c r="P660" i="17"/>
  <c r="O660" i="17"/>
  <c r="N660" i="17"/>
  <c r="M660" i="17"/>
  <c r="L660" i="17"/>
  <c r="K660" i="17"/>
  <c r="J660" i="17"/>
  <c r="I660" i="17"/>
  <c r="H660" i="17"/>
  <c r="G660" i="17"/>
  <c r="F660" i="17"/>
  <c r="E660" i="17"/>
  <c r="D660" i="17"/>
  <c r="C660" i="17"/>
  <c r="B660" i="17"/>
  <c r="A660" i="17"/>
  <c r="AM659" i="17"/>
  <c r="AL659" i="17"/>
  <c r="AK659" i="17"/>
  <c r="AJ659" i="17"/>
  <c r="AI659" i="17"/>
  <c r="AH659" i="17"/>
  <c r="AG659" i="17"/>
  <c r="AF659" i="17"/>
  <c r="AE659" i="17"/>
  <c r="AD659" i="17"/>
  <c r="AC659" i="17"/>
  <c r="AB659" i="17"/>
  <c r="AA659" i="17"/>
  <c r="Z659" i="17"/>
  <c r="Y659" i="17"/>
  <c r="X659" i="17"/>
  <c r="W659" i="17"/>
  <c r="V659" i="17"/>
  <c r="U659" i="17"/>
  <c r="T659" i="17"/>
  <c r="S659" i="17"/>
  <c r="R659" i="17"/>
  <c r="Q659" i="17"/>
  <c r="P659" i="17"/>
  <c r="O659" i="17"/>
  <c r="N659" i="17"/>
  <c r="M659" i="17"/>
  <c r="L659" i="17"/>
  <c r="K659" i="17"/>
  <c r="J659" i="17"/>
  <c r="I659" i="17"/>
  <c r="H659" i="17"/>
  <c r="G659" i="17"/>
  <c r="F659" i="17"/>
  <c r="E659" i="17"/>
  <c r="D659" i="17"/>
  <c r="C659" i="17"/>
  <c r="B659" i="17"/>
  <c r="A659" i="17"/>
  <c r="AM658" i="17"/>
  <c r="AL658" i="17"/>
  <c r="AK658" i="17"/>
  <c r="AJ658" i="17"/>
  <c r="AI658" i="17"/>
  <c r="AH658" i="17"/>
  <c r="AG658" i="17"/>
  <c r="AF658" i="17"/>
  <c r="AE658" i="17"/>
  <c r="AD658" i="17"/>
  <c r="AC658" i="17"/>
  <c r="AB658" i="17"/>
  <c r="AA658" i="17"/>
  <c r="Z658" i="17"/>
  <c r="Y658" i="17"/>
  <c r="X658" i="17"/>
  <c r="W658" i="17"/>
  <c r="V658" i="17"/>
  <c r="U658" i="17"/>
  <c r="T658" i="17"/>
  <c r="S658" i="17"/>
  <c r="R658" i="17"/>
  <c r="Q658" i="17"/>
  <c r="P658" i="17"/>
  <c r="O658" i="17"/>
  <c r="N658" i="17"/>
  <c r="M658" i="17"/>
  <c r="L658" i="17"/>
  <c r="K658" i="17"/>
  <c r="J658" i="17"/>
  <c r="I658" i="17"/>
  <c r="H658" i="17"/>
  <c r="G658" i="17"/>
  <c r="F658" i="17"/>
  <c r="E658" i="17"/>
  <c r="D658" i="17"/>
  <c r="C658" i="17"/>
  <c r="B658" i="17"/>
  <c r="A658" i="17"/>
  <c r="AM656" i="17"/>
  <c r="AL656" i="17"/>
  <c r="AK656" i="17"/>
  <c r="AJ656" i="17"/>
  <c r="AI656" i="17"/>
  <c r="AH656" i="17"/>
  <c r="AG656" i="17"/>
  <c r="AF656" i="17"/>
  <c r="AE656" i="17"/>
  <c r="AD656" i="17"/>
  <c r="AC656" i="17"/>
  <c r="AB656" i="17"/>
  <c r="AA656" i="17"/>
  <c r="Z656" i="17"/>
  <c r="Y656" i="17"/>
  <c r="X656" i="17"/>
  <c r="W656" i="17"/>
  <c r="V656" i="17"/>
  <c r="U656" i="17"/>
  <c r="T656" i="17"/>
  <c r="S656" i="17"/>
  <c r="R656" i="17"/>
  <c r="Q656" i="17"/>
  <c r="P656" i="17"/>
  <c r="O656" i="17"/>
  <c r="N656" i="17"/>
  <c r="M656" i="17"/>
  <c r="L656" i="17"/>
  <c r="K656" i="17"/>
  <c r="J656" i="17"/>
  <c r="I656" i="17"/>
  <c r="H656" i="17"/>
  <c r="G656" i="17"/>
  <c r="F656" i="17"/>
  <c r="E656" i="17"/>
  <c r="D656" i="17"/>
  <c r="C656" i="17"/>
  <c r="B656" i="17"/>
  <c r="A656" i="17"/>
  <c r="AM655" i="17"/>
  <c r="AL655" i="17"/>
  <c r="AK655" i="17"/>
  <c r="AJ655" i="17"/>
  <c r="AI655" i="17"/>
  <c r="AH655" i="17"/>
  <c r="AG655" i="17"/>
  <c r="AF655" i="17"/>
  <c r="AE655" i="17"/>
  <c r="AD655" i="17"/>
  <c r="AC655" i="17"/>
  <c r="AB655" i="17"/>
  <c r="AA655" i="17"/>
  <c r="Z655" i="17"/>
  <c r="Y655" i="17"/>
  <c r="X655" i="17"/>
  <c r="W655" i="17"/>
  <c r="V655" i="17"/>
  <c r="U655" i="17"/>
  <c r="T655" i="17"/>
  <c r="S655" i="17"/>
  <c r="R655" i="17"/>
  <c r="Q655" i="17"/>
  <c r="P655" i="17"/>
  <c r="O655" i="17"/>
  <c r="N655" i="17"/>
  <c r="M655" i="17"/>
  <c r="L655" i="17"/>
  <c r="K655" i="17"/>
  <c r="J655" i="17"/>
  <c r="I655" i="17"/>
  <c r="H655" i="17"/>
  <c r="G655" i="17"/>
  <c r="F655" i="17"/>
  <c r="E655" i="17"/>
  <c r="D655" i="17"/>
  <c r="C655" i="17"/>
  <c r="B655" i="17"/>
  <c r="A655" i="17"/>
  <c r="AM654" i="17"/>
  <c r="AL654" i="17"/>
  <c r="AK654" i="17"/>
  <c r="AJ654" i="17"/>
  <c r="AI654" i="17"/>
  <c r="AH654" i="17"/>
  <c r="AG654" i="17"/>
  <c r="AF654" i="17"/>
  <c r="AE654" i="17"/>
  <c r="AD654" i="17"/>
  <c r="AC654" i="17"/>
  <c r="AB654" i="17"/>
  <c r="AA654" i="17"/>
  <c r="Z654" i="17"/>
  <c r="Y654" i="17"/>
  <c r="X654" i="17"/>
  <c r="W654" i="17"/>
  <c r="V654" i="17"/>
  <c r="U654" i="17"/>
  <c r="T654" i="17"/>
  <c r="S654" i="17"/>
  <c r="R654" i="17"/>
  <c r="Q654" i="17"/>
  <c r="P654" i="17"/>
  <c r="O654" i="17"/>
  <c r="N654" i="17"/>
  <c r="M654" i="17"/>
  <c r="L654" i="17"/>
  <c r="K654" i="17"/>
  <c r="J654" i="17"/>
  <c r="I654" i="17"/>
  <c r="H654" i="17"/>
  <c r="G654" i="17"/>
  <c r="F654" i="17"/>
  <c r="E654" i="17"/>
  <c r="D654" i="17"/>
  <c r="C654" i="17"/>
  <c r="B654" i="17"/>
  <c r="A654" i="17"/>
  <c r="AM653" i="17"/>
  <c r="AL653" i="17"/>
  <c r="AK653" i="17"/>
  <c r="AJ653" i="17"/>
  <c r="AI653" i="17"/>
  <c r="AH653" i="17"/>
  <c r="AG653" i="17"/>
  <c r="AF653" i="17"/>
  <c r="AE653" i="17"/>
  <c r="AD653" i="17"/>
  <c r="AC653" i="17"/>
  <c r="AB653" i="17"/>
  <c r="AA653" i="17"/>
  <c r="Z653" i="17"/>
  <c r="Y653" i="17"/>
  <c r="X653" i="17"/>
  <c r="W653" i="17"/>
  <c r="V653" i="17"/>
  <c r="U653" i="17"/>
  <c r="T653" i="17"/>
  <c r="S653" i="17"/>
  <c r="R653" i="17"/>
  <c r="Q653" i="17"/>
  <c r="P653" i="17"/>
  <c r="O653" i="17"/>
  <c r="N653" i="17"/>
  <c r="M653" i="17"/>
  <c r="L653" i="17"/>
  <c r="K653" i="17"/>
  <c r="J653" i="17"/>
  <c r="I653" i="17"/>
  <c r="H653" i="17"/>
  <c r="G653" i="17"/>
  <c r="F653" i="17"/>
  <c r="E653" i="17"/>
  <c r="D653" i="17"/>
  <c r="C653" i="17"/>
  <c r="B653" i="17"/>
  <c r="A653" i="17"/>
  <c r="AM652" i="17"/>
  <c r="AL652" i="17"/>
  <c r="AK652" i="17"/>
  <c r="AJ652" i="17"/>
  <c r="AI652" i="17"/>
  <c r="AH652" i="17"/>
  <c r="AG652" i="17"/>
  <c r="AF652" i="17"/>
  <c r="AE652" i="17"/>
  <c r="AD652" i="17"/>
  <c r="AC652" i="17"/>
  <c r="AB652" i="17"/>
  <c r="AA652" i="17"/>
  <c r="Z652" i="17"/>
  <c r="Y652" i="17"/>
  <c r="X652" i="17"/>
  <c r="W652" i="17"/>
  <c r="V652" i="17"/>
  <c r="U652" i="17"/>
  <c r="T652" i="17"/>
  <c r="S652" i="17"/>
  <c r="R652" i="17"/>
  <c r="Q652" i="17"/>
  <c r="P652" i="17"/>
  <c r="O652" i="17"/>
  <c r="N652" i="17"/>
  <c r="M652" i="17"/>
  <c r="L652" i="17"/>
  <c r="K652" i="17"/>
  <c r="J652" i="17"/>
  <c r="I652" i="17"/>
  <c r="H652" i="17"/>
  <c r="G652" i="17"/>
  <c r="F652" i="17"/>
  <c r="E652" i="17"/>
  <c r="D652" i="17"/>
  <c r="C652" i="17"/>
  <c r="B652" i="17"/>
  <c r="A652" i="17"/>
  <c r="AM651" i="17"/>
  <c r="AL651" i="17"/>
  <c r="AK651" i="17"/>
  <c r="AJ651" i="17"/>
  <c r="AI651" i="17"/>
  <c r="AH651" i="17"/>
  <c r="AG651" i="17"/>
  <c r="AF651" i="17"/>
  <c r="AE651" i="17"/>
  <c r="AD651" i="17"/>
  <c r="AC651" i="17"/>
  <c r="AB651" i="17"/>
  <c r="AA651" i="17"/>
  <c r="Z651" i="17"/>
  <c r="Y651" i="17"/>
  <c r="X651" i="17"/>
  <c r="W651" i="17"/>
  <c r="V651" i="17"/>
  <c r="U651" i="17"/>
  <c r="T651" i="17"/>
  <c r="S651" i="17"/>
  <c r="R651" i="17"/>
  <c r="Q651" i="17"/>
  <c r="P651" i="17"/>
  <c r="O651" i="17"/>
  <c r="N651" i="17"/>
  <c r="M651" i="17"/>
  <c r="L651" i="17"/>
  <c r="K651" i="17"/>
  <c r="J651" i="17"/>
  <c r="I651" i="17"/>
  <c r="H651" i="17"/>
  <c r="G651" i="17"/>
  <c r="F651" i="17"/>
  <c r="E651" i="17"/>
  <c r="D651" i="17"/>
  <c r="C651" i="17"/>
  <c r="B651" i="17"/>
  <c r="A651" i="17"/>
  <c r="AM650" i="17"/>
  <c r="AL650" i="17"/>
  <c r="AK650" i="17"/>
  <c r="AJ650" i="17"/>
  <c r="AI650" i="17"/>
  <c r="AH650" i="17"/>
  <c r="AG650" i="17"/>
  <c r="AF650" i="17"/>
  <c r="AE650" i="17"/>
  <c r="AD650" i="17"/>
  <c r="AC650" i="17"/>
  <c r="AB650" i="17"/>
  <c r="AA650" i="17"/>
  <c r="Z650" i="17"/>
  <c r="Y650" i="17"/>
  <c r="X650" i="17"/>
  <c r="W650" i="17"/>
  <c r="V650" i="17"/>
  <c r="U650" i="17"/>
  <c r="T650" i="17"/>
  <c r="S650" i="17"/>
  <c r="R650" i="17"/>
  <c r="Q650" i="17"/>
  <c r="P650" i="17"/>
  <c r="O650" i="17"/>
  <c r="N650" i="17"/>
  <c r="M650" i="17"/>
  <c r="L650" i="17"/>
  <c r="K650" i="17"/>
  <c r="J650" i="17"/>
  <c r="I650" i="17"/>
  <c r="H650" i="17"/>
  <c r="G650" i="17"/>
  <c r="F650" i="17"/>
  <c r="E650" i="17"/>
  <c r="D650" i="17"/>
  <c r="C650" i="17"/>
  <c r="B650" i="17"/>
  <c r="A650" i="17"/>
  <c r="AM649" i="17"/>
  <c r="AL649" i="17"/>
  <c r="AK649" i="17"/>
  <c r="AJ649" i="17"/>
  <c r="AI649" i="17"/>
  <c r="AH649" i="17"/>
  <c r="AG649" i="17"/>
  <c r="AF649" i="17"/>
  <c r="AE649" i="17"/>
  <c r="AD649" i="17"/>
  <c r="AC649" i="17"/>
  <c r="AB649" i="17"/>
  <c r="AA649" i="17"/>
  <c r="Z649" i="17"/>
  <c r="Y649" i="17"/>
  <c r="X649" i="17"/>
  <c r="W649" i="17"/>
  <c r="V649" i="17"/>
  <c r="U649" i="17"/>
  <c r="T649" i="17"/>
  <c r="S649" i="17"/>
  <c r="R649" i="17"/>
  <c r="Q649" i="17"/>
  <c r="P649" i="17"/>
  <c r="O649" i="17"/>
  <c r="N649" i="17"/>
  <c r="M649" i="17"/>
  <c r="L649" i="17"/>
  <c r="K649" i="17"/>
  <c r="J649" i="17"/>
  <c r="I649" i="17"/>
  <c r="H649" i="17"/>
  <c r="G649" i="17"/>
  <c r="F649" i="17"/>
  <c r="E649" i="17"/>
  <c r="D649" i="17"/>
  <c r="C649" i="17"/>
  <c r="B649" i="17"/>
  <c r="A649" i="17"/>
  <c r="AM648" i="17"/>
  <c r="AL648" i="17"/>
  <c r="AK648" i="17"/>
  <c r="AJ648" i="17"/>
  <c r="AI648" i="17"/>
  <c r="AH648" i="17"/>
  <c r="AG648" i="17"/>
  <c r="AF648" i="17"/>
  <c r="AE648" i="17"/>
  <c r="AD648" i="17"/>
  <c r="AC648" i="17"/>
  <c r="AB648" i="17"/>
  <c r="AA648" i="17"/>
  <c r="Z648" i="17"/>
  <c r="Y648" i="17"/>
  <c r="X648" i="17"/>
  <c r="W648" i="17"/>
  <c r="V648" i="17"/>
  <c r="U648" i="17"/>
  <c r="T648" i="17"/>
  <c r="S648" i="17"/>
  <c r="R648" i="17"/>
  <c r="Q648" i="17"/>
  <c r="P648" i="17"/>
  <c r="O648" i="17"/>
  <c r="N648" i="17"/>
  <c r="M648" i="17"/>
  <c r="L648" i="17"/>
  <c r="K648" i="17"/>
  <c r="J648" i="17"/>
  <c r="I648" i="17"/>
  <c r="H648" i="17"/>
  <c r="G648" i="17"/>
  <c r="F648" i="17"/>
  <c r="E648" i="17"/>
  <c r="D648" i="17"/>
  <c r="C648" i="17"/>
  <c r="B648" i="17"/>
  <c r="A648" i="17"/>
  <c r="AM647" i="17"/>
  <c r="AL647" i="17"/>
  <c r="AK647" i="17"/>
  <c r="AJ647" i="17"/>
  <c r="AI647" i="17"/>
  <c r="AH647" i="17"/>
  <c r="AG647" i="17"/>
  <c r="AF647" i="17"/>
  <c r="AE647" i="17"/>
  <c r="AD647" i="17"/>
  <c r="AC647" i="17"/>
  <c r="AB647" i="17"/>
  <c r="AA647" i="17"/>
  <c r="Z647" i="17"/>
  <c r="Y647" i="17"/>
  <c r="X647" i="17"/>
  <c r="W647" i="17"/>
  <c r="V647" i="17"/>
  <c r="U647" i="17"/>
  <c r="T647" i="17"/>
  <c r="S647" i="17"/>
  <c r="R647" i="17"/>
  <c r="Q647" i="17"/>
  <c r="P647" i="17"/>
  <c r="O647" i="17"/>
  <c r="N647" i="17"/>
  <c r="M647" i="17"/>
  <c r="L647" i="17"/>
  <c r="K647" i="17"/>
  <c r="J647" i="17"/>
  <c r="I647" i="17"/>
  <c r="H647" i="17"/>
  <c r="G647" i="17"/>
  <c r="F647" i="17"/>
  <c r="E647" i="17"/>
  <c r="D647" i="17"/>
  <c r="C647" i="17"/>
  <c r="B647" i="17"/>
  <c r="A647" i="17"/>
  <c r="AM646" i="17"/>
  <c r="AL646" i="17"/>
  <c r="AK646" i="17"/>
  <c r="AJ646" i="17"/>
  <c r="AI646" i="17"/>
  <c r="AH646" i="17"/>
  <c r="AG646" i="17"/>
  <c r="AF646" i="17"/>
  <c r="AE646" i="17"/>
  <c r="AD646" i="17"/>
  <c r="AC646" i="17"/>
  <c r="AB646" i="17"/>
  <c r="AA646" i="17"/>
  <c r="Z646" i="17"/>
  <c r="Y646" i="17"/>
  <c r="X646" i="17"/>
  <c r="W646" i="17"/>
  <c r="V646" i="17"/>
  <c r="U646" i="17"/>
  <c r="T646" i="17"/>
  <c r="S646" i="17"/>
  <c r="R646" i="17"/>
  <c r="Q646" i="17"/>
  <c r="P646" i="17"/>
  <c r="O646" i="17"/>
  <c r="N646" i="17"/>
  <c r="M646" i="17"/>
  <c r="L646" i="17"/>
  <c r="K646" i="17"/>
  <c r="J646" i="17"/>
  <c r="I646" i="17"/>
  <c r="H646" i="17"/>
  <c r="G646" i="17"/>
  <c r="F646" i="17"/>
  <c r="E646" i="17"/>
  <c r="D646" i="17"/>
  <c r="C646" i="17"/>
  <c r="B646" i="17"/>
  <c r="A646" i="17"/>
  <c r="AM645" i="17"/>
  <c r="AL645" i="17"/>
  <c r="AK645" i="17"/>
  <c r="AJ645" i="17"/>
  <c r="AI645" i="17"/>
  <c r="AH645" i="17"/>
  <c r="AG645" i="17"/>
  <c r="AF645" i="17"/>
  <c r="AE645" i="17"/>
  <c r="AD645" i="17"/>
  <c r="AC645" i="17"/>
  <c r="AB645" i="17"/>
  <c r="AA645" i="17"/>
  <c r="Z645" i="17"/>
  <c r="Y645" i="17"/>
  <c r="X645" i="17"/>
  <c r="W645" i="17"/>
  <c r="V645" i="17"/>
  <c r="U645" i="17"/>
  <c r="T645" i="17"/>
  <c r="S645" i="17"/>
  <c r="R645" i="17"/>
  <c r="Q645" i="17"/>
  <c r="P645" i="17"/>
  <c r="O645" i="17"/>
  <c r="N645" i="17"/>
  <c r="M645" i="17"/>
  <c r="L645" i="17"/>
  <c r="K645" i="17"/>
  <c r="J645" i="17"/>
  <c r="I645" i="17"/>
  <c r="H645" i="17"/>
  <c r="G645" i="17"/>
  <c r="F645" i="17"/>
  <c r="E645" i="17"/>
  <c r="D645" i="17"/>
  <c r="C645" i="17"/>
  <c r="B645" i="17"/>
  <c r="A645" i="17"/>
  <c r="AM644" i="17"/>
  <c r="AL644" i="17"/>
  <c r="AK644" i="17"/>
  <c r="AJ644" i="17"/>
  <c r="AI644" i="17"/>
  <c r="AH644" i="17"/>
  <c r="AG644" i="17"/>
  <c r="AF644" i="17"/>
  <c r="AE644" i="17"/>
  <c r="AD644" i="17"/>
  <c r="AC644" i="17"/>
  <c r="AB644" i="17"/>
  <c r="AA644" i="17"/>
  <c r="Z644" i="17"/>
  <c r="Y644" i="17"/>
  <c r="X644" i="17"/>
  <c r="W644" i="17"/>
  <c r="V644" i="17"/>
  <c r="U644" i="17"/>
  <c r="T644" i="17"/>
  <c r="S644" i="17"/>
  <c r="R644" i="17"/>
  <c r="Q644" i="17"/>
  <c r="P644" i="17"/>
  <c r="O644" i="17"/>
  <c r="N644" i="17"/>
  <c r="M644" i="17"/>
  <c r="L644" i="17"/>
  <c r="K644" i="17"/>
  <c r="J644" i="17"/>
  <c r="I644" i="17"/>
  <c r="H644" i="17"/>
  <c r="G644" i="17"/>
  <c r="F644" i="17"/>
  <c r="E644" i="17"/>
  <c r="D644" i="17"/>
  <c r="C644" i="17"/>
  <c r="B644" i="17"/>
  <c r="A644" i="17"/>
  <c r="AM643" i="17"/>
  <c r="AL643" i="17"/>
  <c r="AK643" i="17"/>
  <c r="AJ643" i="17"/>
  <c r="AI643" i="17"/>
  <c r="AH643" i="17"/>
  <c r="AG643" i="17"/>
  <c r="AF643" i="17"/>
  <c r="AE643" i="17"/>
  <c r="AD643" i="17"/>
  <c r="AC643" i="17"/>
  <c r="AB643" i="17"/>
  <c r="AA643" i="17"/>
  <c r="Z643" i="17"/>
  <c r="Y643" i="17"/>
  <c r="X643" i="17"/>
  <c r="W643" i="17"/>
  <c r="V643" i="17"/>
  <c r="U643" i="17"/>
  <c r="T643" i="17"/>
  <c r="S643" i="17"/>
  <c r="R643" i="17"/>
  <c r="Q643" i="17"/>
  <c r="P643" i="17"/>
  <c r="O643" i="17"/>
  <c r="N643" i="17"/>
  <c r="M643" i="17"/>
  <c r="L643" i="17"/>
  <c r="K643" i="17"/>
  <c r="J643" i="17"/>
  <c r="I643" i="17"/>
  <c r="H643" i="17"/>
  <c r="G643" i="17"/>
  <c r="F643" i="17"/>
  <c r="E643" i="17"/>
  <c r="D643" i="17"/>
  <c r="C643" i="17"/>
  <c r="B643" i="17"/>
  <c r="A643" i="17"/>
  <c r="AM642" i="17"/>
  <c r="AL642" i="17"/>
  <c r="AK642" i="17"/>
  <c r="AJ642" i="17"/>
  <c r="AI642" i="17"/>
  <c r="AH642" i="17"/>
  <c r="AG642" i="17"/>
  <c r="AF642" i="17"/>
  <c r="AE642" i="17"/>
  <c r="AD642" i="17"/>
  <c r="AC642" i="17"/>
  <c r="AB642" i="17"/>
  <c r="AA642" i="17"/>
  <c r="Z642" i="17"/>
  <c r="Y642" i="17"/>
  <c r="X642" i="17"/>
  <c r="W642" i="17"/>
  <c r="V642" i="17"/>
  <c r="U642" i="17"/>
  <c r="T642" i="17"/>
  <c r="S642" i="17"/>
  <c r="R642" i="17"/>
  <c r="Q642" i="17"/>
  <c r="P642" i="17"/>
  <c r="O642" i="17"/>
  <c r="N642" i="17"/>
  <c r="M642" i="17"/>
  <c r="L642" i="17"/>
  <c r="K642" i="17"/>
  <c r="J642" i="17"/>
  <c r="I642" i="17"/>
  <c r="H642" i="17"/>
  <c r="G642" i="17"/>
  <c r="F642" i="17"/>
  <c r="E642" i="17"/>
  <c r="D642" i="17"/>
  <c r="C642" i="17"/>
  <c r="B642" i="17"/>
  <c r="A642" i="17"/>
  <c r="AM641" i="17"/>
  <c r="AL641" i="17"/>
  <c r="AK641" i="17"/>
  <c r="AJ641" i="17"/>
  <c r="AI641" i="17"/>
  <c r="AH641" i="17"/>
  <c r="AG641" i="17"/>
  <c r="AF641" i="17"/>
  <c r="AE641" i="17"/>
  <c r="AD641" i="17"/>
  <c r="AC641" i="17"/>
  <c r="AB641" i="17"/>
  <c r="AA641" i="17"/>
  <c r="Z641" i="17"/>
  <c r="Y641" i="17"/>
  <c r="X641" i="17"/>
  <c r="W641" i="17"/>
  <c r="V641" i="17"/>
  <c r="U641" i="17"/>
  <c r="T641" i="17"/>
  <c r="S641" i="17"/>
  <c r="R641" i="17"/>
  <c r="Q641" i="17"/>
  <c r="P641" i="17"/>
  <c r="O641" i="17"/>
  <c r="N641" i="17"/>
  <c r="M641" i="17"/>
  <c r="L641" i="17"/>
  <c r="K641" i="17"/>
  <c r="J641" i="17"/>
  <c r="I641" i="17"/>
  <c r="H641" i="17"/>
  <c r="G641" i="17"/>
  <c r="F641" i="17"/>
  <c r="E641" i="17"/>
  <c r="D641" i="17"/>
  <c r="C641" i="17"/>
  <c r="B641" i="17"/>
  <c r="A641" i="17"/>
  <c r="AM640" i="17"/>
  <c r="AL640" i="17"/>
  <c r="AK640" i="17"/>
  <c r="AJ640" i="17"/>
  <c r="AI640" i="17"/>
  <c r="AH640" i="17"/>
  <c r="AG640" i="17"/>
  <c r="AF640" i="17"/>
  <c r="AE640" i="17"/>
  <c r="AD640" i="17"/>
  <c r="AC640" i="17"/>
  <c r="AB640" i="17"/>
  <c r="AA640" i="17"/>
  <c r="Z640" i="17"/>
  <c r="Y640" i="17"/>
  <c r="X640" i="17"/>
  <c r="W640" i="17"/>
  <c r="V640" i="17"/>
  <c r="U640" i="17"/>
  <c r="T640" i="17"/>
  <c r="S640" i="17"/>
  <c r="R640" i="17"/>
  <c r="Q640" i="17"/>
  <c r="P640" i="17"/>
  <c r="O640" i="17"/>
  <c r="N640" i="17"/>
  <c r="M640" i="17"/>
  <c r="L640" i="17"/>
  <c r="K640" i="17"/>
  <c r="J640" i="17"/>
  <c r="I640" i="17"/>
  <c r="H640" i="17"/>
  <c r="G640" i="17"/>
  <c r="F640" i="17"/>
  <c r="E640" i="17"/>
  <c r="D640" i="17"/>
  <c r="C640" i="17"/>
  <c r="B640" i="17"/>
  <c r="A640" i="17"/>
  <c r="AM639" i="17"/>
  <c r="AL639" i="17"/>
  <c r="AK639" i="17"/>
  <c r="AJ639" i="17"/>
  <c r="AI639" i="17"/>
  <c r="AH639" i="17"/>
  <c r="AG639" i="17"/>
  <c r="AF639" i="17"/>
  <c r="AE639" i="17"/>
  <c r="AD639" i="17"/>
  <c r="AC639" i="17"/>
  <c r="AB639" i="17"/>
  <c r="AA639" i="17"/>
  <c r="Z639" i="17"/>
  <c r="Y639" i="17"/>
  <c r="X639" i="17"/>
  <c r="W639" i="17"/>
  <c r="V639" i="17"/>
  <c r="U639" i="17"/>
  <c r="T639" i="17"/>
  <c r="S639" i="17"/>
  <c r="R639" i="17"/>
  <c r="Q639" i="17"/>
  <c r="P639" i="17"/>
  <c r="O639" i="17"/>
  <c r="N639" i="17"/>
  <c r="M639" i="17"/>
  <c r="L639" i="17"/>
  <c r="K639" i="17"/>
  <c r="J639" i="17"/>
  <c r="I639" i="17"/>
  <c r="H639" i="17"/>
  <c r="G639" i="17"/>
  <c r="F639" i="17"/>
  <c r="E639" i="17"/>
  <c r="D639" i="17"/>
  <c r="C639" i="17"/>
  <c r="B639" i="17"/>
  <c r="A639" i="17"/>
  <c r="AM638" i="17"/>
  <c r="AL638" i="17"/>
  <c r="AK638" i="17"/>
  <c r="AJ638" i="17"/>
  <c r="AI638" i="17"/>
  <c r="AH638" i="17"/>
  <c r="AG638" i="17"/>
  <c r="AF638" i="17"/>
  <c r="AE638" i="17"/>
  <c r="AD638" i="17"/>
  <c r="AC638" i="17"/>
  <c r="AB638" i="17"/>
  <c r="AA638" i="17"/>
  <c r="Z638" i="17"/>
  <c r="Y638" i="17"/>
  <c r="X638" i="17"/>
  <c r="W638" i="17"/>
  <c r="V638" i="17"/>
  <c r="U638" i="17"/>
  <c r="T638" i="17"/>
  <c r="S638" i="17"/>
  <c r="R638" i="17"/>
  <c r="Q638" i="17"/>
  <c r="P638" i="17"/>
  <c r="O638" i="17"/>
  <c r="N638" i="17"/>
  <c r="M638" i="17"/>
  <c r="L638" i="17"/>
  <c r="K638" i="17"/>
  <c r="J638" i="17"/>
  <c r="I638" i="17"/>
  <c r="H638" i="17"/>
  <c r="G638" i="17"/>
  <c r="F638" i="17"/>
  <c r="E638" i="17"/>
  <c r="D638" i="17"/>
  <c r="C638" i="17"/>
  <c r="B638" i="17"/>
  <c r="A638" i="17"/>
  <c r="AM637" i="17"/>
  <c r="AL637" i="17"/>
  <c r="AK637" i="17"/>
  <c r="AJ637" i="17"/>
  <c r="AI637" i="17"/>
  <c r="AH637" i="17"/>
  <c r="AG637" i="17"/>
  <c r="AF637" i="17"/>
  <c r="AE637" i="17"/>
  <c r="AD637" i="17"/>
  <c r="AC637" i="17"/>
  <c r="AB637" i="17"/>
  <c r="AA637" i="17"/>
  <c r="Z637" i="17"/>
  <c r="Y637" i="17"/>
  <c r="X637" i="17"/>
  <c r="W637" i="17"/>
  <c r="V637" i="17"/>
  <c r="U637" i="17"/>
  <c r="T637" i="17"/>
  <c r="S637" i="17"/>
  <c r="R637" i="17"/>
  <c r="Q637" i="17"/>
  <c r="P637" i="17"/>
  <c r="O637" i="17"/>
  <c r="N637" i="17"/>
  <c r="M637" i="17"/>
  <c r="L637" i="17"/>
  <c r="K637" i="17"/>
  <c r="J637" i="17"/>
  <c r="I637" i="17"/>
  <c r="H637" i="17"/>
  <c r="G637" i="17"/>
  <c r="F637" i="17"/>
  <c r="E637" i="17"/>
  <c r="D637" i="17"/>
  <c r="C637" i="17"/>
  <c r="B637" i="17"/>
  <c r="A637" i="17"/>
  <c r="AM636" i="17"/>
  <c r="AL636" i="17"/>
  <c r="AK636" i="17"/>
  <c r="AJ636" i="17"/>
  <c r="AI636" i="17"/>
  <c r="AH636" i="17"/>
  <c r="AG636" i="17"/>
  <c r="AF636" i="17"/>
  <c r="AE636" i="17"/>
  <c r="AD636" i="17"/>
  <c r="AC636" i="17"/>
  <c r="AB636" i="17"/>
  <c r="AA636" i="17"/>
  <c r="Z636" i="17"/>
  <c r="Y636" i="17"/>
  <c r="X636" i="17"/>
  <c r="W636" i="17"/>
  <c r="V636" i="17"/>
  <c r="U636" i="17"/>
  <c r="T636" i="17"/>
  <c r="S636" i="17"/>
  <c r="R636" i="17"/>
  <c r="Q636" i="17"/>
  <c r="P636" i="17"/>
  <c r="O636" i="17"/>
  <c r="N636" i="17"/>
  <c r="M636" i="17"/>
  <c r="L636" i="17"/>
  <c r="K636" i="17"/>
  <c r="J636" i="17"/>
  <c r="I636" i="17"/>
  <c r="H636" i="17"/>
  <c r="G636" i="17"/>
  <c r="F636" i="17"/>
  <c r="E636" i="17"/>
  <c r="D636" i="17"/>
  <c r="C636" i="17"/>
  <c r="B636" i="17"/>
  <c r="A636" i="17"/>
  <c r="AM635" i="17"/>
  <c r="AL635" i="17"/>
  <c r="AK635" i="17"/>
  <c r="AJ635" i="17"/>
  <c r="AI635" i="17"/>
  <c r="AH635" i="17"/>
  <c r="AG635" i="17"/>
  <c r="AF635" i="17"/>
  <c r="AE635" i="17"/>
  <c r="AD635" i="17"/>
  <c r="AC635" i="17"/>
  <c r="AB635" i="17"/>
  <c r="AA635" i="17"/>
  <c r="Z635" i="17"/>
  <c r="Y635" i="17"/>
  <c r="X635" i="17"/>
  <c r="W635" i="17"/>
  <c r="V635" i="17"/>
  <c r="U635" i="17"/>
  <c r="T635" i="17"/>
  <c r="S635" i="17"/>
  <c r="R635" i="17"/>
  <c r="Q635" i="17"/>
  <c r="P635" i="17"/>
  <c r="O635" i="17"/>
  <c r="N635" i="17"/>
  <c r="M635" i="17"/>
  <c r="L635" i="17"/>
  <c r="K635" i="17"/>
  <c r="J635" i="17"/>
  <c r="I635" i="17"/>
  <c r="H635" i="17"/>
  <c r="G635" i="17"/>
  <c r="F635" i="17"/>
  <c r="E635" i="17"/>
  <c r="D635" i="17"/>
  <c r="C635" i="17"/>
  <c r="B635" i="17"/>
  <c r="A635" i="17"/>
  <c r="AM634" i="17"/>
  <c r="AL634" i="17"/>
  <c r="AK634" i="17"/>
  <c r="AJ634" i="17"/>
  <c r="AI634" i="17"/>
  <c r="AH634" i="17"/>
  <c r="AG634" i="17"/>
  <c r="AF634" i="17"/>
  <c r="AE634" i="17"/>
  <c r="AD634" i="17"/>
  <c r="AC634" i="17"/>
  <c r="AB634" i="17"/>
  <c r="AA634" i="17"/>
  <c r="Z634" i="17"/>
  <c r="Y634" i="17"/>
  <c r="X634" i="17"/>
  <c r="W634" i="17"/>
  <c r="V634" i="17"/>
  <c r="U634" i="17"/>
  <c r="T634" i="17"/>
  <c r="S634" i="17"/>
  <c r="R634" i="17"/>
  <c r="Q634" i="17"/>
  <c r="P634" i="17"/>
  <c r="O634" i="17"/>
  <c r="N634" i="17"/>
  <c r="M634" i="17"/>
  <c r="L634" i="17"/>
  <c r="K634" i="17"/>
  <c r="J634" i="17"/>
  <c r="I634" i="17"/>
  <c r="H634" i="17"/>
  <c r="G634" i="17"/>
  <c r="F634" i="17"/>
  <c r="E634" i="17"/>
  <c r="D634" i="17"/>
  <c r="C634" i="17"/>
  <c r="B634" i="17"/>
  <c r="A634" i="17"/>
  <c r="AM633" i="17"/>
  <c r="AL633" i="17"/>
  <c r="AK633" i="17"/>
  <c r="AJ633" i="17"/>
  <c r="AI633" i="17"/>
  <c r="AH633" i="17"/>
  <c r="AG633" i="17"/>
  <c r="AF633" i="17"/>
  <c r="AE633" i="17"/>
  <c r="AD633" i="17"/>
  <c r="AC633" i="17"/>
  <c r="AB633" i="17"/>
  <c r="AA633" i="17"/>
  <c r="Z633" i="17"/>
  <c r="Y633" i="17"/>
  <c r="X633" i="17"/>
  <c r="W633" i="17"/>
  <c r="V633" i="17"/>
  <c r="U633" i="17"/>
  <c r="T633" i="17"/>
  <c r="S633" i="17"/>
  <c r="R633" i="17"/>
  <c r="Q633" i="17"/>
  <c r="P633" i="17"/>
  <c r="O633" i="17"/>
  <c r="N633" i="17"/>
  <c r="M633" i="17"/>
  <c r="L633" i="17"/>
  <c r="K633" i="17"/>
  <c r="J633" i="17"/>
  <c r="I633" i="17"/>
  <c r="H633" i="17"/>
  <c r="G633" i="17"/>
  <c r="F633" i="17"/>
  <c r="E633" i="17"/>
  <c r="D633" i="17"/>
  <c r="C633" i="17"/>
  <c r="B633" i="17"/>
  <c r="A633" i="17"/>
  <c r="AM632" i="17"/>
  <c r="AL632" i="17"/>
  <c r="AK632" i="17"/>
  <c r="AJ632" i="17"/>
  <c r="AI632" i="17"/>
  <c r="AH632" i="17"/>
  <c r="AG632" i="17"/>
  <c r="AF632" i="17"/>
  <c r="AE632" i="17"/>
  <c r="AD632" i="17"/>
  <c r="AC632" i="17"/>
  <c r="AB632" i="17"/>
  <c r="AA632" i="17"/>
  <c r="Z632" i="17"/>
  <c r="Y632" i="17"/>
  <c r="X632" i="17"/>
  <c r="W632" i="17"/>
  <c r="V632" i="17"/>
  <c r="U632" i="17"/>
  <c r="T632" i="17"/>
  <c r="S632" i="17"/>
  <c r="R632" i="17"/>
  <c r="Q632" i="17"/>
  <c r="P632" i="17"/>
  <c r="O632" i="17"/>
  <c r="N632" i="17"/>
  <c r="M632" i="17"/>
  <c r="L632" i="17"/>
  <c r="K632" i="17"/>
  <c r="J632" i="17"/>
  <c r="I632" i="17"/>
  <c r="H632" i="17"/>
  <c r="G632" i="17"/>
  <c r="F632" i="17"/>
  <c r="E632" i="17"/>
  <c r="D632" i="17"/>
  <c r="C632" i="17"/>
  <c r="B632" i="17"/>
  <c r="A632" i="17"/>
  <c r="AM631" i="17"/>
  <c r="AL631" i="17"/>
  <c r="AK631" i="17"/>
  <c r="AJ631" i="17"/>
  <c r="AI631" i="17"/>
  <c r="AH631" i="17"/>
  <c r="AG631" i="17"/>
  <c r="AF631" i="17"/>
  <c r="AE631" i="17"/>
  <c r="AD631" i="17"/>
  <c r="AC631" i="17"/>
  <c r="AB631" i="17"/>
  <c r="AA631" i="17"/>
  <c r="Z631" i="17"/>
  <c r="Y631" i="17"/>
  <c r="X631" i="17"/>
  <c r="W631" i="17"/>
  <c r="V631" i="17"/>
  <c r="U631" i="17"/>
  <c r="T631" i="17"/>
  <c r="S631" i="17"/>
  <c r="R631" i="17"/>
  <c r="Q631" i="17"/>
  <c r="P631" i="17"/>
  <c r="O631" i="17"/>
  <c r="N631" i="17"/>
  <c r="M631" i="17"/>
  <c r="L631" i="17"/>
  <c r="K631" i="17"/>
  <c r="J631" i="17"/>
  <c r="I631" i="17"/>
  <c r="H631" i="17"/>
  <c r="G631" i="17"/>
  <c r="F631" i="17"/>
  <c r="E631" i="17"/>
  <c r="D631" i="17"/>
  <c r="C631" i="17"/>
  <c r="B631" i="17"/>
  <c r="A631" i="17"/>
  <c r="AM630" i="17"/>
  <c r="AL630" i="17"/>
  <c r="AK630" i="17"/>
  <c r="AJ630" i="17"/>
  <c r="AI630" i="17"/>
  <c r="AH630" i="17"/>
  <c r="AG630" i="17"/>
  <c r="AF630" i="17"/>
  <c r="AE630" i="17"/>
  <c r="AD630" i="17"/>
  <c r="AC630" i="17"/>
  <c r="AB630" i="17"/>
  <c r="AA630" i="17"/>
  <c r="Z630" i="17"/>
  <c r="Y630" i="17"/>
  <c r="X630" i="17"/>
  <c r="W630" i="17"/>
  <c r="V630" i="17"/>
  <c r="U630" i="17"/>
  <c r="T630" i="17"/>
  <c r="S630" i="17"/>
  <c r="R630" i="17"/>
  <c r="Q630" i="17"/>
  <c r="P630" i="17"/>
  <c r="O630" i="17"/>
  <c r="N630" i="17"/>
  <c r="M630" i="17"/>
  <c r="L630" i="17"/>
  <c r="K630" i="17"/>
  <c r="J630" i="17"/>
  <c r="I630" i="17"/>
  <c r="H630" i="17"/>
  <c r="G630" i="17"/>
  <c r="F630" i="17"/>
  <c r="E630" i="17"/>
  <c r="D630" i="17"/>
  <c r="C630" i="17"/>
  <c r="B630" i="17"/>
  <c r="A630" i="17"/>
  <c r="AM629" i="17"/>
  <c r="AL629" i="17"/>
  <c r="AK629" i="17"/>
  <c r="AJ629" i="17"/>
  <c r="AI629" i="17"/>
  <c r="AH629" i="17"/>
  <c r="AG629" i="17"/>
  <c r="AF629" i="17"/>
  <c r="AE629" i="17"/>
  <c r="AD629" i="17"/>
  <c r="AC629" i="17"/>
  <c r="AB629" i="17"/>
  <c r="AA629" i="17"/>
  <c r="Z629" i="17"/>
  <c r="Y629" i="17"/>
  <c r="X629" i="17"/>
  <c r="W629" i="17"/>
  <c r="V629" i="17"/>
  <c r="U629" i="17"/>
  <c r="T629" i="17"/>
  <c r="S629" i="17"/>
  <c r="R629" i="17"/>
  <c r="Q629" i="17"/>
  <c r="P629" i="17"/>
  <c r="O629" i="17"/>
  <c r="N629" i="17"/>
  <c r="M629" i="17"/>
  <c r="L629" i="17"/>
  <c r="K629" i="17"/>
  <c r="J629" i="17"/>
  <c r="I629" i="17"/>
  <c r="H629" i="17"/>
  <c r="G629" i="17"/>
  <c r="F629" i="17"/>
  <c r="E629" i="17"/>
  <c r="D629" i="17"/>
  <c r="C629" i="17"/>
  <c r="B629" i="17"/>
  <c r="A629" i="17"/>
  <c r="AM628" i="17"/>
  <c r="AL628" i="17"/>
  <c r="AK628" i="17"/>
  <c r="AJ628" i="17"/>
  <c r="AI628" i="17"/>
  <c r="AH628" i="17"/>
  <c r="AG628" i="17"/>
  <c r="AF628" i="17"/>
  <c r="AE628" i="17"/>
  <c r="AD628" i="17"/>
  <c r="AC628" i="17"/>
  <c r="AB628" i="17"/>
  <c r="AA628" i="17"/>
  <c r="Z628" i="17"/>
  <c r="Y628" i="17"/>
  <c r="X628" i="17"/>
  <c r="W628" i="17"/>
  <c r="V628" i="17"/>
  <c r="U628" i="17"/>
  <c r="T628" i="17"/>
  <c r="S628" i="17"/>
  <c r="R628" i="17"/>
  <c r="Q628" i="17"/>
  <c r="P628" i="17"/>
  <c r="O628" i="17"/>
  <c r="N628" i="17"/>
  <c r="M628" i="17"/>
  <c r="L628" i="17"/>
  <c r="K628" i="17"/>
  <c r="J628" i="17"/>
  <c r="I628" i="17"/>
  <c r="H628" i="17"/>
  <c r="G628" i="17"/>
  <c r="F628" i="17"/>
  <c r="E628" i="17"/>
  <c r="D628" i="17"/>
  <c r="C628" i="17"/>
  <c r="B628" i="17"/>
  <c r="A628" i="17"/>
  <c r="AM627" i="17"/>
  <c r="AL627" i="17"/>
  <c r="AK627" i="17"/>
  <c r="AJ627" i="17"/>
  <c r="AI627" i="17"/>
  <c r="AH627" i="17"/>
  <c r="AG627" i="17"/>
  <c r="AF627" i="17"/>
  <c r="AE627" i="17"/>
  <c r="AD627" i="17"/>
  <c r="AC627" i="17"/>
  <c r="AB627" i="17"/>
  <c r="AA627" i="17"/>
  <c r="Z627" i="17"/>
  <c r="Y627" i="17"/>
  <c r="X627" i="17"/>
  <c r="W627" i="17"/>
  <c r="V627" i="17"/>
  <c r="U627" i="17"/>
  <c r="T627" i="17"/>
  <c r="S627" i="17"/>
  <c r="R627" i="17"/>
  <c r="Q627" i="17"/>
  <c r="P627" i="17"/>
  <c r="O627" i="17"/>
  <c r="N627" i="17"/>
  <c r="M627" i="17"/>
  <c r="L627" i="17"/>
  <c r="K627" i="17"/>
  <c r="J627" i="17"/>
  <c r="I627" i="17"/>
  <c r="H627" i="17"/>
  <c r="G627" i="17"/>
  <c r="F627" i="17"/>
  <c r="E627" i="17"/>
  <c r="D627" i="17"/>
  <c r="C627" i="17"/>
  <c r="B627" i="17"/>
  <c r="A627" i="17"/>
  <c r="AM626" i="17"/>
  <c r="AL626" i="17"/>
  <c r="AK626" i="17"/>
  <c r="AJ626" i="17"/>
  <c r="AI626" i="17"/>
  <c r="AH626" i="17"/>
  <c r="AG626" i="17"/>
  <c r="AF626" i="17"/>
  <c r="AE626" i="17"/>
  <c r="AD626" i="17"/>
  <c r="AC626" i="17"/>
  <c r="AB626" i="17"/>
  <c r="AA626" i="17"/>
  <c r="Z626" i="17"/>
  <c r="Y626" i="17"/>
  <c r="X626" i="17"/>
  <c r="W626" i="17"/>
  <c r="V626" i="17"/>
  <c r="U626" i="17"/>
  <c r="T626" i="17"/>
  <c r="S626" i="17"/>
  <c r="R626" i="17"/>
  <c r="Q626" i="17"/>
  <c r="P626" i="17"/>
  <c r="O626" i="17"/>
  <c r="N626" i="17"/>
  <c r="M626" i="17"/>
  <c r="L626" i="17"/>
  <c r="K626" i="17"/>
  <c r="J626" i="17"/>
  <c r="I626" i="17"/>
  <c r="H626" i="17"/>
  <c r="G626" i="17"/>
  <c r="F626" i="17"/>
  <c r="E626" i="17"/>
  <c r="D626" i="17"/>
  <c r="C626" i="17"/>
  <c r="B626" i="17"/>
  <c r="A626" i="17"/>
  <c r="AM625" i="17"/>
  <c r="AL625" i="17"/>
  <c r="AK625" i="17"/>
  <c r="AJ625" i="17"/>
  <c r="AI625" i="17"/>
  <c r="AH625" i="17"/>
  <c r="AG625" i="17"/>
  <c r="AF625" i="17"/>
  <c r="AE625" i="17"/>
  <c r="AD625" i="17"/>
  <c r="AC625" i="17"/>
  <c r="AB625" i="17"/>
  <c r="AA625" i="17"/>
  <c r="Z625" i="17"/>
  <c r="Y625" i="17"/>
  <c r="X625" i="17"/>
  <c r="W625" i="17"/>
  <c r="V625" i="17"/>
  <c r="U625" i="17"/>
  <c r="T625" i="17"/>
  <c r="S625" i="17"/>
  <c r="R625" i="17"/>
  <c r="Q625" i="17"/>
  <c r="P625" i="17"/>
  <c r="O625" i="17"/>
  <c r="N625" i="17"/>
  <c r="M625" i="17"/>
  <c r="L625" i="17"/>
  <c r="K625" i="17"/>
  <c r="J625" i="17"/>
  <c r="I625" i="17"/>
  <c r="H625" i="17"/>
  <c r="G625" i="17"/>
  <c r="F625" i="17"/>
  <c r="E625" i="17"/>
  <c r="D625" i="17"/>
  <c r="C625" i="17"/>
  <c r="B625" i="17"/>
  <c r="A625" i="17"/>
  <c r="AM624" i="17"/>
  <c r="AL624" i="17"/>
  <c r="AK624" i="17"/>
  <c r="AJ624" i="17"/>
  <c r="AI624" i="17"/>
  <c r="AH624" i="17"/>
  <c r="AG624" i="17"/>
  <c r="AF624" i="17"/>
  <c r="AE624" i="17"/>
  <c r="AD624" i="17"/>
  <c r="AC624" i="17"/>
  <c r="AB624" i="17"/>
  <c r="AA624" i="17"/>
  <c r="Z624" i="17"/>
  <c r="Y624" i="17"/>
  <c r="X624" i="17"/>
  <c r="W624" i="17"/>
  <c r="V624" i="17"/>
  <c r="U624" i="17"/>
  <c r="T624" i="17"/>
  <c r="S624" i="17"/>
  <c r="R624" i="17"/>
  <c r="Q624" i="17"/>
  <c r="P624" i="17"/>
  <c r="O624" i="17"/>
  <c r="N624" i="17"/>
  <c r="M624" i="17"/>
  <c r="L624" i="17"/>
  <c r="K624" i="17"/>
  <c r="J624" i="17"/>
  <c r="I624" i="17"/>
  <c r="H624" i="17"/>
  <c r="G624" i="17"/>
  <c r="F624" i="17"/>
  <c r="E624" i="17"/>
  <c r="D624" i="17"/>
  <c r="C624" i="17"/>
  <c r="B624" i="17"/>
  <c r="A624" i="17"/>
  <c r="AM623" i="17"/>
  <c r="AL623" i="17"/>
  <c r="AK623" i="17"/>
  <c r="AJ623" i="17"/>
  <c r="AI623" i="17"/>
  <c r="AH623" i="17"/>
  <c r="AG623" i="17"/>
  <c r="AF623" i="17"/>
  <c r="AE623" i="17"/>
  <c r="AD623" i="17"/>
  <c r="AC623" i="17"/>
  <c r="AB623" i="17"/>
  <c r="AA623" i="17"/>
  <c r="Z623" i="17"/>
  <c r="Y623" i="17"/>
  <c r="X623" i="17"/>
  <c r="W623" i="17"/>
  <c r="V623" i="17"/>
  <c r="U623" i="17"/>
  <c r="T623" i="17"/>
  <c r="S623" i="17"/>
  <c r="R623" i="17"/>
  <c r="Q623" i="17"/>
  <c r="P623" i="17"/>
  <c r="O623" i="17"/>
  <c r="N623" i="17"/>
  <c r="M623" i="17"/>
  <c r="L623" i="17"/>
  <c r="K623" i="17"/>
  <c r="J623" i="17"/>
  <c r="I623" i="17"/>
  <c r="H623" i="17"/>
  <c r="G623" i="17"/>
  <c r="F623" i="17"/>
  <c r="E623" i="17"/>
  <c r="D623" i="17"/>
  <c r="C623" i="17"/>
  <c r="B623" i="17"/>
  <c r="A623" i="17"/>
  <c r="AM622" i="17"/>
  <c r="AL622" i="17"/>
  <c r="AK622" i="17"/>
  <c r="AJ622" i="17"/>
  <c r="AI622" i="17"/>
  <c r="AH622" i="17"/>
  <c r="AG622" i="17"/>
  <c r="AF622" i="17"/>
  <c r="AE622" i="17"/>
  <c r="AD622" i="17"/>
  <c r="AC622" i="17"/>
  <c r="AB622" i="17"/>
  <c r="AA622" i="17"/>
  <c r="Z622" i="17"/>
  <c r="Y622" i="17"/>
  <c r="X622" i="17"/>
  <c r="W622" i="17"/>
  <c r="V622" i="17"/>
  <c r="U622" i="17"/>
  <c r="T622" i="17"/>
  <c r="S622" i="17"/>
  <c r="R622" i="17"/>
  <c r="Q622" i="17"/>
  <c r="P622" i="17"/>
  <c r="O622" i="17"/>
  <c r="N622" i="17"/>
  <c r="M622" i="17"/>
  <c r="L622" i="17"/>
  <c r="K622" i="17"/>
  <c r="J622" i="17"/>
  <c r="I622" i="17"/>
  <c r="H622" i="17"/>
  <c r="G622" i="17"/>
  <c r="F622" i="17"/>
  <c r="E622" i="17"/>
  <c r="D622" i="17"/>
  <c r="C622" i="17"/>
  <c r="B622" i="17"/>
  <c r="A622" i="17"/>
  <c r="AM621" i="17"/>
  <c r="AL621" i="17"/>
  <c r="AK621" i="17"/>
  <c r="AJ621" i="17"/>
  <c r="AI621" i="17"/>
  <c r="AH621" i="17"/>
  <c r="AG621" i="17"/>
  <c r="AF621" i="17"/>
  <c r="AE621" i="17"/>
  <c r="AD621" i="17"/>
  <c r="AC621" i="17"/>
  <c r="AB621" i="17"/>
  <c r="AA621" i="17"/>
  <c r="Z621" i="17"/>
  <c r="Y621" i="17"/>
  <c r="X621" i="17"/>
  <c r="W621" i="17"/>
  <c r="V621" i="17"/>
  <c r="U621" i="17"/>
  <c r="T621" i="17"/>
  <c r="S621" i="17"/>
  <c r="R621" i="17"/>
  <c r="Q621" i="17"/>
  <c r="P621" i="17"/>
  <c r="O621" i="17"/>
  <c r="N621" i="17"/>
  <c r="M621" i="17"/>
  <c r="L621" i="17"/>
  <c r="K621" i="17"/>
  <c r="J621" i="17"/>
  <c r="I621" i="17"/>
  <c r="H621" i="17"/>
  <c r="G621" i="17"/>
  <c r="F621" i="17"/>
  <c r="E621" i="17"/>
  <c r="D621" i="17"/>
  <c r="C621" i="17"/>
  <c r="B621" i="17"/>
  <c r="A621" i="17"/>
  <c r="AM620" i="17"/>
  <c r="AL620" i="17"/>
  <c r="AK620" i="17"/>
  <c r="AJ620" i="17"/>
  <c r="AI620" i="17"/>
  <c r="AH620" i="17"/>
  <c r="AG620" i="17"/>
  <c r="AF620" i="17"/>
  <c r="AE620" i="17"/>
  <c r="AD620" i="17"/>
  <c r="AC620" i="17"/>
  <c r="AB620" i="17"/>
  <c r="AA620" i="17"/>
  <c r="Z620" i="17"/>
  <c r="Y620" i="17"/>
  <c r="X620" i="17"/>
  <c r="W620" i="17"/>
  <c r="V620" i="17"/>
  <c r="U620" i="17"/>
  <c r="T620" i="17"/>
  <c r="S620" i="17"/>
  <c r="R620" i="17"/>
  <c r="Q620" i="17"/>
  <c r="P620" i="17"/>
  <c r="O620" i="17"/>
  <c r="N620" i="17"/>
  <c r="M620" i="17"/>
  <c r="L620" i="17"/>
  <c r="K620" i="17"/>
  <c r="J620" i="17"/>
  <c r="I620" i="17"/>
  <c r="H620" i="17"/>
  <c r="G620" i="17"/>
  <c r="F620" i="17"/>
  <c r="E620" i="17"/>
  <c r="D620" i="17"/>
  <c r="C620" i="17"/>
  <c r="B620" i="17"/>
  <c r="A620" i="17"/>
  <c r="AM619" i="17"/>
  <c r="AL619" i="17"/>
  <c r="AK619" i="17"/>
  <c r="AJ619" i="17"/>
  <c r="AI619" i="17"/>
  <c r="AH619" i="17"/>
  <c r="AG619" i="17"/>
  <c r="AF619" i="17"/>
  <c r="AE619" i="17"/>
  <c r="AD619" i="17"/>
  <c r="AC619" i="17"/>
  <c r="AB619" i="17"/>
  <c r="AA619" i="17"/>
  <c r="Z619" i="17"/>
  <c r="Y619" i="17"/>
  <c r="X619" i="17"/>
  <c r="W619" i="17"/>
  <c r="V619" i="17"/>
  <c r="U619" i="17"/>
  <c r="T619" i="17"/>
  <c r="S619" i="17"/>
  <c r="R619" i="17"/>
  <c r="Q619" i="17"/>
  <c r="P619" i="17"/>
  <c r="O619" i="17"/>
  <c r="N619" i="17"/>
  <c r="M619" i="17"/>
  <c r="L619" i="17"/>
  <c r="K619" i="17"/>
  <c r="J619" i="17"/>
  <c r="I619" i="17"/>
  <c r="H619" i="17"/>
  <c r="G619" i="17"/>
  <c r="F619" i="17"/>
  <c r="E619" i="17"/>
  <c r="D619" i="17"/>
  <c r="C619" i="17"/>
  <c r="B619" i="17"/>
  <c r="A619" i="17"/>
  <c r="AM618" i="17"/>
  <c r="AL618" i="17"/>
  <c r="AK618" i="17"/>
  <c r="AJ618" i="17"/>
  <c r="AI618" i="17"/>
  <c r="AH618" i="17"/>
  <c r="AG618" i="17"/>
  <c r="AF618" i="17"/>
  <c r="AE618" i="17"/>
  <c r="AD618" i="17"/>
  <c r="AC618" i="17"/>
  <c r="AB618" i="17"/>
  <c r="AA618" i="17"/>
  <c r="Z618" i="17"/>
  <c r="Y618" i="17"/>
  <c r="X618" i="17"/>
  <c r="W618" i="17"/>
  <c r="V618" i="17"/>
  <c r="U618" i="17"/>
  <c r="T618" i="17"/>
  <c r="S618" i="17"/>
  <c r="R618" i="17"/>
  <c r="Q618" i="17"/>
  <c r="P618" i="17"/>
  <c r="O618" i="17"/>
  <c r="N618" i="17"/>
  <c r="M618" i="17"/>
  <c r="L618" i="17"/>
  <c r="K618" i="17"/>
  <c r="J618" i="17"/>
  <c r="I618" i="17"/>
  <c r="H618" i="17"/>
  <c r="G618" i="17"/>
  <c r="F618" i="17"/>
  <c r="E618" i="17"/>
  <c r="D618" i="17"/>
  <c r="C618" i="17"/>
  <c r="B618" i="17"/>
  <c r="A618" i="17"/>
  <c r="AM617" i="17"/>
  <c r="AL617" i="17"/>
  <c r="AK617" i="17"/>
  <c r="AJ617" i="17"/>
  <c r="AI617" i="17"/>
  <c r="AH617" i="17"/>
  <c r="AG617" i="17"/>
  <c r="AF617" i="17"/>
  <c r="AE617" i="17"/>
  <c r="AD617" i="17"/>
  <c r="AC617" i="17"/>
  <c r="AB617" i="17"/>
  <c r="AA617" i="17"/>
  <c r="Z617" i="17"/>
  <c r="Y617" i="17"/>
  <c r="X617" i="17"/>
  <c r="W617" i="17"/>
  <c r="V617" i="17"/>
  <c r="U617" i="17"/>
  <c r="T617" i="17"/>
  <c r="S617" i="17"/>
  <c r="R617" i="17"/>
  <c r="Q617" i="17"/>
  <c r="P617" i="17"/>
  <c r="O617" i="17"/>
  <c r="N617" i="17"/>
  <c r="M617" i="17"/>
  <c r="L617" i="17"/>
  <c r="K617" i="17"/>
  <c r="J617" i="17"/>
  <c r="I617" i="17"/>
  <c r="H617" i="17"/>
  <c r="G617" i="17"/>
  <c r="F617" i="17"/>
  <c r="E617" i="17"/>
  <c r="D617" i="17"/>
  <c r="C617" i="17"/>
  <c r="B617" i="17"/>
  <c r="A617" i="17"/>
  <c r="AM616" i="17"/>
  <c r="AL616" i="17"/>
  <c r="AK616" i="17"/>
  <c r="AJ616" i="17"/>
  <c r="AI616" i="17"/>
  <c r="AH616" i="17"/>
  <c r="AG616" i="17"/>
  <c r="AF616" i="17"/>
  <c r="AE616" i="17"/>
  <c r="AD616" i="17"/>
  <c r="AC616" i="17"/>
  <c r="AB616" i="17"/>
  <c r="AA616" i="17"/>
  <c r="Z616" i="17"/>
  <c r="Y616" i="17"/>
  <c r="X616" i="17"/>
  <c r="W616" i="17"/>
  <c r="V616" i="17"/>
  <c r="U616" i="17"/>
  <c r="T616" i="17"/>
  <c r="S616" i="17"/>
  <c r="R616" i="17"/>
  <c r="Q616" i="17"/>
  <c r="P616" i="17"/>
  <c r="O616" i="17"/>
  <c r="N616" i="17"/>
  <c r="M616" i="17"/>
  <c r="L616" i="17"/>
  <c r="K616" i="17"/>
  <c r="J616" i="17"/>
  <c r="I616" i="17"/>
  <c r="H616" i="17"/>
  <c r="G616" i="17"/>
  <c r="F616" i="17"/>
  <c r="E616" i="17"/>
  <c r="D616" i="17"/>
  <c r="C616" i="17"/>
  <c r="B616" i="17"/>
  <c r="A616" i="17"/>
  <c r="AM615" i="17"/>
  <c r="AL615" i="17"/>
  <c r="AK615" i="17"/>
  <c r="AJ615" i="17"/>
  <c r="AI615" i="17"/>
  <c r="AH615" i="17"/>
  <c r="AG615" i="17"/>
  <c r="AF615" i="17"/>
  <c r="AE615" i="17"/>
  <c r="AD615" i="17"/>
  <c r="AC615" i="17"/>
  <c r="AB615" i="17"/>
  <c r="AA615" i="17"/>
  <c r="Z615" i="17"/>
  <c r="Y615" i="17"/>
  <c r="X615" i="17"/>
  <c r="W615" i="17"/>
  <c r="V615" i="17"/>
  <c r="U615" i="17"/>
  <c r="T615" i="17"/>
  <c r="S615" i="17"/>
  <c r="R615" i="17"/>
  <c r="Q615" i="17"/>
  <c r="P615" i="17"/>
  <c r="O615" i="17"/>
  <c r="N615" i="17"/>
  <c r="M615" i="17"/>
  <c r="L615" i="17"/>
  <c r="K615" i="17"/>
  <c r="J615" i="17"/>
  <c r="I615" i="17"/>
  <c r="H615" i="17"/>
  <c r="G615" i="17"/>
  <c r="F615" i="17"/>
  <c r="E615" i="17"/>
  <c r="D615" i="17"/>
  <c r="C615" i="17"/>
  <c r="B615" i="17"/>
  <c r="A615" i="17"/>
  <c r="AM614" i="17"/>
  <c r="AL614" i="17"/>
  <c r="AK614" i="17"/>
  <c r="AJ614" i="17"/>
  <c r="AI614" i="17"/>
  <c r="AH614" i="17"/>
  <c r="AG614" i="17"/>
  <c r="AF614" i="17"/>
  <c r="AE614" i="17"/>
  <c r="AD614" i="17"/>
  <c r="AC614" i="17"/>
  <c r="AB614" i="17"/>
  <c r="AA614" i="17"/>
  <c r="Z614" i="17"/>
  <c r="Y614" i="17"/>
  <c r="X614" i="17"/>
  <c r="W614" i="17"/>
  <c r="V614" i="17"/>
  <c r="U614" i="17"/>
  <c r="T614" i="17"/>
  <c r="S614" i="17"/>
  <c r="R614" i="17"/>
  <c r="Q614" i="17"/>
  <c r="P614" i="17"/>
  <c r="O614" i="17"/>
  <c r="N614" i="17"/>
  <c r="M614" i="17"/>
  <c r="L614" i="17"/>
  <c r="K614" i="17"/>
  <c r="J614" i="17"/>
  <c r="I614" i="17"/>
  <c r="H614" i="17"/>
  <c r="G614" i="17"/>
  <c r="F614" i="17"/>
  <c r="E614" i="17"/>
  <c r="D614" i="17"/>
  <c r="C614" i="17"/>
  <c r="B614" i="17"/>
  <c r="A614" i="17"/>
  <c r="AM613" i="17"/>
  <c r="AL613" i="17"/>
  <c r="AK613" i="17"/>
  <c r="AJ613" i="17"/>
  <c r="AI613" i="17"/>
  <c r="AH613" i="17"/>
  <c r="AG613" i="17"/>
  <c r="AF613" i="17"/>
  <c r="AE613" i="17"/>
  <c r="AD613" i="17"/>
  <c r="AC613" i="17"/>
  <c r="AB613" i="17"/>
  <c r="AA613" i="17"/>
  <c r="Z613" i="17"/>
  <c r="Y613" i="17"/>
  <c r="X613" i="17"/>
  <c r="W613" i="17"/>
  <c r="V613" i="17"/>
  <c r="U613" i="17"/>
  <c r="T613" i="17"/>
  <c r="S613" i="17"/>
  <c r="R613" i="17"/>
  <c r="Q613" i="17"/>
  <c r="P613" i="17"/>
  <c r="O613" i="17"/>
  <c r="N613" i="17"/>
  <c r="M613" i="17"/>
  <c r="L613" i="17"/>
  <c r="K613" i="17"/>
  <c r="J613" i="17"/>
  <c r="I613" i="17"/>
  <c r="H613" i="17"/>
  <c r="G613" i="17"/>
  <c r="F613" i="17"/>
  <c r="E613" i="17"/>
  <c r="D613" i="17"/>
  <c r="C613" i="17"/>
  <c r="B613" i="17"/>
  <c r="A613" i="17"/>
  <c r="AM612" i="17"/>
  <c r="AL612" i="17"/>
  <c r="AK612" i="17"/>
  <c r="AJ612" i="17"/>
  <c r="AI612" i="17"/>
  <c r="AH612" i="17"/>
  <c r="AG612" i="17"/>
  <c r="AF612" i="17"/>
  <c r="AE612" i="17"/>
  <c r="AD612" i="17"/>
  <c r="AC612" i="17"/>
  <c r="AB612" i="17"/>
  <c r="AA612" i="17"/>
  <c r="Z612" i="17"/>
  <c r="Y612" i="17"/>
  <c r="X612" i="17"/>
  <c r="W612" i="17"/>
  <c r="V612" i="17"/>
  <c r="U612" i="17"/>
  <c r="T612" i="17"/>
  <c r="S612" i="17"/>
  <c r="R612" i="17"/>
  <c r="Q612" i="17"/>
  <c r="P612" i="17"/>
  <c r="O612" i="17"/>
  <c r="N612" i="17"/>
  <c r="M612" i="17"/>
  <c r="L612" i="17"/>
  <c r="K612" i="17"/>
  <c r="J612" i="17"/>
  <c r="I612" i="17"/>
  <c r="H612" i="17"/>
  <c r="G612" i="17"/>
  <c r="F612" i="17"/>
  <c r="E612" i="17"/>
  <c r="D612" i="17"/>
  <c r="C612" i="17"/>
  <c r="B612" i="17"/>
  <c r="A612" i="17"/>
  <c r="AM611" i="17"/>
  <c r="AL611" i="17"/>
  <c r="AK611" i="17"/>
  <c r="AJ611" i="17"/>
  <c r="AI611" i="17"/>
  <c r="AH611" i="17"/>
  <c r="AG611" i="17"/>
  <c r="AF611" i="17"/>
  <c r="AE611" i="17"/>
  <c r="AD611" i="17"/>
  <c r="AC611" i="17"/>
  <c r="AB611" i="17"/>
  <c r="AA611" i="17"/>
  <c r="Z611" i="17"/>
  <c r="Y611" i="17"/>
  <c r="X611" i="17"/>
  <c r="W611" i="17"/>
  <c r="V611" i="17"/>
  <c r="U611" i="17"/>
  <c r="T611" i="17"/>
  <c r="S611" i="17"/>
  <c r="R611" i="17"/>
  <c r="Q611" i="17"/>
  <c r="P611" i="17"/>
  <c r="O611" i="17"/>
  <c r="N611" i="17"/>
  <c r="M611" i="17"/>
  <c r="L611" i="17"/>
  <c r="K611" i="17"/>
  <c r="J611" i="17"/>
  <c r="I611" i="17"/>
  <c r="H611" i="17"/>
  <c r="G611" i="17"/>
  <c r="F611" i="17"/>
  <c r="E611" i="17"/>
  <c r="D611" i="17"/>
  <c r="C611" i="17"/>
  <c r="B611" i="17"/>
  <c r="A611" i="17"/>
  <c r="AM610" i="17"/>
  <c r="AL610" i="17"/>
  <c r="AK610" i="17"/>
  <c r="AJ610" i="17"/>
  <c r="AI610" i="17"/>
  <c r="AH610" i="17"/>
  <c r="AG610" i="17"/>
  <c r="AF610" i="17"/>
  <c r="AE610" i="17"/>
  <c r="AD610" i="17"/>
  <c r="AC610" i="17"/>
  <c r="AB610" i="17"/>
  <c r="AA610" i="17"/>
  <c r="Z610" i="17"/>
  <c r="Y610" i="17"/>
  <c r="X610" i="17"/>
  <c r="W610" i="17"/>
  <c r="V610" i="17"/>
  <c r="U610" i="17"/>
  <c r="T610" i="17"/>
  <c r="S610" i="17"/>
  <c r="R610" i="17"/>
  <c r="Q610" i="17"/>
  <c r="P610" i="17"/>
  <c r="O610" i="17"/>
  <c r="N610" i="17"/>
  <c r="M610" i="17"/>
  <c r="L610" i="17"/>
  <c r="K610" i="17"/>
  <c r="J610" i="17"/>
  <c r="I610" i="17"/>
  <c r="H610" i="17"/>
  <c r="G610" i="17"/>
  <c r="F610" i="17"/>
  <c r="E610" i="17"/>
  <c r="D610" i="17"/>
  <c r="C610" i="17"/>
  <c r="B610" i="17"/>
  <c r="A610" i="17"/>
  <c r="AM609" i="17"/>
  <c r="AL609" i="17"/>
  <c r="AK609" i="17"/>
  <c r="AJ609" i="17"/>
  <c r="AI609" i="17"/>
  <c r="AH609" i="17"/>
  <c r="AG609" i="17"/>
  <c r="AF609" i="17"/>
  <c r="AE609" i="17"/>
  <c r="AD609" i="17"/>
  <c r="AC609" i="17"/>
  <c r="AB609" i="17"/>
  <c r="AA609" i="17"/>
  <c r="Z609" i="17"/>
  <c r="Y609" i="17"/>
  <c r="X609" i="17"/>
  <c r="W609" i="17"/>
  <c r="V609" i="17"/>
  <c r="U609" i="17"/>
  <c r="T609" i="17"/>
  <c r="S609" i="17"/>
  <c r="R609" i="17"/>
  <c r="Q609" i="17"/>
  <c r="P609" i="17"/>
  <c r="O609" i="17"/>
  <c r="N609" i="17"/>
  <c r="M609" i="17"/>
  <c r="L609" i="17"/>
  <c r="K609" i="17"/>
  <c r="J609" i="17"/>
  <c r="I609" i="17"/>
  <c r="H609" i="17"/>
  <c r="G609" i="17"/>
  <c r="F609" i="17"/>
  <c r="E609" i="17"/>
  <c r="D609" i="17"/>
  <c r="C609" i="17"/>
  <c r="B609" i="17"/>
  <c r="A609" i="17"/>
  <c r="AM608" i="17"/>
  <c r="AL608" i="17"/>
  <c r="AK608" i="17"/>
  <c r="AJ608" i="17"/>
  <c r="AI608" i="17"/>
  <c r="AH608" i="17"/>
  <c r="AG608" i="17"/>
  <c r="AF608" i="17"/>
  <c r="AE608" i="17"/>
  <c r="AD608" i="17"/>
  <c r="AC608" i="17"/>
  <c r="AB608" i="17"/>
  <c r="AA608" i="17"/>
  <c r="Z608" i="17"/>
  <c r="Y608" i="17"/>
  <c r="X608" i="17"/>
  <c r="W608" i="17"/>
  <c r="V608" i="17"/>
  <c r="U608" i="17"/>
  <c r="T608" i="17"/>
  <c r="S608" i="17"/>
  <c r="R608" i="17"/>
  <c r="Q608" i="17"/>
  <c r="P608" i="17"/>
  <c r="O608" i="17"/>
  <c r="N608" i="17"/>
  <c r="M608" i="17"/>
  <c r="L608" i="17"/>
  <c r="K608" i="17"/>
  <c r="J608" i="17"/>
  <c r="I608" i="17"/>
  <c r="H608" i="17"/>
  <c r="G608" i="17"/>
  <c r="F608" i="17"/>
  <c r="E608" i="17"/>
  <c r="D608" i="17"/>
  <c r="C608" i="17"/>
  <c r="B608" i="17"/>
  <c r="A608" i="17"/>
  <c r="AM606" i="17"/>
  <c r="AL606" i="17"/>
  <c r="AK606" i="17"/>
  <c r="AJ606" i="17"/>
  <c r="AI606" i="17"/>
  <c r="AH606" i="17"/>
  <c r="AG606" i="17"/>
  <c r="AF606" i="17"/>
  <c r="AE606" i="17"/>
  <c r="AD606" i="17"/>
  <c r="AC606" i="17"/>
  <c r="AB606" i="17"/>
  <c r="AA606" i="17"/>
  <c r="Z606" i="17"/>
  <c r="Y606" i="17"/>
  <c r="X606" i="17"/>
  <c r="W606" i="17"/>
  <c r="V606" i="17"/>
  <c r="U606" i="17"/>
  <c r="T606" i="17"/>
  <c r="S606" i="17"/>
  <c r="R606" i="17"/>
  <c r="Q606" i="17"/>
  <c r="P606" i="17"/>
  <c r="O606" i="17"/>
  <c r="N606" i="17"/>
  <c r="M606" i="17"/>
  <c r="L606" i="17"/>
  <c r="K606" i="17"/>
  <c r="J606" i="17"/>
  <c r="I606" i="17"/>
  <c r="H606" i="17"/>
  <c r="G606" i="17"/>
  <c r="F606" i="17"/>
  <c r="E606" i="17"/>
  <c r="D606" i="17"/>
  <c r="C606" i="17"/>
  <c r="B606" i="17"/>
  <c r="A606" i="17"/>
  <c r="AM605" i="17"/>
  <c r="AL605" i="17"/>
  <c r="AK605" i="17"/>
  <c r="AJ605" i="17"/>
  <c r="AI605" i="17"/>
  <c r="AH605" i="17"/>
  <c r="AG605" i="17"/>
  <c r="AF605" i="17"/>
  <c r="AE605" i="17"/>
  <c r="AD605" i="17"/>
  <c r="AC605" i="17"/>
  <c r="AB605" i="17"/>
  <c r="AA605" i="17"/>
  <c r="Z605" i="17"/>
  <c r="Y605" i="17"/>
  <c r="X605" i="17"/>
  <c r="W605" i="17"/>
  <c r="V605" i="17"/>
  <c r="U605" i="17"/>
  <c r="T605" i="17"/>
  <c r="S605" i="17"/>
  <c r="R605" i="17"/>
  <c r="Q605" i="17"/>
  <c r="P605" i="17"/>
  <c r="O605" i="17"/>
  <c r="N605" i="17"/>
  <c r="M605" i="17"/>
  <c r="L605" i="17"/>
  <c r="K605" i="17"/>
  <c r="J605" i="17"/>
  <c r="I605" i="17"/>
  <c r="H605" i="17"/>
  <c r="G605" i="17"/>
  <c r="F605" i="17"/>
  <c r="E605" i="17"/>
  <c r="D605" i="17"/>
  <c r="C605" i="17"/>
  <c r="B605" i="17"/>
  <c r="A605" i="17"/>
  <c r="AM604" i="17"/>
  <c r="AL604" i="17"/>
  <c r="AK604" i="17"/>
  <c r="AJ604" i="17"/>
  <c r="AI604" i="17"/>
  <c r="AH604" i="17"/>
  <c r="AG604" i="17"/>
  <c r="AF604" i="17"/>
  <c r="AE604" i="17"/>
  <c r="AD604" i="17"/>
  <c r="AC604" i="17"/>
  <c r="AB604" i="17"/>
  <c r="AA604" i="17"/>
  <c r="Z604" i="17"/>
  <c r="Y604" i="17"/>
  <c r="X604" i="17"/>
  <c r="W604" i="17"/>
  <c r="V604" i="17"/>
  <c r="U604" i="17"/>
  <c r="T604" i="17"/>
  <c r="S604" i="17"/>
  <c r="R604" i="17"/>
  <c r="Q604" i="17"/>
  <c r="P604" i="17"/>
  <c r="O604" i="17"/>
  <c r="N604" i="17"/>
  <c r="M604" i="17"/>
  <c r="L604" i="17"/>
  <c r="K604" i="17"/>
  <c r="J604" i="17"/>
  <c r="I604" i="17"/>
  <c r="H604" i="17"/>
  <c r="G604" i="17"/>
  <c r="F604" i="17"/>
  <c r="E604" i="17"/>
  <c r="D604" i="17"/>
  <c r="C604" i="17"/>
  <c r="B604" i="17"/>
  <c r="A604" i="17"/>
  <c r="AM603" i="17"/>
  <c r="AL603" i="17"/>
  <c r="AK603" i="17"/>
  <c r="AJ603" i="17"/>
  <c r="AI603" i="17"/>
  <c r="AH603" i="17"/>
  <c r="AG603" i="17"/>
  <c r="AF603" i="17"/>
  <c r="AE603" i="17"/>
  <c r="AD603" i="17"/>
  <c r="AC603" i="17"/>
  <c r="AB603" i="17"/>
  <c r="AA603" i="17"/>
  <c r="Z603" i="17"/>
  <c r="Y603" i="17"/>
  <c r="X603" i="17"/>
  <c r="W603" i="17"/>
  <c r="V603" i="17"/>
  <c r="U603" i="17"/>
  <c r="T603" i="17"/>
  <c r="S603" i="17"/>
  <c r="R603" i="17"/>
  <c r="Q603" i="17"/>
  <c r="P603" i="17"/>
  <c r="O603" i="17"/>
  <c r="N603" i="17"/>
  <c r="M603" i="17"/>
  <c r="L603" i="17"/>
  <c r="K603" i="17"/>
  <c r="J603" i="17"/>
  <c r="I603" i="17"/>
  <c r="H603" i="17"/>
  <c r="G603" i="17"/>
  <c r="F603" i="17"/>
  <c r="E603" i="17"/>
  <c r="D603" i="17"/>
  <c r="C603" i="17"/>
  <c r="B603" i="17"/>
  <c r="A603" i="17"/>
  <c r="AM602" i="17"/>
  <c r="AL602" i="17"/>
  <c r="AK602" i="17"/>
  <c r="AJ602" i="17"/>
  <c r="AI602" i="17"/>
  <c r="AH602" i="17"/>
  <c r="AG602" i="17"/>
  <c r="AF602" i="17"/>
  <c r="AE602" i="17"/>
  <c r="AD602" i="17"/>
  <c r="AC602" i="17"/>
  <c r="AB602" i="17"/>
  <c r="AA602" i="17"/>
  <c r="Z602" i="17"/>
  <c r="Y602" i="17"/>
  <c r="X602" i="17"/>
  <c r="W602" i="17"/>
  <c r="V602" i="17"/>
  <c r="U602" i="17"/>
  <c r="T602" i="17"/>
  <c r="S602" i="17"/>
  <c r="R602" i="17"/>
  <c r="Q602" i="17"/>
  <c r="P602" i="17"/>
  <c r="O602" i="17"/>
  <c r="N602" i="17"/>
  <c r="M602" i="17"/>
  <c r="L602" i="17"/>
  <c r="K602" i="17"/>
  <c r="J602" i="17"/>
  <c r="I602" i="17"/>
  <c r="H602" i="17"/>
  <c r="G602" i="17"/>
  <c r="F602" i="17"/>
  <c r="E602" i="17"/>
  <c r="D602" i="17"/>
  <c r="C602" i="17"/>
  <c r="B602" i="17"/>
  <c r="A602" i="17"/>
  <c r="AM601" i="17"/>
  <c r="AL601" i="17"/>
  <c r="AK601" i="17"/>
  <c r="AJ601" i="17"/>
  <c r="AI601" i="17"/>
  <c r="AH601" i="17"/>
  <c r="AG601" i="17"/>
  <c r="AF601" i="17"/>
  <c r="AE601" i="17"/>
  <c r="AD601" i="17"/>
  <c r="AC601" i="17"/>
  <c r="AB601" i="17"/>
  <c r="AA601" i="17"/>
  <c r="Z601" i="17"/>
  <c r="Y601" i="17"/>
  <c r="X601" i="17"/>
  <c r="W601" i="17"/>
  <c r="V601" i="17"/>
  <c r="U601" i="17"/>
  <c r="T601" i="17"/>
  <c r="S601" i="17"/>
  <c r="R601" i="17"/>
  <c r="Q601" i="17"/>
  <c r="P601" i="17"/>
  <c r="O601" i="17"/>
  <c r="N601" i="17"/>
  <c r="M601" i="17"/>
  <c r="L601" i="17"/>
  <c r="K601" i="17"/>
  <c r="J601" i="17"/>
  <c r="I601" i="17"/>
  <c r="H601" i="17"/>
  <c r="G601" i="17"/>
  <c r="F601" i="17"/>
  <c r="E601" i="17"/>
  <c r="D601" i="17"/>
  <c r="C601" i="17"/>
  <c r="B601" i="17"/>
  <c r="A601" i="17"/>
  <c r="AM600" i="17"/>
  <c r="AL600" i="17"/>
  <c r="AK600" i="17"/>
  <c r="AJ600" i="17"/>
  <c r="AI600" i="17"/>
  <c r="AH600" i="17"/>
  <c r="AG600" i="17"/>
  <c r="AF600" i="17"/>
  <c r="AE600" i="17"/>
  <c r="AD600" i="17"/>
  <c r="AC600" i="17"/>
  <c r="AB600" i="17"/>
  <c r="AA600" i="17"/>
  <c r="Z600" i="17"/>
  <c r="Y600" i="17"/>
  <c r="X600" i="17"/>
  <c r="W600" i="17"/>
  <c r="V600" i="17"/>
  <c r="U600" i="17"/>
  <c r="T600" i="17"/>
  <c r="S600" i="17"/>
  <c r="R600" i="17"/>
  <c r="Q600" i="17"/>
  <c r="P600" i="17"/>
  <c r="O600" i="17"/>
  <c r="N600" i="17"/>
  <c r="M600" i="17"/>
  <c r="L600" i="17"/>
  <c r="K600" i="17"/>
  <c r="J600" i="17"/>
  <c r="I600" i="17"/>
  <c r="H600" i="17"/>
  <c r="G600" i="17"/>
  <c r="F600" i="17"/>
  <c r="E600" i="17"/>
  <c r="D600" i="17"/>
  <c r="C600" i="17"/>
  <c r="B600" i="17"/>
  <c r="A600" i="17"/>
  <c r="AM599" i="17"/>
  <c r="AL599" i="17"/>
  <c r="AK599" i="17"/>
  <c r="AJ599" i="17"/>
  <c r="AI599" i="17"/>
  <c r="AH599" i="17"/>
  <c r="AG599" i="17"/>
  <c r="AF599" i="17"/>
  <c r="AE599" i="17"/>
  <c r="AD599" i="17"/>
  <c r="AC599" i="17"/>
  <c r="AB599" i="17"/>
  <c r="AA599" i="17"/>
  <c r="Z599" i="17"/>
  <c r="Y599" i="17"/>
  <c r="X599" i="17"/>
  <c r="W599" i="17"/>
  <c r="V599" i="17"/>
  <c r="U599" i="17"/>
  <c r="T599" i="17"/>
  <c r="S599" i="17"/>
  <c r="R599" i="17"/>
  <c r="Q599" i="17"/>
  <c r="P599" i="17"/>
  <c r="O599" i="17"/>
  <c r="N599" i="17"/>
  <c r="M599" i="17"/>
  <c r="L599" i="17"/>
  <c r="K599" i="17"/>
  <c r="J599" i="17"/>
  <c r="I599" i="17"/>
  <c r="H599" i="17"/>
  <c r="G599" i="17"/>
  <c r="F599" i="17"/>
  <c r="E599" i="17"/>
  <c r="D599" i="17"/>
  <c r="C599" i="17"/>
  <c r="B599" i="17"/>
  <c r="A599" i="17"/>
  <c r="AM598" i="17"/>
  <c r="AL598" i="17"/>
  <c r="AK598" i="17"/>
  <c r="AJ598" i="17"/>
  <c r="AI598" i="17"/>
  <c r="AH598" i="17"/>
  <c r="AG598" i="17"/>
  <c r="AF598" i="17"/>
  <c r="AE598" i="17"/>
  <c r="AD598" i="17"/>
  <c r="AC598" i="17"/>
  <c r="AB598" i="17"/>
  <c r="AA598" i="17"/>
  <c r="Z598" i="17"/>
  <c r="Y598" i="17"/>
  <c r="X598" i="17"/>
  <c r="W598" i="17"/>
  <c r="V598" i="17"/>
  <c r="U598" i="17"/>
  <c r="T598" i="17"/>
  <c r="S598" i="17"/>
  <c r="R598" i="17"/>
  <c r="Q598" i="17"/>
  <c r="P598" i="17"/>
  <c r="O598" i="17"/>
  <c r="N598" i="17"/>
  <c r="M598" i="17"/>
  <c r="L598" i="17"/>
  <c r="K598" i="17"/>
  <c r="J598" i="17"/>
  <c r="I598" i="17"/>
  <c r="H598" i="17"/>
  <c r="G598" i="17"/>
  <c r="F598" i="17"/>
  <c r="E598" i="17"/>
  <c r="D598" i="17"/>
  <c r="C598" i="17"/>
  <c r="B598" i="17"/>
  <c r="A598" i="17"/>
  <c r="AM597" i="17"/>
  <c r="AL597" i="17"/>
  <c r="AK597" i="17"/>
  <c r="AJ597" i="17"/>
  <c r="AI597" i="17"/>
  <c r="AH597" i="17"/>
  <c r="AG597" i="17"/>
  <c r="AF597" i="17"/>
  <c r="AE597" i="17"/>
  <c r="AD597" i="17"/>
  <c r="AC597" i="17"/>
  <c r="AB597" i="17"/>
  <c r="AA597" i="17"/>
  <c r="Z597" i="17"/>
  <c r="Y597" i="17"/>
  <c r="X597" i="17"/>
  <c r="W597" i="17"/>
  <c r="V597" i="17"/>
  <c r="U597" i="17"/>
  <c r="T597" i="17"/>
  <c r="S597" i="17"/>
  <c r="R597" i="17"/>
  <c r="Q597" i="17"/>
  <c r="P597" i="17"/>
  <c r="O597" i="17"/>
  <c r="N597" i="17"/>
  <c r="M597" i="17"/>
  <c r="L597" i="17"/>
  <c r="K597" i="17"/>
  <c r="J597" i="17"/>
  <c r="I597" i="17"/>
  <c r="H597" i="17"/>
  <c r="G597" i="17"/>
  <c r="F597" i="17"/>
  <c r="E597" i="17"/>
  <c r="D597" i="17"/>
  <c r="C597" i="17"/>
  <c r="B597" i="17"/>
  <c r="A597" i="17"/>
  <c r="AM596" i="17"/>
  <c r="AL596" i="17"/>
  <c r="AK596" i="17"/>
  <c r="AJ596" i="17"/>
  <c r="AI596" i="17"/>
  <c r="AH596" i="17"/>
  <c r="AG596" i="17"/>
  <c r="AF596" i="17"/>
  <c r="AE596" i="17"/>
  <c r="AD596" i="17"/>
  <c r="AC596" i="17"/>
  <c r="AB596" i="17"/>
  <c r="AA596" i="17"/>
  <c r="Z596" i="17"/>
  <c r="Y596" i="17"/>
  <c r="X596" i="17"/>
  <c r="W596" i="17"/>
  <c r="V596" i="17"/>
  <c r="U596" i="17"/>
  <c r="T596" i="17"/>
  <c r="S596" i="17"/>
  <c r="R596" i="17"/>
  <c r="Q596" i="17"/>
  <c r="P596" i="17"/>
  <c r="O596" i="17"/>
  <c r="N596" i="17"/>
  <c r="M596" i="17"/>
  <c r="L596" i="17"/>
  <c r="K596" i="17"/>
  <c r="J596" i="17"/>
  <c r="I596" i="17"/>
  <c r="H596" i="17"/>
  <c r="G596" i="17"/>
  <c r="F596" i="17"/>
  <c r="E596" i="17"/>
  <c r="D596" i="17"/>
  <c r="C596" i="17"/>
  <c r="B596" i="17"/>
  <c r="A596" i="17"/>
  <c r="AM595" i="17"/>
  <c r="AL595" i="17"/>
  <c r="AK595" i="17"/>
  <c r="AJ595" i="17"/>
  <c r="AI595" i="17"/>
  <c r="AH595" i="17"/>
  <c r="AG595" i="17"/>
  <c r="AF595" i="17"/>
  <c r="AE595" i="17"/>
  <c r="AD595" i="17"/>
  <c r="AC595" i="17"/>
  <c r="AB595" i="17"/>
  <c r="AA595" i="17"/>
  <c r="Z595" i="17"/>
  <c r="Y595" i="17"/>
  <c r="X595" i="17"/>
  <c r="W595" i="17"/>
  <c r="V595" i="17"/>
  <c r="U595" i="17"/>
  <c r="T595" i="17"/>
  <c r="S595" i="17"/>
  <c r="R595" i="17"/>
  <c r="Q595" i="17"/>
  <c r="P595" i="17"/>
  <c r="O595" i="17"/>
  <c r="N595" i="17"/>
  <c r="M595" i="17"/>
  <c r="L595" i="17"/>
  <c r="K595" i="17"/>
  <c r="J595" i="17"/>
  <c r="I595" i="17"/>
  <c r="H595" i="17"/>
  <c r="G595" i="17"/>
  <c r="F595" i="17"/>
  <c r="E595" i="17"/>
  <c r="D595" i="17"/>
  <c r="C595" i="17"/>
  <c r="B595" i="17"/>
  <c r="A595" i="17"/>
  <c r="AM594" i="17"/>
  <c r="AL594" i="17"/>
  <c r="AK594" i="17"/>
  <c r="AJ594" i="17"/>
  <c r="AI594" i="17"/>
  <c r="AH594" i="17"/>
  <c r="AG594" i="17"/>
  <c r="AF594" i="17"/>
  <c r="AE594" i="17"/>
  <c r="AD594" i="17"/>
  <c r="AC594" i="17"/>
  <c r="AB594" i="17"/>
  <c r="AA594" i="17"/>
  <c r="Z594" i="17"/>
  <c r="Y594" i="17"/>
  <c r="X594" i="17"/>
  <c r="W594" i="17"/>
  <c r="V594" i="17"/>
  <c r="U594" i="17"/>
  <c r="T594" i="17"/>
  <c r="S594" i="17"/>
  <c r="R594" i="17"/>
  <c r="Q594" i="17"/>
  <c r="P594" i="17"/>
  <c r="O594" i="17"/>
  <c r="N594" i="17"/>
  <c r="M594" i="17"/>
  <c r="L594" i="17"/>
  <c r="K594" i="17"/>
  <c r="J594" i="17"/>
  <c r="I594" i="17"/>
  <c r="H594" i="17"/>
  <c r="G594" i="17"/>
  <c r="F594" i="17"/>
  <c r="E594" i="17"/>
  <c r="D594" i="17"/>
  <c r="C594" i="17"/>
  <c r="B594" i="17"/>
  <c r="A594" i="17"/>
  <c r="AM593" i="17"/>
  <c r="AL593" i="17"/>
  <c r="AK593" i="17"/>
  <c r="AJ593" i="17"/>
  <c r="AI593" i="17"/>
  <c r="AH593" i="17"/>
  <c r="AG593" i="17"/>
  <c r="AF593" i="17"/>
  <c r="AE593" i="17"/>
  <c r="AD593" i="17"/>
  <c r="AC593" i="17"/>
  <c r="AB593" i="17"/>
  <c r="AA593" i="17"/>
  <c r="Z593" i="17"/>
  <c r="Y593" i="17"/>
  <c r="X593" i="17"/>
  <c r="W593" i="17"/>
  <c r="V593" i="17"/>
  <c r="U593" i="17"/>
  <c r="T593" i="17"/>
  <c r="S593" i="17"/>
  <c r="R593" i="17"/>
  <c r="Q593" i="17"/>
  <c r="P593" i="17"/>
  <c r="O593" i="17"/>
  <c r="N593" i="17"/>
  <c r="M593" i="17"/>
  <c r="L593" i="17"/>
  <c r="K593" i="17"/>
  <c r="J593" i="17"/>
  <c r="I593" i="17"/>
  <c r="H593" i="17"/>
  <c r="G593" i="17"/>
  <c r="F593" i="17"/>
  <c r="E593" i="17"/>
  <c r="D593" i="17"/>
  <c r="C593" i="17"/>
  <c r="B593" i="17"/>
  <c r="A593" i="17"/>
  <c r="AM592" i="17"/>
  <c r="AL592" i="17"/>
  <c r="AK592" i="17"/>
  <c r="AJ592" i="17"/>
  <c r="AI592" i="17"/>
  <c r="AH592" i="17"/>
  <c r="AG592" i="17"/>
  <c r="AF592" i="17"/>
  <c r="AE592" i="17"/>
  <c r="AD592" i="17"/>
  <c r="AC592" i="17"/>
  <c r="AB592" i="17"/>
  <c r="AA592" i="17"/>
  <c r="Z592" i="17"/>
  <c r="Y592" i="17"/>
  <c r="X592" i="17"/>
  <c r="W592" i="17"/>
  <c r="V592" i="17"/>
  <c r="U592" i="17"/>
  <c r="T592" i="17"/>
  <c r="S592" i="17"/>
  <c r="R592" i="17"/>
  <c r="Q592" i="17"/>
  <c r="P592" i="17"/>
  <c r="O592" i="17"/>
  <c r="N592" i="17"/>
  <c r="M592" i="17"/>
  <c r="L592" i="17"/>
  <c r="K592" i="17"/>
  <c r="J592" i="17"/>
  <c r="I592" i="17"/>
  <c r="H592" i="17"/>
  <c r="G592" i="17"/>
  <c r="F592" i="17"/>
  <c r="E592" i="17"/>
  <c r="D592" i="17"/>
  <c r="C592" i="17"/>
  <c r="B592" i="17"/>
  <c r="A592" i="17"/>
  <c r="AM591" i="17"/>
  <c r="AL591" i="17"/>
  <c r="AK591" i="17"/>
  <c r="AJ591" i="17"/>
  <c r="AI591" i="17"/>
  <c r="AH591" i="17"/>
  <c r="AG591" i="17"/>
  <c r="AF591" i="17"/>
  <c r="AE591" i="17"/>
  <c r="AD591" i="17"/>
  <c r="AC591" i="17"/>
  <c r="AB591" i="17"/>
  <c r="AA591" i="17"/>
  <c r="Z591" i="17"/>
  <c r="Y591" i="17"/>
  <c r="X591" i="17"/>
  <c r="W591" i="17"/>
  <c r="V591" i="17"/>
  <c r="U591" i="17"/>
  <c r="T591" i="17"/>
  <c r="S591" i="17"/>
  <c r="R591" i="17"/>
  <c r="Q591" i="17"/>
  <c r="P591" i="17"/>
  <c r="O591" i="17"/>
  <c r="N591" i="17"/>
  <c r="M591" i="17"/>
  <c r="L591" i="17"/>
  <c r="K591" i="17"/>
  <c r="J591" i="17"/>
  <c r="I591" i="17"/>
  <c r="H591" i="17"/>
  <c r="G591" i="17"/>
  <c r="F591" i="17"/>
  <c r="E591" i="17"/>
  <c r="D591" i="17"/>
  <c r="C591" i="17"/>
  <c r="B591" i="17"/>
  <c r="A591" i="17"/>
  <c r="AM590" i="17"/>
  <c r="AL590" i="17"/>
  <c r="AK590" i="17"/>
  <c r="AJ590" i="17"/>
  <c r="AI590" i="17"/>
  <c r="AH590" i="17"/>
  <c r="AG590" i="17"/>
  <c r="AF590" i="17"/>
  <c r="AE590" i="17"/>
  <c r="AD590" i="17"/>
  <c r="AC590" i="17"/>
  <c r="AB590" i="17"/>
  <c r="AA590" i="17"/>
  <c r="Z590" i="17"/>
  <c r="Y590" i="17"/>
  <c r="X590" i="17"/>
  <c r="W590" i="17"/>
  <c r="V590" i="17"/>
  <c r="U590" i="17"/>
  <c r="T590" i="17"/>
  <c r="S590" i="17"/>
  <c r="R590" i="17"/>
  <c r="Q590" i="17"/>
  <c r="P590" i="17"/>
  <c r="O590" i="17"/>
  <c r="N590" i="17"/>
  <c r="M590" i="17"/>
  <c r="L590" i="17"/>
  <c r="K590" i="17"/>
  <c r="J590" i="17"/>
  <c r="I590" i="17"/>
  <c r="H590" i="17"/>
  <c r="G590" i="17"/>
  <c r="F590" i="17"/>
  <c r="E590" i="17"/>
  <c r="D590" i="17"/>
  <c r="C590" i="17"/>
  <c r="B590" i="17"/>
  <c r="A590" i="17"/>
  <c r="AM589" i="17"/>
  <c r="AL589" i="17"/>
  <c r="AK589" i="17"/>
  <c r="AJ589" i="17"/>
  <c r="AI589" i="17"/>
  <c r="AH589" i="17"/>
  <c r="AG589" i="17"/>
  <c r="AF589" i="17"/>
  <c r="AE589" i="17"/>
  <c r="AD589" i="17"/>
  <c r="AC589" i="17"/>
  <c r="AB589" i="17"/>
  <c r="AA589" i="17"/>
  <c r="Z589" i="17"/>
  <c r="Y589" i="17"/>
  <c r="X589" i="17"/>
  <c r="W589" i="17"/>
  <c r="V589" i="17"/>
  <c r="U589" i="17"/>
  <c r="T589" i="17"/>
  <c r="S589" i="17"/>
  <c r="R589" i="17"/>
  <c r="Q589" i="17"/>
  <c r="P589" i="17"/>
  <c r="O589" i="17"/>
  <c r="N589" i="17"/>
  <c r="M589" i="17"/>
  <c r="L589" i="17"/>
  <c r="K589" i="17"/>
  <c r="J589" i="17"/>
  <c r="I589" i="17"/>
  <c r="H589" i="17"/>
  <c r="G589" i="17"/>
  <c r="F589" i="17"/>
  <c r="E589" i="17"/>
  <c r="D589" i="17"/>
  <c r="C589" i="17"/>
  <c r="B589" i="17"/>
  <c r="A589" i="17"/>
  <c r="AM588" i="17"/>
  <c r="AL588" i="17"/>
  <c r="AK588" i="17"/>
  <c r="AJ588" i="17"/>
  <c r="AI588" i="17"/>
  <c r="AH588" i="17"/>
  <c r="AG588" i="17"/>
  <c r="AF588" i="17"/>
  <c r="AE588" i="17"/>
  <c r="AD588" i="17"/>
  <c r="AC588" i="17"/>
  <c r="AB588" i="17"/>
  <c r="AA588" i="17"/>
  <c r="Z588" i="17"/>
  <c r="Y588" i="17"/>
  <c r="X588" i="17"/>
  <c r="W588" i="17"/>
  <c r="V588" i="17"/>
  <c r="U588" i="17"/>
  <c r="T588" i="17"/>
  <c r="S588" i="17"/>
  <c r="R588" i="17"/>
  <c r="Q588" i="17"/>
  <c r="P588" i="17"/>
  <c r="O588" i="17"/>
  <c r="N588" i="17"/>
  <c r="M588" i="17"/>
  <c r="L588" i="17"/>
  <c r="K588" i="17"/>
  <c r="J588" i="17"/>
  <c r="I588" i="17"/>
  <c r="H588" i="17"/>
  <c r="G588" i="17"/>
  <c r="F588" i="17"/>
  <c r="E588" i="17"/>
  <c r="D588" i="17"/>
  <c r="C588" i="17"/>
  <c r="B588" i="17"/>
  <c r="A588" i="17"/>
  <c r="AM587" i="17"/>
  <c r="AL587" i="17"/>
  <c r="AK587" i="17"/>
  <c r="AJ587" i="17"/>
  <c r="AI587" i="17"/>
  <c r="AH587" i="17"/>
  <c r="AG587" i="17"/>
  <c r="AF587" i="17"/>
  <c r="AE587" i="17"/>
  <c r="AD587" i="17"/>
  <c r="AC587" i="17"/>
  <c r="AB587" i="17"/>
  <c r="AA587" i="17"/>
  <c r="Z587" i="17"/>
  <c r="Y587" i="17"/>
  <c r="X587" i="17"/>
  <c r="W587" i="17"/>
  <c r="V587" i="17"/>
  <c r="U587" i="17"/>
  <c r="T587" i="17"/>
  <c r="S587" i="17"/>
  <c r="R587" i="17"/>
  <c r="Q587" i="17"/>
  <c r="P587" i="17"/>
  <c r="O587" i="17"/>
  <c r="N587" i="17"/>
  <c r="M587" i="17"/>
  <c r="L587" i="17"/>
  <c r="K587" i="17"/>
  <c r="J587" i="17"/>
  <c r="I587" i="17"/>
  <c r="H587" i="17"/>
  <c r="G587" i="17"/>
  <c r="F587" i="17"/>
  <c r="E587" i="17"/>
  <c r="D587" i="17"/>
  <c r="C587" i="17"/>
  <c r="B587" i="17"/>
  <c r="A587" i="17"/>
  <c r="AM586" i="17"/>
  <c r="AL586" i="17"/>
  <c r="AK586" i="17"/>
  <c r="AJ586" i="17"/>
  <c r="AI586" i="17"/>
  <c r="AH586" i="17"/>
  <c r="AG586" i="17"/>
  <c r="AF586" i="17"/>
  <c r="AE586" i="17"/>
  <c r="AD586" i="17"/>
  <c r="AC586" i="17"/>
  <c r="AB586" i="17"/>
  <c r="AA586" i="17"/>
  <c r="Z586" i="17"/>
  <c r="Y586" i="17"/>
  <c r="X586" i="17"/>
  <c r="W586" i="17"/>
  <c r="V586" i="17"/>
  <c r="U586" i="17"/>
  <c r="T586" i="17"/>
  <c r="S586" i="17"/>
  <c r="R586" i="17"/>
  <c r="Q586" i="17"/>
  <c r="P586" i="17"/>
  <c r="O586" i="17"/>
  <c r="N586" i="17"/>
  <c r="M586" i="17"/>
  <c r="L586" i="17"/>
  <c r="K586" i="17"/>
  <c r="J586" i="17"/>
  <c r="I586" i="17"/>
  <c r="H586" i="17"/>
  <c r="G586" i="17"/>
  <c r="F586" i="17"/>
  <c r="E586" i="17"/>
  <c r="D586" i="17"/>
  <c r="C586" i="17"/>
  <c r="B586" i="17"/>
  <c r="A586" i="17"/>
  <c r="AM585" i="17"/>
  <c r="AL585" i="17"/>
  <c r="AK585" i="17"/>
  <c r="AJ585" i="17"/>
  <c r="AI585" i="17"/>
  <c r="AH585" i="17"/>
  <c r="AG585" i="17"/>
  <c r="AF585" i="17"/>
  <c r="AE585" i="17"/>
  <c r="AD585" i="17"/>
  <c r="AC585" i="17"/>
  <c r="AB585" i="17"/>
  <c r="AA585" i="17"/>
  <c r="Z585" i="17"/>
  <c r="Y585" i="17"/>
  <c r="X585" i="17"/>
  <c r="W585" i="17"/>
  <c r="V585" i="17"/>
  <c r="U585" i="17"/>
  <c r="T585" i="17"/>
  <c r="S585" i="17"/>
  <c r="R585" i="17"/>
  <c r="Q585" i="17"/>
  <c r="P585" i="17"/>
  <c r="O585" i="17"/>
  <c r="N585" i="17"/>
  <c r="M585" i="17"/>
  <c r="L585" i="17"/>
  <c r="K585" i="17"/>
  <c r="J585" i="17"/>
  <c r="I585" i="17"/>
  <c r="H585" i="17"/>
  <c r="G585" i="17"/>
  <c r="F585" i="17"/>
  <c r="E585" i="17"/>
  <c r="D585" i="17"/>
  <c r="C585" i="17"/>
  <c r="B585" i="17"/>
  <c r="A585" i="17"/>
  <c r="AM584" i="17"/>
  <c r="AL584" i="17"/>
  <c r="AK584" i="17"/>
  <c r="AJ584" i="17"/>
  <c r="AI584" i="17"/>
  <c r="AH584" i="17"/>
  <c r="AG584" i="17"/>
  <c r="AF584" i="17"/>
  <c r="AE584" i="17"/>
  <c r="AD584" i="17"/>
  <c r="AC584" i="17"/>
  <c r="AB584" i="17"/>
  <c r="AA584" i="17"/>
  <c r="Z584" i="17"/>
  <c r="Y584" i="17"/>
  <c r="X584" i="17"/>
  <c r="W584" i="17"/>
  <c r="V584" i="17"/>
  <c r="U584" i="17"/>
  <c r="T584" i="17"/>
  <c r="S584" i="17"/>
  <c r="R584" i="17"/>
  <c r="Q584" i="17"/>
  <c r="P584" i="17"/>
  <c r="O584" i="17"/>
  <c r="N584" i="17"/>
  <c r="M584" i="17"/>
  <c r="L584" i="17"/>
  <c r="K584" i="17"/>
  <c r="J584" i="17"/>
  <c r="I584" i="17"/>
  <c r="H584" i="17"/>
  <c r="G584" i="17"/>
  <c r="F584" i="17"/>
  <c r="E584" i="17"/>
  <c r="D584" i="17"/>
  <c r="C584" i="17"/>
  <c r="B584" i="17"/>
  <c r="A584" i="17"/>
  <c r="AM583" i="17"/>
  <c r="AL583" i="17"/>
  <c r="AK583" i="17"/>
  <c r="AJ583" i="17"/>
  <c r="AI583" i="17"/>
  <c r="AH583" i="17"/>
  <c r="AG583" i="17"/>
  <c r="AF583" i="17"/>
  <c r="AE583" i="17"/>
  <c r="AD583" i="17"/>
  <c r="AC583" i="17"/>
  <c r="AB583" i="17"/>
  <c r="AA583" i="17"/>
  <c r="Z583" i="17"/>
  <c r="Y583" i="17"/>
  <c r="X583" i="17"/>
  <c r="W583" i="17"/>
  <c r="V583" i="17"/>
  <c r="U583" i="17"/>
  <c r="T583" i="17"/>
  <c r="S583" i="17"/>
  <c r="R583" i="17"/>
  <c r="Q583" i="17"/>
  <c r="P583" i="17"/>
  <c r="O583" i="17"/>
  <c r="N583" i="17"/>
  <c r="M583" i="17"/>
  <c r="L583" i="17"/>
  <c r="K583" i="17"/>
  <c r="J583" i="17"/>
  <c r="I583" i="17"/>
  <c r="H583" i="17"/>
  <c r="G583" i="17"/>
  <c r="F583" i="17"/>
  <c r="E583" i="17"/>
  <c r="D583" i="17"/>
  <c r="C583" i="17"/>
  <c r="B583" i="17"/>
  <c r="A583" i="17"/>
  <c r="AM582" i="17"/>
  <c r="AL582" i="17"/>
  <c r="AK582" i="17"/>
  <c r="AJ582" i="17"/>
  <c r="AI582" i="17"/>
  <c r="AH582" i="17"/>
  <c r="AG582" i="17"/>
  <c r="AF582" i="17"/>
  <c r="AE582" i="17"/>
  <c r="AD582" i="17"/>
  <c r="AC582" i="17"/>
  <c r="AB582" i="17"/>
  <c r="AA582" i="17"/>
  <c r="Z582" i="17"/>
  <c r="Y582" i="17"/>
  <c r="X582" i="17"/>
  <c r="W582" i="17"/>
  <c r="V582" i="17"/>
  <c r="U582" i="17"/>
  <c r="T582" i="17"/>
  <c r="S582" i="17"/>
  <c r="R582" i="17"/>
  <c r="Q582" i="17"/>
  <c r="P582" i="17"/>
  <c r="O582" i="17"/>
  <c r="N582" i="17"/>
  <c r="M582" i="17"/>
  <c r="L582" i="17"/>
  <c r="K582" i="17"/>
  <c r="J582" i="17"/>
  <c r="I582" i="17"/>
  <c r="H582" i="17"/>
  <c r="G582" i="17"/>
  <c r="F582" i="17"/>
  <c r="E582" i="17"/>
  <c r="D582" i="17"/>
  <c r="C582" i="17"/>
  <c r="B582" i="17"/>
  <c r="A582" i="17"/>
  <c r="AM581" i="17"/>
  <c r="AL581" i="17"/>
  <c r="AK581" i="17"/>
  <c r="AJ581" i="17"/>
  <c r="AI581" i="17"/>
  <c r="AH581" i="17"/>
  <c r="AG581" i="17"/>
  <c r="AF581" i="17"/>
  <c r="AE581" i="17"/>
  <c r="AD581" i="17"/>
  <c r="AC581" i="17"/>
  <c r="AB581" i="17"/>
  <c r="AA581" i="17"/>
  <c r="Z581" i="17"/>
  <c r="Y581" i="17"/>
  <c r="X581" i="17"/>
  <c r="W581" i="17"/>
  <c r="V581" i="17"/>
  <c r="U581" i="17"/>
  <c r="T581" i="17"/>
  <c r="S581" i="17"/>
  <c r="R581" i="17"/>
  <c r="Q581" i="17"/>
  <c r="P581" i="17"/>
  <c r="O581" i="17"/>
  <c r="N581" i="17"/>
  <c r="M581" i="17"/>
  <c r="L581" i="17"/>
  <c r="K581" i="17"/>
  <c r="J581" i="17"/>
  <c r="I581" i="17"/>
  <c r="H581" i="17"/>
  <c r="G581" i="17"/>
  <c r="F581" i="17"/>
  <c r="E581" i="17"/>
  <c r="D581" i="17"/>
  <c r="C581" i="17"/>
  <c r="B581" i="17"/>
  <c r="A581" i="17"/>
  <c r="AM580" i="17"/>
  <c r="AL580" i="17"/>
  <c r="AK580" i="17"/>
  <c r="AJ580" i="17"/>
  <c r="AI580" i="17"/>
  <c r="AH580" i="17"/>
  <c r="AG580" i="17"/>
  <c r="AF580" i="17"/>
  <c r="AE580" i="17"/>
  <c r="AD580" i="17"/>
  <c r="AC580" i="17"/>
  <c r="AB580" i="17"/>
  <c r="AA580" i="17"/>
  <c r="Z580" i="17"/>
  <c r="Y580" i="17"/>
  <c r="X580" i="17"/>
  <c r="W580" i="17"/>
  <c r="V580" i="17"/>
  <c r="U580" i="17"/>
  <c r="T580" i="17"/>
  <c r="S580" i="17"/>
  <c r="R580" i="17"/>
  <c r="Q580" i="17"/>
  <c r="P580" i="17"/>
  <c r="O580" i="17"/>
  <c r="N580" i="17"/>
  <c r="M580" i="17"/>
  <c r="L580" i="17"/>
  <c r="K580" i="17"/>
  <c r="J580" i="17"/>
  <c r="I580" i="17"/>
  <c r="H580" i="17"/>
  <c r="G580" i="17"/>
  <c r="F580" i="17"/>
  <c r="E580" i="17"/>
  <c r="D580" i="17"/>
  <c r="C580" i="17"/>
  <c r="B580" i="17"/>
  <c r="A580" i="17"/>
  <c r="AM579" i="17"/>
  <c r="AL579" i="17"/>
  <c r="AK579" i="17"/>
  <c r="AJ579" i="17"/>
  <c r="AI579" i="17"/>
  <c r="AH579" i="17"/>
  <c r="AG579" i="17"/>
  <c r="AF579" i="17"/>
  <c r="AE579" i="17"/>
  <c r="AD579" i="17"/>
  <c r="AC579" i="17"/>
  <c r="AB579" i="17"/>
  <c r="AA579" i="17"/>
  <c r="Z579" i="17"/>
  <c r="Y579" i="17"/>
  <c r="X579" i="17"/>
  <c r="W579" i="17"/>
  <c r="V579" i="17"/>
  <c r="U579" i="17"/>
  <c r="T579" i="17"/>
  <c r="S579" i="17"/>
  <c r="R579" i="17"/>
  <c r="Q579" i="17"/>
  <c r="P579" i="17"/>
  <c r="O579" i="17"/>
  <c r="N579" i="17"/>
  <c r="M579" i="17"/>
  <c r="L579" i="17"/>
  <c r="K579" i="17"/>
  <c r="J579" i="17"/>
  <c r="I579" i="17"/>
  <c r="H579" i="17"/>
  <c r="G579" i="17"/>
  <c r="F579" i="17"/>
  <c r="E579" i="17"/>
  <c r="D579" i="17"/>
  <c r="C579" i="17"/>
  <c r="B579" i="17"/>
  <c r="A579" i="17"/>
  <c r="AM578" i="17"/>
  <c r="AL578" i="17"/>
  <c r="AK578" i="17"/>
  <c r="AJ578" i="17"/>
  <c r="AI578" i="17"/>
  <c r="AH578" i="17"/>
  <c r="AG578" i="17"/>
  <c r="AF578" i="17"/>
  <c r="AE578" i="17"/>
  <c r="AD578" i="17"/>
  <c r="AC578" i="17"/>
  <c r="AB578" i="17"/>
  <c r="AA578" i="17"/>
  <c r="Z578" i="17"/>
  <c r="Y578" i="17"/>
  <c r="X578" i="17"/>
  <c r="W578" i="17"/>
  <c r="V578" i="17"/>
  <c r="U578" i="17"/>
  <c r="T578" i="17"/>
  <c r="S578" i="17"/>
  <c r="R578" i="17"/>
  <c r="Q578" i="17"/>
  <c r="P578" i="17"/>
  <c r="O578" i="17"/>
  <c r="N578" i="17"/>
  <c r="M578" i="17"/>
  <c r="L578" i="17"/>
  <c r="K578" i="17"/>
  <c r="J578" i="17"/>
  <c r="I578" i="17"/>
  <c r="H578" i="17"/>
  <c r="G578" i="17"/>
  <c r="F578" i="17"/>
  <c r="E578" i="17"/>
  <c r="D578" i="17"/>
  <c r="C578" i="17"/>
  <c r="B578" i="17"/>
  <c r="A578" i="17"/>
  <c r="AM577" i="17"/>
  <c r="AL577" i="17"/>
  <c r="AK577" i="17"/>
  <c r="AJ577" i="17"/>
  <c r="AI577" i="17"/>
  <c r="AH577" i="17"/>
  <c r="AG577" i="17"/>
  <c r="AF577" i="17"/>
  <c r="AE577" i="17"/>
  <c r="AD577" i="17"/>
  <c r="AC577" i="17"/>
  <c r="AB577" i="17"/>
  <c r="AA577" i="17"/>
  <c r="Z577" i="17"/>
  <c r="Y577" i="17"/>
  <c r="X577" i="17"/>
  <c r="W577" i="17"/>
  <c r="V577" i="17"/>
  <c r="U577" i="17"/>
  <c r="T577" i="17"/>
  <c r="S577" i="17"/>
  <c r="R577" i="17"/>
  <c r="Q577" i="17"/>
  <c r="P577" i="17"/>
  <c r="O577" i="17"/>
  <c r="N577" i="17"/>
  <c r="M577" i="17"/>
  <c r="L577" i="17"/>
  <c r="K577" i="17"/>
  <c r="J577" i="17"/>
  <c r="I577" i="17"/>
  <c r="H577" i="17"/>
  <c r="G577" i="17"/>
  <c r="F577" i="17"/>
  <c r="E577" i="17"/>
  <c r="D577" i="17"/>
  <c r="C577" i="17"/>
  <c r="B577" i="17"/>
  <c r="A577" i="17"/>
  <c r="AM576" i="17"/>
  <c r="AL576" i="17"/>
  <c r="AK576" i="17"/>
  <c r="AJ576" i="17"/>
  <c r="AI576" i="17"/>
  <c r="AH576" i="17"/>
  <c r="AG576" i="17"/>
  <c r="AF576" i="17"/>
  <c r="AE576" i="17"/>
  <c r="AD576" i="17"/>
  <c r="AC576" i="17"/>
  <c r="AB576" i="17"/>
  <c r="AA576" i="17"/>
  <c r="Z576" i="17"/>
  <c r="Y576" i="17"/>
  <c r="X576" i="17"/>
  <c r="W576" i="17"/>
  <c r="V576" i="17"/>
  <c r="U576" i="17"/>
  <c r="T576" i="17"/>
  <c r="S576" i="17"/>
  <c r="R576" i="17"/>
  <c r="Q576" i="17"/>
  <c r="P576" i="17"/>
  <c r="O576" i="17"/>
  <c r="N576" i="17"/>
  <c r="M576" i="17"/>
  <c r="L576" i="17"/>
  <c r="K576" i="17"/>
  <c r="J576" i="17"/>
  <c r="I576" i="17"/>
  <c r="H576" i="17"/>
  <c r="G576" i="17"/>
  <c r="F576" i="17"/>
  <c r="E576" i="17"/>
  <c r="D576" i="17"/>
  <c r="C576" i="17"/>
  <c r="B576" i="17"/>
  <c r="A576" i="17"/>
  <c r="AM575" i="17"/>
  <c r="AL575" i="17"/>
  <c r="AK575" i="17"/>
  <c r="AJ575" i="17"/>
  <c r="AI575" i="17"/>
  <c r="AH575" i="17"/>
  <c r="AG575" i="17"/>
  <c r="AF575" i="17"/>
  <c r="AE575" i="17"/>
  <c r="AD575" i="17"/>
  <c r="AC575" i="17"/>
  <c r="AB575" i="17"/>
  <c r="AA575" i="17"/>
  <c r="Z575" i="17"/>
  <c r="Y575" i="17"/>
  <c r="X575" i="17"/>
  <c r="W575" i="17"/>
  <c r="V575" i="17"/>
  <c r="U575" i="17"/>
  <c r="T575" i="17"/>
  <c r="S575" i="17"/>
  <c r="R575" i="17"/>
  <c r="Q575" i="17"/>
  <c r="P575" i="17"/>
  <c r="O575" i="17"/>
  <c r="N575" i="17"/>
  <c r="M575" i="17"/>
  <c r="L575" i="17"/>
  <c r="K575" i="17"/>
  <c r="J575" i="17"/>
  <c r="I575" i="17"/>
  <c r="H575" i="17"/>
  <c r="G575" i="17"/>
  <c r="F575" i="17"/>
  <c r="E575" i="17"/>
  <c r="D575" i="17"/>
  <c r="C575" i="17"/>
  <c r="B575" i="17"/>
  <c r="A575" i="17"/>
  <c r="AM574" i="17"/>
  <c r="AL574" i="17"/>
  <c r="AK574" i="17"/>
  <c r="AJ574" i="17"/>
  <c r="AI574" i="17"/>
  <c r="AH574" i="17"/>
  <c r="AG574" i="17"/>
  <c r="AF574" i="17"/>
  <c r="AE574" i="17"/>
  <c r="AD574" i="17"/>
  <c r="AC574" i="17"/>
  <c r="AB574" i="17"/>
  <c r="AA574" i="17"/>
  <c r="Z574" i="17"/>
  <c r="Y574" i="17"/>
  <c r="X574" i="17"/>
  <c r="W574" i="17"/>
  <c r="V574" i="17"/>
  <c r="U574" i="17"/>
  <c r="T574" i="17"/>
  <c r="S574" i="17"/>
  <c r="R574" i="17"/>
  <c r="Q574" i="17"/>
  <c r="P574" i="17"/>
  <c r="O574" i="17"/>
  <c r="N574" i="17"/>
  <c r="M574" i="17"/>
  <c r="L574" i="17"/>
  <c r="K574" i="17"/>
  <c r="J574" i="17"/>
  <c r="I574" i="17"/>
  <c r="H574" i="17"/>
  <c r="G574" i="17"/>
  <c r="F574" i="17"/>
  <c r="E574" i="17"/>
  <c r="D574" i="17"/>
  <c r="C574" i="17"/>
  <c r="B574" i="17"/>
  <c r="A574" i="17"/>
  <c r="AM573" i="17"/>
  <c r="AL573" i="17"/>
  <c r="AK573" i="17"/>
  <c r="AJ573" i="17"/>
  <c r="AI573" i="17"/>
  <c r="AH573" i="17"/>
  <c r="AG573" i="17"/>
  <c r="AF573" i="17"/>
  <c r="AE573" i="17"/>
  <c r="AD573" i="17"/>
  <c r="AC573" i="17"/>
  <c r="AB573" i="17"/>
  <c r="AA573" i="17"/>
  <c r="Z573" i="17"/>
  <c r="Y573" i="17"/>
  <c r="X573" i="17"/>
  <c r="W573" i="17"/>
  <c r="V573" i="17"/>
  <c r="U573" i="17"/>
  <c r="T573" i="17"/>
  <c r="S573" i="17"/>
  <c r="R573" i="17"/>
  <c r="Q573" i="17"/>
  <c r="P573" i="17"/>
  <c r="O573" i="17"/>
  <c r="N573" i="17"/>
  <c r="M573" i="17"/>
  <c r="L573" i="17"/>
  <c r="K573" i="17"/>
  <c r="J573" i="17"/>
  <c r="I573" i="17"/>
  <c r="H573" i="17"/>
  <c r="G573" i="17"/>
  <c r="F573" i="17"/>
  <c r="E573" i="17"/>
  <c r="D573" i="17"/>
  <c r="C573" i="17"/>
  <c r="B573" i="17"/>
  <c r="A573" i="17"/>
  <c r="AM572" i="17"/>
  <c r="AL572" i="17"/>
  <c r="AK572" i="17"/>
  <c r="AJ572" i="17"/>
  <c r="AI572" i="17"/>
  <c r="AH572" i="17"/>
  <c r="AG572" i="17"/>
  <c r="AF572" i="17"/>
  <c r="AE572" i="17"/>
  <c r="AD572" i="17"/>
  <c r="AC572" i="17"/>
  <c r="AB572" i="17"/>
  <c r="AA572" i="17"/>
  <c r="Z572" i="17"/>
  <c r="Y572" i="17"/>
  <c r="X572" i="17"/>
  <c r="W572" i="17"/>
  <c r="V572" i="17"/>
  <c r="U572" i="17"/>
  <c r="T572" i="17"/>
  <c r="S572" i="17"/>
  <c r="R572" i="17"/>
  <c r="Q572" i="17"/>
  <c r="P572" i="17"/>
  <c r="O572" i="17"/>
  <c r="N572" i="17"/>
  <c r="M572" i="17"/>
  <c r="L572" i="17"/>
  <c r="K572" i="17"/>
  <c r="J572" i="17"/>
  <c r="I572" i="17"/>
  <c r="H572" i="17"/>
  <c r="G572" i="17"/>
  <c r="F572" i="17"/>
  <c r="E572" i="17"/>
  <c r="D572" i="17"/>
  <c r="C572" i="17"/>
  <c r="B572" i="17"/>
  <c r="A572" i="17"/>
  <c r="AM571" i="17"/>
  <c r="AL571" i="17"/>
  <c r="AK571" i="17"/>
  <c r="AJ571" i="17"/>
  <c r="AI571" i="17"/>
  <c r="AH571" i="17"/>
  <c r="AG571" i="17"/>
  <c r="AF571" i="17"/>
  <c r="AE571" i="17"/>
  <c r="AD571" i="17"/>
  <c r="AC571" i="17"/>
  <c r="AB571" i="17"/>
  <c r="AA571" i="17"/>
  <c r="Z571" i="17"/>
  <c r="Y571" i="17"/>
  <c r="X571" i="17"/>
  <c r="W571" i="17"/>
  <c r="V571" i="17"/>
  <c r="U571" i="17"/>
  <c r="T571" i="17"/>
  <c r="S571" i="17"/>
  <c r="R571" i="17"/>
  <c r="Q571" i="17"/>
  <c r="P571" i="17"/>
  <c r="O571" i="17"/>
  <c r="N571" i="17"/>
  <c r="M571" i="17"/>
  <c r="L571" i="17"/>
  <c r="K571" i="17"/>
  <c r="J571" i="17"/>
  <c r="I571" i="17"/>
  <c r="H571" i="17"/>
  <c r="G571" i="17"/>
  <c r="F571" i="17"/>
  <c r="E571" i="17"/>
  <c r="D571" i="17"/>
  <c r="C571" i="17"/>
  <c r="B571" i="17"/>
  <c r="A571" i="17"/>
  <c r="AM570" i="17"/>
  <c r="AL570" i="17"/>
  <c r="AK570" i="17"/>
  <c r="AJ570" i="17"/>
  <c r="AI570" i="17"/>
  <c r="AH570" i="17"/>
  <c r="AG570" i="17"/>
  <c r="AF570" i="17"/>
  <c r="AE570" i="17"/>
  <c r="AD570" i="17"/>
  <c r="AC570" i="17"/>
  <c r="AB570" i="17"/>
  <c r="AA570" i="17"/>
  <c r="Z570" i="17"/>
  <c r="Y570" i="17"/>
  <c r="X570" i="17"/>
  <c r="W570" i="17"/>
  <c r="V570" i="17"/>
  <c r="U570" i="17"/>
  <c r="T570" i="17"/>
  <c r="S570" i="17"/>
  <c r="R570" i="17"/>
  <c r="Q570" i="17"/>
  <c r="P570" i="17"/>
  <c r="O570" i="17"/>
  <c r="N570" i="17"/>
  <c r="M570" i="17"/>
  <c r="L570" i="17"/>
  <c r="K570" i="17"/>
  <c r="J570" i="17"/>
  <c r="I570" i="17"/>
  <c r="H570" i="17"/>
  <c r="G570" i="17"/>
  <c r="F570" i="17"/>
  <c r="E570" i="17"/>
  <c r="D570" i="17"/>
  <c r="C570" i="17"/>
  <c r="B570" i="17"/>
  <c r="A570" i="17"/>
  <c r="AM569" i="17"/>
  <c r="AL569" i="17"/>
  <c r="AK569" i="17"/>
  <c r="AJ569" i="17"/>
  <c r="AI569" i="17"/>
  <c r="AH569" i="17"/>
  <c r="AG569" i="17"/>
  <c r="AF569" i="17"/>
  <c r="AE569" i="17"/>
  <c r="AD569" i="17"/>
  <c r="AC569" i="17"/>
  <c r="AB569" i="17"/>
  <c r="AA569" i="17"/>
  <c r="Z569" i="17"/>
  <c r="Y569" i="17"/>
  <c r="X569" i="17"/>
  <c r="W569" i="17"/>
  <c r="V569" i="17"/>
  <c r="U569" i="17"/>
  <c r="T569" i="17"/>
  <c r="S569" i="17"/>
  <c r="R569" i="17"/>
  <c r="Q569" i="17"/>
  <c r="P569" i="17"/>
  <c r="O569" i="17"/>
  <c r="N569" i="17"/>
  <c r="M569" i="17"/>
  <c r="L569" i="17"/>
  <c r="K569" i="17"/>
  <c r="J569" i="17"/>
  <c r="I569" i="17"/>
  <c r="H569" i="17"/>
  <c r="G569" i="17"/>
  <c r="F569" i="17"/>
  <c r="E569" i="17"/>
  <c r="D569" i="17"/>
  <c r="C569" i="17"/>
  <c r="B569" i="17"/>
  <c r="A569" i="17"/>
  <c r="AM568" i="17"/>
  <c r="AL568" i="17"/>
  <c r="AK568" i="17"/>
  <c r="AJ568" i="17"/>
  <c r="AI568" i="17"/>
  <c r="AH568" i="17"/>
  <c r="AG568" i="17"/>
  <c r="AF568" i="17"/>
  <c r="AE568" i="17"/>
  <c r="AD568" i="17"/>
  <c r="AC568" i="17"/>
  <c r="AB568" i="17"/>
  <c r="AA568" i="17"/>
  <c r="Z568" i="17"/>
  <c r="Y568" i="17"/>
  <c r="X568" i="17"/>
  <c r="W568" i="17"/>
  <c r="V568" i="17"/>
  <c r="U568" i="17"/>
  <c r="T568" i="17"/>
  <c r="S568" i="17"/>
  <c r="R568" i="17"/>
  <c r="Q568" i="17"/>
  <c r="P568" i="17"/>
  <c r="O568" i="17"/>
  <c r="N568" i="17"/>
  <c r="M568" i="17"/>
  <c r="L568" i="17"/>
  <c r="K568" i="17"/>
  <c r="J568" i="17"/>
  <c r="I568" i="17"/>
  <c r="H568" i="17"/>
  <c r="G568" i="17"/>
  <c r="F568" i="17"/>
  <c r="E568" i="17"/>
  <c r="D568" i="17"/>
  <c r="C568" i="17"/>
  <c r="B568" i="17"/>
  <c r="A568" i="17"/>
  <c r="AM567" i="17"/>
  <c r="AL567" i="17"/>
  <c r="AK567" i="17"/>
  <c r="AJ567" i="17"/>
  <c r="AI567" i="17"/>
  <c r="AH567" i="17"/>
  <c r="AG567" i="17"/>
  <c r="AF567" i="17"/>
  <c r="AE567" i="17"/>
  <c r="AD567" i="17"/>
  <c r="AC567" i="17"/>
  <c r="AB567" i="17"/>
  <c r="AA567" i="17"/>
  <c r="Z567" i="17"/>
  <c r="Y567" i="17"/>
  <c r="X567" i="17"/>
  <c r="W567" i="17"/>
  <c r="V567" i="17"/>
  <c r="U567" i="17"/>
  <c r="T567" i="17"/>
  <c r="S567" i="17"/>
  <c r="R567" i="17"/>
  <c r="Q567" i="17"/>
  <c r="P567" i="17"/>
  <c r="O567" i="17"/>
  <c r="N567" i="17"/>
  <c r="M567" i="17"/>
  <c r="L567" i="17"/>
  <c r="K567" i="17"/>
  <c r="J567" i="17"/>
  <c r="I567" i="17"/>
  <c r="H567" i="17"/>
  <c r="G567" i="17"/>
  <c r="F567" i="17"/>
  <c r="E567" i="17"/>
  <c r="D567" i="17"/>
  <c r="C567" i="17"/>
  <c r="B567" i="17"/>
  <c r="A567" i="17"/>
  <c r="AM566" i="17"/>
  <c r="AL566" i="17"/>
  <c r="AK566" i="17"/>
  <c r="AJ566" i="17"/>
  <c r="AI566" i="17"/>
  <c r="AH566" i="17"/>
  <c r="AG566" i="17"/>
  <c r="AF566" i="17"/>
  <c r="AE566" i="17"/>
  <c r="AD566" i="17"/>
  <c r="AC566" i="17"/>
  <c r="AB566" i="17"/>
  <c r="AA566" i="17"/>
  <c r="Z566" i="17"/>
  <c r="Y566" i="17"/>
  <c r="X566" i="17"/>
  <c r="W566" i="17"/>
  <c r="V566" i="17"/>
  <c r="U566" i="17"/>
  <c r="T566" i="17"/>
  <c r="S566" i="17"/>
  <c r="R566" i="17"/>
  <c r="Q566" i="17"/>
  <c r="P566" i="17"/>
  <c r="O566" i="17"/>
  <c r="N566" i="17"/>
  <c r="M566" i="17"/>
  <c r="L566" i="17"/>
  <c r="K566" i="17"/>
  <c r="J566" i="17"/>
  <c r="I566" i="17"/>
  <c r="H566" i="17"/>
  <c r="G566" i="17"/>
  <c r="F566" i="17"/>
  <c r="E566" i="17"/>
  <c r="D566" i="17"/>
  <c r="C566" i="17"/>
  <c r="B566" i="17"/>
  <c r="A566" i="17"/>
  <c r="AM565" i="17"/>
  <c r="AL565" i="17"/>
  <c r="AK565" i="17"/>
  <c r="AJ565" i="17"/>
  <c r="AI565" i="17"/>
  <c r="AH565" i="17"/>
  <c r="AG565" i="17"/>
  <c r="AF565" i="17"/>
  <c r="AE565" i="17"/>
  <c r="AD565" i="17"/>
  <c r="AC565" i="17"/>
  <c r="AB565" i="17"/>
  <c r="AA565" i="17"/>
  <c r="Z565" i="17"/>
  <c r="Y565" i="17"/>
  <c r="X565" i="17"/>
  <c r="W565" i="17"/>
  <c r="V565" i="17"/>
  <c r="U565" i="17"/>
  <c r="T565" i="17"/>
  <c r="S565" i="17"/>
  <c r="R565" i="17"/>
  <c r="Q565" i="17"/>
  <c r="P565" i="17"/>
  <c r="O565" i="17"/>
  <c r="N565" i="17"/>
  <c r="M565" i="17"/>
  <c r="L565" i="17"/>
  <c r="K565" i="17"/>
  <c r="J565" i="17"/>
  <c r="I565" i="17"/>
  <c r="H565" i="17"/>
  <c r="G565" i="17"/>
  <c r="F565" i="17"/>
  <c r="E565" i="17"/>
  <c r="D565" i="17"/>
  <c r="C565" i="17"/>
  <c r="B565" i="17"/>
  <c r="A565" i="17"/>
  <c r="AM564" i="17"/>
  <c r="AL564" i="17"/>
  <c r="AK564" i="17"/>
  <c r="AJ564" i="17"/>
  <c r="AI564" i="17"/>
  <c r="AH564" i="17"/>
  <c r="AG564" i="17"/>
  <c r="AF564" i="17"/>
  <c r="AE564" i="17"/>
  <c r="AD564" i="17"/>
  <c r="AC564" i="17"/>
  <c r="AB564" i="17"/>
  <c r="AA564" i="17"/>
  <c r="Z564" i="17"/>
  <c r="Y564" i="17"/>
  <c r="X564" i="17"/>
  <c r="W564" i="17"/>
  <c r="V564" i="17"/>
  <c r="U564" i="17"/>
  <c r="T564" i="17"/>
  <c r="S564" i="17"/>
  <c r="R564" i="17"/>
  <c r="Q564" i="17"/>
  <c r="P564" i="17"/>
  <c r="O564" i="17"/>
  <c r="N564" i="17"/>
  <c r="M564" i="17"/>
  <c r="L564" i="17"/>
  <c r="K564" i="17"/>
  <c r="J564" i="17"/>
  <c r="I564" i="17"/>
  <c r="H564" i="17"/>
  <c r="G564" i="17"/>
  <c r="F564" i="17"/>
  <c r="E564" i="17"/>
  <c r="D564" i="17"/>
  <c r="C564" i="17"/>
  <c r="B564" i="17"/>
  <c r="A564" i="17"/>
  <c r="AM563" i="17"/>
  <c r="AL563" i="17"/>
  <c r="AK563" i="17"/>
  <c r="AJ563" i="17"/>
  <c r="AI563" i="17"/>
  <c r="AH563" i="17"/>
  <c r="AG563" i="17"/>
  <c r="AF563" i="17"/>
  <c r="AE563" i="17"/>
  <c r="AD563" i="17"/>
  <c r="AC563" i="17"/>
  <c r="AB563" i="17"/>
  <c r="AA563" i="17"/>
  <c r="Z563" i="17"/>
  <c r="Y563" i="17"/>
  <c r="X563" i="17"/>
  <c r="W563" i="17"/>
  <c r="V563" i="17"/>
  <c r="U563" i="17"/>
  <c r="T563" i="17"/>
  <c r="S563" i="17"/>
  <c r="R563" i="17"/>
  <c r="Q563" i="17"/>
  <c r="P563" i="17"/>
  <c r="O563" i="17"/>
  <c r="N563" i="17"/>
  <c r="M563" i="17"/>
  <c r="L563" i="17"/>
  <c r="K563" i="17"/>
  <c r="J563" i="17"/>
  <c r="I563" i="17"/>
  <c r="H563" i="17"/>
  <c r="G563" i="17"/>
  <c r="F563" i="17"/>
  <c r="E563" i="17"/>
  <c r="D563" i="17"/>
  <c r="C563" i="17"/>
  <c r="B563" i="17"/>
  <c r="A563" i="17"/>
  <c r="AM562" i="17"/>
  <c r="AL562" i="17"/>
  <c r="AK562" i="17"/>
  <c r="AJ562" i="17"/>
  <c r="AI562" i="17"/>
  <c r="AH562" i="17"/>
  <c r="AG562" i="17"/>
  <c r="AF562" i="17"/>
  <c r="AE562" i="17"/>
  <c r="AD562" i="17"/>
  <c r="AC562" i="17"/>
  <c r="AB562" i="17"/>
  <c r="AA562" i="17"/>
  <c r="Z562" i="17"/>
  <c r="Y562" i="17"/>
  <c r="X562" i="17"/>
  <c r="W562" i="17"/>
  <c r="V562" i="17"/>
  <c r="U562" i="17"/>
  <c r="T562" i="17"/>
  <c r="S562" i="17"/>
  <c r="R562" i="17"/>
  <c r="Q562" i="17"/>
  <c r="P562" i="17"/>
  <c r="O562" i="17"/>
  <c r="N562" i="17"/>
  <c r="M562" i="17"/>
  <c r="L562" i="17"/>
  <c r="K562" i="17"/>
  <c r="J562" i="17"/>
  <c r="I562" i="17"/>
  <c r="H562" i="17"/>
  <c r="G562" i="17"/>
  <c r="F562" i="17"/>
  <c r="E562" i="17"/>
  <c r="D562" i="17"/>
  <c r="C562" i="17"/>
  <c r="B562" i="17"/>
  <c r="A562" i="17"/>
  <c r="AM561" i="17"/>
  <c r="AL561" i="17"/>
  <c r="AK561" i="17"/>
  <c r="AJ561" i="17"/>
  <c r="AI561" i="17"/>
  <c r="AH561" i="17"/>
  <c r="AG561" i="17"/>
  <c r="AF561" i="17"/>
  <c r="AE561" i="17"/>
  <c r="AD561" i="17"/>
  <c r="AC561" i="17"/>
  <c r="AB561" i="17"/>
  <c r="AA561" i="17"/>
  <c r="Z561" i="17"/>
  <c r="Y561" i="17"/>
  <c r="X561" i="17"/>
  <c r="W561" i="17"/>
  <c r="V561" i="17"/>
  <c r="U561" i="17"/>
  <c r="T561" i="17"/>
  <c r="S561" i="17"/>
  <c r="R561" i="17"/>
  <c r="Q561" i="17"/>
  <c r="P561" i="17"/>
  <c r="O561" i="17"/>
  <c r="N561" i="17"/>
  <c r="M561" i="17"/>
  <c r="L561" i="17"/>
  <c r="K561" i="17"/>
  <c r="J561" i="17"/>
  <c r="I561" i="17"/>
  <c r="H561" i="17"/>
  <c r="G561" i="17"/>
  <c r="F561" i="17"/>
  <c r="E561" i="17"/>
  <c r="D561" i="17"/>
  <c r="C561" i="17"/>
  <c r="B561" i="17"/>
  <c r="A561" i="17"/>
  <c r="AM560" i="17"/>
  <c r="AL560" i="17"/>
  <c r="AK560" i="17"/>
  <c r="AJ560" i="17"/>
  <c r="AI560" i="17"/>
  <c r="AH560" i="17"/>
  <c r="AG560" i="17"/>
  <c r="AF560" i="17"/>
  <c r="AE560" i="17"/>
  <c r="AD560" i="17"/>
  <c r="AC560" i="17"/>
  <c r="AB560" i="17"/>
  <c r="AA560" i="17"/>
  <c r="Z560" i="17"/>
  <c r="Y560" i="17"/>
  <c r="X560" i="17"/>
  <c r="W560" i="17"/>
  <c r="V560" i="17"/>
  <c r="U560" i="17"/>
  <c r="T560" i="17"/>
  <c r="S560" i="17"/>
  <c r="R560" i="17"/>
  <c r="Q560" i="17"/>
  <c r="P560" i="17"/>
  <c r="O560" i="17"/>
  <c r="N560" i="17"/>
  <c r="M560" i="17"/>
  <c r="L560" i="17"/>
  <c r="K560" i="17"/>
  <c r="J560" i="17"/>
  <c r="I560" i="17"/>
  <c r="H560" i="17"/>
  <c r="G560" i="17"/>
  <c r="F560" i="17"/>
  <c r="E560" i="17"/>
  <c r="D560" i="17"/>
  <c r="C560" i="17"/>
  <c r="B560" i="17"/>
  <c r="A560" i="17"/>
  <c r="AM559" i="17"/>
  <c r="AL559" i="17"/>
  <c r="AK559" i="17"/>
  <c r="AJ559" i="17"/>
  <c r="AI559" i="17"/>
  <c r="AH559" i="17"/>
  <c r="AG559" i="17"/>
  <c r="AF559" i="17"/>
  <c r="AE559" i="17"/>
  <c r="AD559" i="17"/>
  <c r="AC559" i="17"/>
  <c r="AB559" i="17"/>
  <c r="AA559" i="17"/>
  <c r="Z559" i="17"/>
  <c r="Y559" i="17"/>
  <c r="X559" i="17"/>
  <c r="W559" i="17"/>
  <c r="V559" i="17"/>
  <c r="U559" i="17"/>
  <c r="T559" i="17"/>
  <c r="S559" i="17"/>
  <c r="R559" i="17"/>
  <c r="Q559" i="17"/>
  <c r="P559" i="17"/>
  <c r="O559" i="17"/>
  <c r="N559" i="17"/>
  <c r="M559" i="17"/>
  <c r="L559" i="17"/>
  <c r="K559" i="17"/>
  <c r="J559" i="17"/>
  <c r="I559" i="17"/>
  <c r="H559" i="17"/>
  <c r="G559" i="17"/>
  <c r="F559" i="17"/>
  <c r="E559" i="17"/>
  <c r="D559" i="17"/>
  <c r="C559" i="17"/>
  <c r="B559" i="17"/>
  <c r="A559" i="17"/>
  <c r="AM558" i="17"/>
  <c r="AL558" i="17"/>
  <c r="AK558" i="17"/>
  <c r="AJ558" i="17"/>
  <c r="AI558" i="17"/>
  <c r="AH558" i="17"/>
  <c r="AG558" i="17"/>
  <c r="AF558" i="17"/>
  <c r="AE558" i="17"/>
  <c r="AD558" i="17"/>
  <c r="AC558" i="17"/>
  <c r="AB558" i="17"/>
  <c r="AA558" i="17"/>
  <c r="Z558" i="17"/>
  <c r="Y558" i="17"/>
  <c r="X558" i="17"/>
  <c r="W558" i="17"/>
  <c r="V558" i="17"/>
  <c r="U558" i="17"/>
  <c r="T558" i="17"/>
  <c r="S558" i="17"/>
  <c r="R558" i="17"/>
  <c r="Q558" i="17"/>
  <c r="P558" i="17"/>
  <c r="O558" i="17"/>
  <c r="N558" i="17"/>
  <c r="M558" i="17"/>
  <c r="L558" i="17"/>
  <c r="K558" i="17"/>
  <c r="J558" i="17"/>
  <c r="I558" i="17"/>
  <c r="H558" i="17"/>
  <c r="G558" i="17"/>
  <c r="F558" i="17"/>
  <c r="E558" i="17"/>
  <c r="D558" i="17"/>
  <c r="C558" i="17"/>
  <c r="B558" i="17"/>
  <c r="A558" i="17"/>
  <c r="AM556" i="17"/>
  <c r="AL556" i="17"/>
  <c r="AK556" i="17"/>
  <c r="AJ556" i="17"/>
  <c r="AI556" i="17"/>
  <c r="AH556" i="17"/>
  <c r="AG556" i="17"/>
  <c r="AF556" i="17"/>
  <c r="AE556" i="17"/>
  <c r="AD556" i="17"/>
  <c r="AC556" i="17"/>
  <c r="AB556" i="17"/>
  <c r="AA556" i="17"/>
  <c r="Z556" i="17"/>
  <c r="Y556" i="17"/>
  <c r="X556" i="17"/>
  <c r="W556" i="17"/>
  <c r="V556" i="17"/>
  <c r="U556" i="17"/>
  <c r="T556" i="17"/>
  <c r="S556" i="17"/>
  <c r="R556" i="17"/>
  <c r="Q556" i="17"/>
  <c r="P556" i="17"/>
  <c r="O556" i="17"/>
  <c r="N556" i="17"/>
  <c r="M556" i="17"/>
  <c r="L556" i="17"/>
  <c r="K556" i="17"/>
  <c r="J556" i="17"/>
  <c r="I556" i="17"/>
  <c r="H556" i="17"/>
  <c r="G556" i="17"/>
  <c r="F556" i="17"/>
  <c r="E556" i="17"/>
  <c r="D556" i="17"/>
  <c r="C556" i="17"/>
  <c r="B556" i="17"/>
  <c r="A556" i="17"/>
  <c r="AM555" i="17"/>
  <c r="AL555" i="17"/>
  <c r="AK555" i="17"/>
  <c r="AJ555" i="17"/>
  <c r="AI555" i="17"/>
  <c r="AH555" i="17"/>
  <c r="AG555" i="17"/>
  <c r="AF555" i="17"/>
  <c r="AE555" i="17"/>
  <c r="AD555" i="17"/>
  <c r="AC555" i="17"/>
  <c r="AB555" i="17"/>
  <c r="AA555" i="17"/>
  <c r="Z555" i="17"/>
  <c r="Y555" i="17"/>
  <c r="X555" i="17"/>
  <c r="W555" i="17"/>
  <c r="V555" i="17"/>
  <c r="U555" i="17"/>
  <c r="T555" i="17"/>
  <c r="S555" i="17"/>
  <c r="R555" i="17"/>
  <c r="Q555" i="17"/>
  <c r="P555" i="17"/>
  <c r="O555" i="17"/>
  <c r="N555" i="17"/>
  <c r="M555" i="17"/>
  <c r="L555" i="17"/>
  <c r="K555" i="17"/>
  <c r="J555" i="17"/>
  <c r="I555" i="17"/>
  <c r="H555" i="17"/>
  <c r="G555" i="17"/>
  <c r="F555" i="17"/>
  <c r="E555" i="17"/>
  <c r="D555" i="17"/>
  <c r="C555" i="17"/>
  <c r="B555" i="17"/>
  <c r="A555" i="17"/>
  <c r="AM554" i="17"/>
  <c r="AL554" i="17"/>
  <c r="AK554" i="17"/>
  <c r="AJ554" i="17"/>
  <c r="AI554" i="17"/>
  <c r="AH554" i="17"/>
  <c r="AG554" i="17"/>
  <c r="AF554" i="17"/>
  <c r="AE554" i="17"/>
  <c r="AD554" i="17"/>
  <c r="AC554" i="17"/>
  <c r="AB554" i="17"/>
  <c r="AA554" i="17"/>
  <c r="Z554" i="17"/>
  <c r="Y554" i="17"/>
  <c r="X554" i="17"/>
  <c r="W554" i="17"/>
  <c r="V554" i="17"/>
  <c r="U554" i="17"/>
  <c r="T554" i="17"/>
  <c r="S554" i="17"/>
  <c r="R554" i="17"/>
  <c r="Q554" i="17"/>
  <c r="P554" i="17"/>
  <c r="O554" i="17"/>
  <c r="N554" i="17"/>
  <c r="M554" i="17"/>
  <c r="L554" i="17"/>
  <c r="K554" i="17"/>
  <c r="J554" i="17"/>
  <c r="I554" i="17"/>
  <c r="H554" i="17"/>
  <c r="G554" i="17"/>
  <c r="F554" i="17"/>
  <c r="E554" i="17"/>
  <c r="D554" i="17"/>
  <c r="C554" i="17"/>
  <c r="B554" i="17"/>
  <c r="A554" i="17"/>
  <c r="AM553" i="17"/>
  <c r="AL553" i="17"/>
  <c r="AK553" i="17"/>
  <c r="AJ553" i="17"/>
  <c r="AI553" i="17"/>
  <c r="AH553" i="17"/>
  <c r="AG553" i="17"/>
  <c r="AF553" i="17"/>
  <c r="AE553" i="17"/>
  <c r="AD553" i="17"/>
  <c r="AC553" i="17"/>
  <c r="AB553" i="17"/>
  <c r="AA553" i="17"/>
  <c r="Z553" i="17"/>
  <c r="Y553" i="17"/>
  <c r="X553" i="17"/>
  <c r="W553" i="17"/>
  <c r="V553" i="17"/>
  <c r="U553" i="17"/>
  <c r="T553" i="17"/>
  <c r="S553" i="17"/>
  <c r="R553" i="17"/>
  <c r="Q553" i="17"/>
  <c r="P553" i="17"/>
  <c r="O553" i="17"/>
  <c r="N553" i="17"/>
  <c r="M553" i="17"/>
  <c r="L553" i="17"/>
  <c r="K553" i="17"/>
  <c r="J553" i="17"/>
  <c r="I553" i="17"/>
  <c r="H553" i="17"/>
  <c r="G553" i="17"/>
  <c r="F553" i="17"/>
  <c r="E553" i="17"/>
  <c r="D553" i="17"/>
  <c r="C553" i="17"/>
  <c r="B553" i="17"/>
  <c r="A553" i="17"/>
  <c r="AM552" i="17"/>
  <c r="AL552" i="17"/>
  <c r="AK552" i="17"/>
  <c r="AJ552" i="17"/>
  <c r="AI552" i="17"/>
  <c r="AH552" i="17"/>
  <c r="AG552" i="17"/>
  <c r="AF552" i="17"/>
  <c r="AE552" i="17"/>
  <c r="AD552" i="17"/>
  <c r="AC552" i="17"/>
  <c r="AB552" i="17"/>
  <c r="AA552" i="17"/>
  <c r="Z552" i="17"/>
  <c r="Y552" i="17"/>
  <c r="X552" i="17"/>
  <c r="W552" i="17"/>
  <c r="V552" i="17"/>
  <c r="U552" i="17"/>
  <c r="T552" i="17"/>
  <c r="S552" i="17"/>
  <c r="R552" i="17"/>
  <c r="Q552" i="17"/>
  <c r="P552" i="17"/>
  <c r="O552" i="17"/>
  <c r="N552" i="17"/>
  <c r="M552" i="17"/>
  <c r="L552" i="17"/>
  <c r="K552" i="17"/>
  <c r="J552" i="17"/>
  <c r="I552" i="17"/>
  <c r="H552" i="17"/>
  <c r="G552" i="17"/>
  <c r="F552" i="17"/>
  <c r="E552" i="17"/>
  <c r="D552" i="17"/>
  <c r="C552" i="17"/>
  <c r="B552" i="17"/>
  <c r="A552" i="17"/>
  <c r="AM551" i="17"/>
  <c r="AL551" i="17"/>
  <c r="AK551" i="17"/>
  <c r="AJ551" i="17"/>
  <c r="AI551" i="17"/>
  <c r="AH551" i="17"/>
  <c r="AG551" i="17"/>
  <c r="AF551" i="17"/>
  <c r="AE551" i="17"/>
  <c r="AD551" i="17"/>
  <c r="AC551" i="17"/>
  <c r="AB551" i="17"/>
  <c r="AA551" i="17"/>
  <c r="Z551" i="17"/>
  <c r="Y551" i="17"/>
  <c r="X551" i="17"/>
  <c r="W551" i="17"/>
  <c r="V551" i="17"/>
  <c r="U551" i="17"/>
  <c r="T551" i="17"/>
  <c r="S551" i="17"/>
  <c r="R551" i="17"/>
  <c r="Q551" i="17"/>
  <c r="P551" i="17"/>
  <c r="O551" i="17"/>
  <c r="N551" i="17"/>
  <c r="M551" i="17"/>
  <c r="L551" i="17"/>
  <c r="K551" i="17"/>
  <c r="J551" i="17"/>
  <c r="I551" i="17"/>
  <c r="H551" i="17"/>
  <c r="G551" i="17"/>
  <c r="F551" i="17"/>
  <c r="E551" i="17"/>
  <c r="D551" i="17"/>
  <c r="C551" i="17"/>
  <c r="B551" i="17"/>
  <c r="A551" i="17"/>
  <c r="AM550" i="17"/>
  <c r="AL550" i="17"/>
  <c r="AK550" i="17"/>
  <c r="AJ550" i="17"/>
  <c r="AI550" i="17"/>
  <c r="AH550" i="17"/>
  <c r="AG550" i="17"/>
  <c r="AF550" i="17"/>
  <c r="AE550" i="17"/>
  <c r="AD550" i="17"/>
  <c r="AC550" i="17"/>
  <c r="AB550" i="17"/>
  <c r="AA550" i="17"/>
  <c r="Z550" i="17"/>
  <c r="Y550" i="17"/>
  <c r="X550" i="17"/>
  <c r="W550" i="17"/>
  <c r="V550" i="17"/>
  <c r="U550" i="17"/>
  <c r="T550" i="17"/>
  <c r="S550" i="17"/>
  <c r="R550" i="17"/>
  <c r="Q550" i="17"/>
  <c r="P550" i="17"/>
  <c r="O550" i="17"/>
  <c r="N550" i="17"/>
  <c r="M550" i="17"/>
  <c r="L550" i="17"/>
  <c r="K550" i="17"/>
  <c r="J550" i="17"/>
  <c r="I550" i="17"/>
  <c r="H550" i="17"/>
  <c r="G550" i="17"/>
  <c r="F550" i="17"/>
  <c r="E550" i="17"/>
  <c r="D550" i="17"/>
  <c r="C550" i="17"/>
  <c r="B550" i="17"/>
  <c r="A550" i="17"/>
  <c r="AM549" i="17"/>
  <c r="AL549" i="17"/>
  <c r="AK549" i="17"/>
  <c r="AJ549" i="17"/>
  <c r="AI549" i="17"/>
  <c r="AH549" i="17"/>
  <c r="AG549" i="17"/>
  <c r="AF549" i="17"/>
  <c r="AE549" i="17"/>
  <c r="AD549" i="17"/>
  <c r="AC549" i="17"/>
  <c r="AB549" i="17"/>
  <c r="AA549" i="17"/>
  <c r="Z549" i="17"/>
  <c r="Y549" i="17"/>
  <c r="X549" i="17"/>
  <c r="W549" i="17"/>
  <c r="V549" i="17"/>
  <c r="U549" i="17"/>
  <c r="T549" i="17"/>
  <c r="S549" i="17"/>
  <c r="R549" i="17"/>
  <c r="Q549" i="17"/>
  <c r="P549" i="17"/>
  <c r="O549" i="17"/>
  <c r="N549" i="17"/>
  <c r="M549" i="17"/>
  <c r="L549" i="17"/>
  <c r="K549" i="17"/>
  <c r="J549" i="17"/>
  <c r="I549" i="17"/>
  <c r="H549" i="17"/>
  <c r="G549" i="17"/>
  <c r="F549" i="17"/>
  <c r="E549" i="17"/>
  <c r="D549" i="17"/>
  <c r="C549" i="17"/>
  <c r="B549" i="17"/>
  <c r="A549" i="17"/>
  <c r="AM548" i="17"/>
  <c r="AL548" i="17"/>
  <c r="AK548" i="17"/>
  <c r="AJ548" i="17"/>
  <c r="AI548" i="17"/>
  <c r="AH548" i="17"/>
  <c r="AG548" i="17"/>
  <c r="AF548" i="17"/>
  <c r="AE548" i="17"/>
  <c r="AD548" i="17"/>
  <c r="AC548" i="17"/>
  <c r="AB548" i="17"/>
  <c r="AA548" i="17"/>
  <c r="Z548" i="17"/>
  <c r="Y548" i="17"/>
  <c r="X548" i="17"/>
  <c r="W548" i="17"/>
  <c r="V548" i="17"/>
  <c r="U548" i="17"/>
  <c r="T548" i="17"/>
  <c r="S548" i="17"/>
  <c r="R548" i="17"/>
  <c r="Q548" i="17"/>
  <c r="P548" i="17"/>
  <c r="O548" i="17"/>
  <c r="N548" i="17"/>
  <c r="M548" i="17"/>
  <c r="L548" i="17"/>
  <c r="K548" i="17"/>
  <c r="J548" i="17"/>
  <c r="I548" i="17"/>
  <c r="H548" i="17"/>
  <c r="G548" i="17"/>
  <c r="F548" i="17"/>
  <c r="E548" i="17"/>
  <c r="D548" i="17"/>
  <c r="C548" i="17"/>
  <c r="B548" i="17"/>
  <c r="A548" i="17"/>
  <c r="AM547" i="17"/>
  <c r="AL547" i="17"/>
  <c r="AK547" i="17"/>
  <c r="AJ547" i="17"/>
  <c r="AI547" i="17"/>
  <c r="AH547" i="17"/>
  <c r="AG547" i="17"/>
  <c r="AF547" i="17"/>
  <c r="AE547" i="17"/>
  <c r="AD547" i="17"/>
  <c r="AC547" i="17"/>
  <c r="AB547" i="17"/>
  <c r="AA547" i="17"/>
  <c r="Z547" i="17"/>
  <c r="Y547" i="17"/>
  <c r="X547" i="17"/>
  <c r="W547" i="17"/>
  <c r="V547" i="17"/>
  <c r="U547" i="17"/>
  <c r="T547" i="17"/>
  <c r="S547" i="17"/>
  <c r="R547" i="17"/>
  <c r="Q547" i="17"/>
  <c r="P547" i="17"/>
  <c r="O547" i="17"/>
  <c r="N547" i="17"/>
  <c r="M547" i="17"/>
  <c r="L547" i="17"/>
  <c r="K547" i="17"/>
  <c r="J547" i="17"/>
  <c r="I547" i="17"/>
  <c r="H547" i="17"/>
  <c r="G547" i="17"/>
  <c r="F547" i="17"/>
  <c r="E547" i="17"/>
  <c r="D547" i="17"/>
  <c r="C547" i="17"/>
  <c r="B547" i="17"/>
  <c r="A547" i="17"/>
  <c r="AM546" i="17"/>
  <c r="AL546" i="17"/>
  <c r="AK546" i="17"/>
  <c r="AJ546" i="17"/>
  <c r="AI546" i="17"/>
  <c r="AH546" i="17"/>
  <c r="AG546" i="17"/>
  <c r="AF546" i="17"/>
  <c r="AE546" i="17"/>
  <c r="AD546" i="17"/>
  <c r="AC546" i="17"/>
  <c r="AB546" i="17"/>
  <c r="AA546" i="17"/>
  <c r="Z546" i="17"/>
  <c r="Y546" i="17"/>
  <c r="X546" i="17"/>
  <c r="W546" i="17"/>
  <c r="V546" i="17"/>
  <c r="U546" i="17"/>
  <c r="T546" i="17"/>
  <c r="S546" i="17"/>
  <c r="R546" i="17"/>
  <c r="Q546" i="17"/>
  <c r="P546" i="17"/>
  <c r="O546" i="17"/>
  <c r="N546" i="17"/>
  <c r="M546" i="17"/>
  <c r="L546" i="17"/>
  <c r="K546" i="17"/>
  <c r="J546" i="17"/>
  <c r="I546" i="17"/>
  <c r="H546" i="17"/>
  <c r="G546" i="17"/>
  <c r="F546" i="17"/>
  <c r="E546" i="17"/>
  <c r="D546" i="17"/>
  <c r="C546" i="17"/>
  <c r="B546" i="17"/>
  <c r="A546" i="17"/>
  <c r="AM545" i="17"/>
  <c r="AL545" i="17"/>
  <c r="AK545" i="17"/>
  <c r="AJ545" i="17"/>
  <c r="AI545" i="17"/>
  <c r="AH545" i="17"/>
  <c r="AG545" i="17"/>
  <c r="AF545" i="17"/>
  <c r="AE545" i="17"/>
  <c r="AD545" i="17"/>
  <c r="AC545" i="17"/>
  <c r="AB545" i="17"/>
  <c r="AA545" i="17"/>
  <c r="Z545" i="17"/>
  <c r="Y545" i="17"/>
  <c r="X545" i="17"/>
  <c r="W545" i="17"/>
  <c r="V545" i="17"/>
  <c r="U545" i="17"/>
  <c r="T545" i="17"/>
  <c r="S545" i="17"/>
  <c r="R545" i="17"/>
  <c r="Q545" i="17"/>
  <c r="P545" i="17"/>
  <c r="O545" i="17"/>
  <c r="N545" i="17"/>
  <c r="M545" i="17"/>
  <c r="L545" i="17"/>
  <c r="K545" i="17"/>
  <c r="J545" i="17"/>
  <c r="I545" i="17"/>
  <c r="H545" i="17"/>
  <c r="G545" i="17"/>
  <c r="F545" i="17"/>
  <c r="E545" i="17"/>
  <c r="D545" i="17"/>
  <c r="C545" i="17"/>
  <c r="B545" i="17"/>
  <c r="A545" i="17"/>
  <c r="AM544" i="17"/>
  <c r="AL544" i="17"/>
  <c r="AK544" i="17"/>
  <c r="AJ544" i="17"/>
  <c r="AI544" i="17"/>
  <c r="AH544" i="17"/>
  <c r="AG544" i="17"/>
  <c r="AF544" i="17"/>
  <c r="AE544" i="17"/>
  <c r="AD544" i="17"/>
  <c r="AC544" i="17"/>
  <c r="AB544" i="17"/>
  <c r="AA544" i="17"/>
  <c r="Z544" i="17"/>
  <c r="Y544" i="17"/>
  <c r="X544" i="17"/>
  <c r="W544" i="17"/>
  <c r="V544" i="17"/>
  <c r="U544" i="17"/>
  <c r="T544" i="17"/>
  <c r="S544" i="17"/>
  <c r="R544" i="17"/>
  <c r="Q544" i="17"/>
  <c r="P544" i="17"/>
  <c r="O544" i="17"/>
  <c r="N544" i="17"/>
  <c r="M544" i="17"/>
  <c r="L544" i="17"/>
  <c r="K544" i="17"/>
  <c r="J544" i="17"/>
  <c r="I544" i="17"/>
  <c r="H544" i="17"/>
  <c r="G544" i="17"/>
  <c r="F544" i="17"/>
  <c r="E544" i="17"/>
  <c r="D544" i="17"/>
  <c r="C544" i="17"/>
  <c r="B544" i="17"/>
  <c r="A544" i="17"/>
  <c r="AM543" i="17"/>
  <c r="AL543" i="17"/>
  <c r="AK543" i="17"/>
  <c r="AJ543" i="17"/>
  <c r="AI543" i="17"/>
  <c r="AH543" i="17"/>
  <c r="AG543" i="17"/>
  <c r="AF543" i="17"/>
  <c r="AE543" i="17"/>
  <c r="AD543" i="17"/>
  <c r="AC543" i="17"/>
  <c r="AB543" i="17"/>
  <c r="AA543" i="17"/>
  <c r="Z543" i="17"/>
  <c r="Y543" i="17"/>
  <c r="X543" i="17"/>
  <c r="W543" i="17"/>
  <c r="V543" i="17"/>
  <c r="U543" i="17"/>
  <c r="T543" i="17"/>
  <c r="S543" i="17"/>
  <c r="R543" i="17"/>
  <c r="Q543" i="17"/>
  <c r="P543" i="17"/>
  <c r="O543" i="17"/>
  <c r="N543" i="17"/>
  <c r="M543" i="17"/>
  <c r="L543" i="17"/>
  <c r="K543" i="17"/>
  <c r="J543" i="17"/>
  <c r="I543" i="17"/>
  <c r="H543" i="17"/>
  <c r="G543" i="17"/>
  <c r="F543" i="17"/>
  <c r="E543" i="17"/>
  <c r="D543" i="17"/>
  <c r="C543" i="17"/>
  <c r="B543" i="17"/>
  <c r="A543" i="17"/>
  <c r="AM542" i="17"/>
  <c r="AL542" i="17"/>
  <c r="AK542" i="17"/>
  <c r="AJ542" i="17"/>
  <c r="AI542" i="17"/>
  <c r="AH542" i="17"/>
  <c r="AG542" i="17"/>
  <c r="AF542" i="17"/>
  <c r="AE542" i="17"/>
  <c r="AD542" i="17"/>
  <c r="AC542" i="17"/>
  <c r="AB542" i="17"/>
  <c r="AA542" i="17"/>
  <c r="Z542" i="17"/>
  <c r="Y542" i="17"/>
  <c r="X542" i="17"/>
  <c r="W542" i="17"/>
  <c r="V542" i="17"/>
  <c r="U542" i="17"/>
  <c r="T542" i="17"/>
  <c r="S542" i="17"/>
  <c r="R542" i="17"/>
  <c r="Q542" i="17"/>
  <c r="P542" i="17"/>
  <c r="O542" i="17"/>
  <c r="N542" i="17"/>
  <c r="M542" i="17"/>
  <c r="L542" i="17"/>
  <c r="K542" i="17"/>
  <c r="J542" i="17"/>
  <c r="I542" i="17"/>
  <c r="H542" i="17"/>
  <c r="G542" i="17"/>
  <c r="F542" i="17"/>
  <c r="E542" i="17"/>
  <c r="D542" i="17"/>
  <c r="C542" i="17"/>
  <c r="B542" i="17"/>
  <c r="A542" i="17"/>
  <c r="AM541" i="17"/>
  <c r="AL541" i="17"/>
  <c r="AK541" i="17"/>
  <c r="AJ541" i="17"/>
  <c r="AI541" i="17"/>
  <c r="AH541" i="17"/>
  <c r="AG541" i="17"/>
  <c r="AF541" i="17"/>
  <c r="AE541" i="17"/>
  <c r="AD541" i="17"/>
  <c r="AC541" i="17"/>
  <c r="AB541" i="17"/>
  <c r="AA541" i="17"/>
  <c r="Z541" i="17"/>
  <c r="Y541" i="17"/>
  <c r="X541" i="17"/>
  <c r="W541" i="17"/>
  <c r="V541" i="17"/>
  <c r="U541" i="17"/>
  <c r="T541" i="17"/>
  <c r="S541" i="17"/>
  <c r="R541" i="17"/>
  <c r="Q541" i="17"/>
  <c r="P541" i="17"/>
  <c r="O541" i="17"/>
  <c r="N541" i="17"/>
  <c r="M541" i="17"/>
  <c r="L541" i="17"/>
  <c r="K541" i="17"/>
  <c r="J541" i="17"/>
  <c r="I541" i="17"/>
  <c r="H541" i="17"/>
  <c r="G541" i="17"/>
  <c r="F541" i="17"/>
  <c r="E541" i="17"/>
  <c r="D541" i="17"/>
  <c r="C541" i="17"/>
  <c r="B541" i="17"/>
  <c r="A541" i="17"/>
  <c r="AM540" i="17"/>
  <c r="AL540" i="17"/>
  <c r="AK540" i="17"/>
  <c r="AJ540" i="17"/>
  <c r="AI540" i="17"/>
  <c r="AH540" i="17"/>
  <c r="AG540" i="17"/>
  <c r="AF540" i="17"/>
  <c r="AE540" i="17"/>
  <c r="AD540" i="17"/>
  <c r="AC540" i="17"/>
  <c r="AB540" i="17"/>
  <c r="AA540" i="17"/>
  <c r="Z540" i="17"/>
  <c r="Y540" i="17"/>
  <c r="X540" i="17"/>
  <c r="W540" i="17"/>
  <c r="V540" i="17"/>
  <c r="U540" i="17"/>
  <c r="T540" i="17"/>
  <c r="S540" i="17"/>
  <c r="R540" i="17"/>
  <c r="Q540" i="17"/>
  <c r="P540" i="17"/>
  <c r="O540" i="17"/>
  <c r="N540" i="17"/>
  <c r="M540" i="17"/>
  <c r="L540" i="17"/>
  <c r="K540" i="17"/>
  <c r="J540" i="17"/>
  <c r="I540" i="17"/>
  <c r="H540" i="17"/>
  <c r="G540" i="17"/>
  <c r="F540" i="17"/>
  <c r="E540" i="17"/>
  <c r="D540" i="17"/>
  <c r="C540" i="17"/>
  <c r="B540" i="17"/>
  <c r="A540" i="17"/>
  <c r="AM539" i="17"/>
  <c r="AL539" i="17"/>
  <c r="AK539" i="17"/>
  <c r="AJ539" i="17"/>
  <c r="AI539" i="17"/>
  <c r="AH539" i="17"/>
  <c r="AG539" i="17"/>
  <c r="AF539" i="17"/>
  <c r="AE539" i="17"/>
  <c r="AD539" i="17"/>
  <c r="AC539" i="17"/>
  <c r="AB539" i="17"/>
  <c r="AA539" i="17"/>
  <c r="Z539" i="17"/>
  <c r="Y539" i="17"/>
  <c r="X539" i="17"/>
  <c r="W539" i="17"/>
  <c r="V539" i="17"/>
  <c r="U539" i="17"/>
  <c r="T539" i="17"/>
  <c r="S539" i="17"/>
  <c r="R539" i="17"/>
  <c r="Q539" i="17"/>
  <c r="P539" i="17"/>
  <c r="O539" i="17"/>
  <c r="N539" i="17"/>
  <c r="M539" i="17"/>
  <c r="L539" i="17"/>
  <c r="K539" i="17"/>
  <c r="J539" i="17"/>
  <c r="I539" i="17"/>
  <c r="H539" i="17"/>
  <c r="G539" i="17"/>
  <c r="F539" i="17"/>
  <c r="E539" i="17"/>
  <c r="D539" i="17"/>
  <c r="C539" i="17"/>
  <c r="B539" i="17"/>
  <c r="A539" i="17"/>
  <c r="AM538" i="17"/>
  <c r="AL538" i="17"/>
  <c r="AK538" i="17"/>
  <c r="AJ538" i="17"/>
  <c r="AI538" i="17"/>
  <c r="AH538" i="17"/>
  <c r="AG538" i="17"/>
  <c r="AF538" i="17"/>
  <c r="AE538" i="17"/>
  <c r="AD538" i="17"/>
  <c r="AC538" i="17"/>
  <c r="AB538" i="17"/>
  <c r="AA538" i="17"/>
  <c r="Z538" i="17"/>
  <c r="Y538" i="17"/>
  <c r="X538" i="17"/>
  <c r="W538" i="17"/>
  <c r="V538" i="17"/>
  <c r="U538" i="17"/>
  <c r="T538" i="17"/>
  <c r="S538" i="17"/>
  <c r="R538" i="17"/>
  <c r="Q538" i="17"/>
  <c r="P538" i="17"/>
  <c r="O538" i="17"/>
  <c r="N538" i="17"/>
  <c r="M538" i="17"/>
  <c r="L538" i="17"/>
  <c r="K538" i="17"/>
  <c r="J538" i="17"/>
  <c r="I538" i="17"/>
  <c r="H538" i="17"/>
  <c r="G538" i="17"/>
  <c r="F538" i="17"/>
  <c r="E538" i="17"/>
  <c r="D538" i="17"/>
  <c r="C538" i="17"/>
  <c r="B538" i="17"/>
  <c r="A538" i="17"/>
  <c r="AM537" i="17"/>
  <c r="AL537" i="17"/>
  <c r="AK537" i="17"/>
  <c r="AJ537" i="17"/>
  <c r="AI537" i="17"/>
  <c r="AH537" i="17"/>
  <c r="AG537" i="17"/>
  <c r="AF537" i="17"/>
  <c r="AE537" i="17"/>
  <c r="AD537" i="17"/>
  <c r="AC537" i="17"/>
  <c r="AB537" i="17"/>
  <c r="AA537" i="17"/>
  <c r="Z537" i="17"/>
  <c r="Y537" i="17"/>
  <c r="X537" i="17"/>
  <c r="W537" i="17"/>
  <c r="V537" i="17"/>
  <c r="U537" i="17"/>
  <c r="T537" i="17"/>
  <c r="S537" i="17"/>
  <c r="R537" i="17"/>
  <c r="Q537" i="17"/>
  <c r="P537" i="17"/>
  <c r="O537" i="17"/>
  <c r="N537" i="17"/>
  <c r="M537" i="17"/>
  <c r="L537" i="17"/>
  <c r="K537" i="17"/>
  <c r="J537" i="17"/>
  <c r="I537" i="17"/>
  <c r="H537" i="17"/>
  <c r="G537" i="17"/>
  <c r="F537" i="17"/>
  <c r="E537" i="17"/>
  <c r="D537" i="17"/>
  <c r="C537" i="17"/>
  <c r="B537" i="17"/>
  <c r="A537" i="17"/>
  <c r="AM536" i="17"/>
  <c r="AL536" i="17"/>
  <c r="AK536" i="17"/>
  <c r="AJ536" i="17"/>
  <c r="AI536" i="17"/>
  <c r="AH536" i="17"/>
  <c r="AG536" i="17"/>
  <c r="AF536" i="17"/>
  <c r="AE536" i="17"/>
  <c r="AD536" i="17"/>
  <c r="AC536" i="17"/>
  <c r="AB536" i="17"/>
  <c r="AA536" i="17"/>
  <c r="Z536" i="17"/>
  <c r="Y536" i="17"/>
  <c r="X536" i="17"/>
  <c r="W536" i="17"/>
  <c r="V536" i="17"/>
  <c r="U536" i="17"/>
  <c r="T536" i="17"/>
  <c r="S536" i="17"/>
  <c r="R536" i="17"/>
  <c r="Q536" i="17"/>
  <c r="P536" i="17"/>
  <c r="O536" i="17"/>
  <c r="N536" i="17"/>
  <c r="M536" i="17"/>
  <c r="L536" i="17"/>
  <c r="K536" i="17"/>
  <c r="J536" i="17"/>
  <c r="I536" i="17"/>
  <c r="H536" i="17"/>
  <c r="G536" i="17"/>
  <c r="F536" i="17"/>
  <c r="E536" i="17"/>
  <c r="D536" i="17"/>
  <c r="C536" i="17"/>
  <c r="B536" i="17"/>
  <c r="A536" i="17"/>
  <c r="AM535" i="17"/>
  <c r="AL535" i="17"/>
  <c r="AK535" i="17"/>
  <c r="AJ535" i="17"/>
  <c r="AI535" i="17"/>
  <c r="AH535" i="17"/>
  <c r="AG535" i="17"/>
  <c r="AF535" i="17"/>
  <c r="AE535" i="17"/>
  <c r="AD535" i="17"/>
  <c r="AC535" i="17"/>
  <c r="AB535" i="17"/>
  <c r="AA535" i="17"/>
  <c r="Z535" i="17"/>
  <c r="Y535" i="17"/>
  <c r="X535" i="17"/>
  <c r="W535" i="17"/>
  <c r="V535" i="17"/>
  <c r="U535" i="17"/>
  <c r="T535" i="17"/>
  <c r="S535" i="17"/>
  <c r="R535" i="17"/>
  <c r="Q535" i="17"/>
  <c r="P535" i="17"/>
  <c r="O535" i="17"/>
  <c r="N535" i="17"/>
  <c r="M535" i="17"/>
  <c r="L535" i="17"/>
  <c r="K535" i="17"/>
  <c r="J535" i="17"/>
  <c r="I535" i="17"/>
  <c r="H535" i="17"/>
  <c r="G535" i="17"/>
  <c r="F535" i="17"/>
  <c r="E535" i="17"/>
  <c r="D535" i="17"/>
  <c r="C535" i="17"/>
  <c r="B535" i="17"/>
  <c r="A535" i="17"/>
  <c r="AM534" i="17"/>
  <c r="AL534" i="17"/>
  <c r="AK534" i="17"/>
  <c r="AJ534" i="17"/>
  <c r="AI534" i="17"/>
  <c r="AH534" i="17"/>
  <c r="AG534" i="17"/>
  <c r="AF534" i="17"/>
  <c r="AE534" i="17"/>
  <c r="AD534" i="17"/>
  <c r="AC534" i="17"/>
  <c r="AB534" i="17"/>
  <c r="AA534" i="17"/>
  <c r="Z534" i="17"/>
  <c r="Y534" i="17"/>
  <c r="X534" i="17"/>
  <c r="W534" i="17"/>
  <c r="V534" i="17"/>
  <c r="U534" i="17"/>
  <c r="T534" i="17"/>
  <c r="S534" i="17"/>
  <c r="R534" i="17"/>
  <c r="Q534" i="17"/>
  <c r="P534" i="17"/>
  <c r="O534" i="17"/>
  <c r="N534" i="17"/>
  <c r="M534" i="17"/>
  <c r="L534" i="17"/>
  <c r="K534" i="17"/>
  <c r="J534" i="17"/>
  <c r="I534" i="17"/>
  <c r="H534" i="17"/>
  <c r="G534" i="17"/>
  <c r="F534" i="17"/>
  <c r="E534" i="17"/>
  <c r="D534" i="17"/>
  <c r="C534" i="17"/>
  <c r="B534" i="17"/>
  <c r="A534" i="17"/>
  <c r="AM533" i="17"/>
  <c r="AL533" i="17"/>
  <c r="AK533" i="17"/>
  <c r="AJ533" i="17"/>
  <c r="AI533" i="17"/>
  <c r="AH533" i="17"/>
  <c r="AG533" i="17"/>
  <c r="AF533" i="17"/>
  <c r="AE533" i="17"/>
  <c r="AD533" i="17"/>
  <c r="AC533" i="17"/>
  <c r="AB533" i="17"/>
  <c r="AA533" i="17"/>
  <c r="Z533" i="17"/>
  <c r="Y533" i="17"/>
  <c r="X533" i="17"/>
  <c r="W533" i="17"/>
  <c r="V533" i="17"/>
  <c r="U533" i="17"/>
  <c r="T533" i="17"/>
  <c r="S533" i="17"/>
  <c r="R533" i="17"/>
  <c r="Q533" i="17"/>
  <c r="P533" i="17"/>
  <c r="O533" i="17"/>
  <c r="N533" i="17"/>
  <c r="M533" i="17"/>
  <c r="L533" i="17"/>
  <c r="K533" i="17"/>
  <c r="J533" i="17"/>
  <c r="I533" i="17"/>
  <c r="H533" i="17"/>
  <c r="G533" i="17"/>
  <c r="F533" i="17"/>
  <c r="E533" i="17"/>
  <c r="D533" i="17"/>
  <c r="C533" i="17"/>
  <c r="B533" i="17"/>
  <c r="A533" i="17"/>
  <c r="AM532" i="17"/>
  <c r="AL532" i="17"/>
  <c r="AK532" i="17"/>
  <c r="AJ532" i="17"/>
  <c r="AI532" i="17"/>
  <c r="AH532" i="17"/>
  <c r="AG532" i="17"/>
  <c r="AF532" i="17"/>
  <c r="AE532" i="17"/>
  <c r="AD532" i="17"/>
  <c r="AC532" i="17"/>
  <c r="AB532" i="17"/>
  <c r="AA532" i="17"/>
  <c r="Z532" i="17"/>
  <c r="Y532" i="17"/>
  <c r="X532" i="17"/>
  <c r="W532" i="17"/>
  <c r="V532" i="17"/>
  <c r="U532" i="17"/>
  <c r="T532" i="17"/>
  <c r="S532" i="17"/>
  <c r="R532" i="17"/>
  <c r="Q532" i="17"/>
  <c r="P532" i="17"/>
  <c r="O532" i="17"/>
  <c r="N532" i="17"/>
  <c r="M532" i="17"/>
  <c r="L532" i="17"/>
  <c r="K532" i="17"/>
  <c r="J532" i="17"/>
  <c r="I532" i="17"/>
  <c r="H532" i="17"/>
  <c r="G532" i="17"/>
  <c r="F532" i="17"/>
  <c r="E532" i="17"/>
  <c r="D532" i="17"/>
  <c r="C532" i="17"/>
  <c r="B532" i="17"/>
  <c r="A532" i="17"/>
  <c r="AM531" i="17"/>
  <c r="AL531" i="17"/>
  <c r="AK531" i="17"/>
  <c r="AJ531" i="17"/>
  <c r="AI531" i="17"/>
  <c r="AH531" i="17"/>
  <c r="AG531" i="17"/>
  <c r="AF531" i="17"/>
  <c r="AE531" i="17"/>
  <c r="AD531" i="17"/>
  <c r="AC531" i="17"/>
  <c r="AB531" i="17"/>
  <c r="AA531" i="17"/>
  <c r="Z531" i="17"/>
  <c r="Y531" i="17"/>
  <c r="X531" i="17"/>
  <c r="W531" i="17"/>
  <c r="V531" i="17"/>
  <c r="U531" i="17"/>
  <c r="T531" i="17"/>
  <c r="S531" i="17"/>
  <c r="R531" i="17"/>
  <c r="Q531" i="17"/>
  <c r="P531" i="17"/>
  <c r="O531" i="17"/>
  <c r="N531" i="17"/>
  <c r="M531" i="17"/>
  <c r="L531" i="17"/>
  <c r="K531" i="17"/>
  <c r="J531" i="17"/>
  <c r="I531" i="17"/>
  <c r="H531" i="17"/>
  <c r="G531" i="17"/>
  <c r="F531" i="17"/>
  <c r="E531" i="17"/>
  <c r="D531" i="17"/>
  <c r="C531" i="17"/>
  <c r="B531" i="17"/>
  <c r="A531" i="17"/>
  <c r="AM530" i="17"/>
  <c r="AL530" i="17"/>
  <c r="AK530" i="17"/>
  <c r="AJ530" i="17"/>
  <c r="AI530" i="17"/>
  <c r="AH530" i="17"/>
  <c r="AG530" i="17"/>
  <c r="AF530" i="17"/>
  <c r="AE530" i="17"/>
  <c r="AD530" i="17"/>
  <c r="AC530" i="17"/>
  <c r="AB530" i="17"/>
  <c r="AA530" i="17"/>
  <c r="Z530" i="17"/>
  <c r="Y530" i="17"/>
  <c r="X530" i="17"/>
  <c r="W530" i="17"/>
  <c r="V530" i="17"/>
  <c r="U530" i="17"/>
  <c r="T530" i="17"/>
  <c r="S530" i="17"/>
  <c r="R530" i="17"/>
  <c r="Q530" i="17"/>
  <c r="P530" i="17"/>
  <c r="O530" i="17"/>
  <c r="N530" i="17"/>
  <c r="M530" i="17"/>
  <c r="L530" i="17"/>
  <c r="K530" i="17"/>
  <c r="J530" i="17"/>
  <c r="I530" i="17"/>
  <c r="H530" i="17"/>
  <c r="G530" i="17"/>
  <c r="F530" i="17"/>
  <c r="E530" i="17"/>
  <c r="D530" i="17"/>
  <c r="C530" i="17"/>
  <c r="B530" i="17"/>
  <c r="A530" i="17"/>
  <c r="AM529" i="17"/>
  <c r="AL529" i="17"/>
  <c r="AK529" i="17"/>
  <c r="AJ529" i="17"/>
  <c r="AI529" i="17"/>
  <c r="AH529" i="17"/>
  <c r="AG529" i="17"/>
  <c r="AF529" i="17"/>
  <c r="AE529" i="17"/>
  <c r="AD529" i="17"/>
  <c r="AC529" i="17"/>
  <c r="AB529" i="17"/>
  <c r="AA529" i="17"/>
  <c r="Z529" i="17"/>
  <c r="Y529" i="17"/>
  <c r="X529" i="17"/>
  <c r="W529" i="17"/>
  <c r="V529" i="17"/>
  <c r="U529" i="17"/>
  <c r="T529" i="17"/>
  <c r="S529" i="17"/>
  <c r="R529" i="17"/>
  <c r="Q529" i="17"/>
  <c r="P529" i="17"/>
  <c r="O529" i="17"/>
  <c r="N529" i="17"/>
  <c r="M529" i="17"/>
  <c r="L529" i="17"/>
  <c r="K529" i="17"/>
  <c r="J529" i="17"/>
  <c r="I529" i="17"/>
  <c r="H529" i="17"/>
  <c r="G529" i="17"/>
  <c r="F529" i="17"/>
  <c r="E529" i="17"/>
  <c r="D529" i="17"/>
  <c r="C529" i="17"/>
  <c r="B529" i="17"/>
  <c r="A529" i="17"/>
  <c r="AM528" i="17"/>
  <c r="AL528" i="17"/>
  <c r="AK528" i="17"/>
  <c r="AJ528" i="17"/>
  <c r="AI528" i="17"/>
  <c r="AH528" i="17"/>
  <c r="AG528" i="17"/>
  <c r="AF528" i="17"/>
  <c r="AE528" i="17"/>
  <c r="AD528" i="17"/>
  <c r="AC528" i="17"/>
  <c r="AB528" i="17"/>
  <c r="AA528" i="17"/>
  <c r="Z528" i="17"/>
  <c r="Y528" i="17"/>
  <c r="X528" i="17"/>
  <c r="W528" i="17"/>
  <c r="V528" i="17"/>
  <c r="U528" i="17"/>
  <c r="T528" i="17"/>
  <c r="S528" i="17"/>
  <c r="R528" i="17"/>
  <c r="Q528" i="17"/>
  <c r="P528" i="17"/>
  <c r="O528" i="17"/>
  <c r="N528" i="17"/>
  <c r="M528" i="17"/>
  <c r="L528" i="17"/>
  <c r="K528" i="17"/>
  <c r="J528" i="17"/>
  <c r="I528" i="17"/>
  <c r="H528" i="17"/>
  <c r="G528" i="17"/>
  <c r="F528" i="17"/>
  <c r="E528" i="17"/>
  <c r="D528" i="17"/>
  <c r="C528" i="17"/>
  <c r="B528" i="17"/>
  <c r="A528" i="17"/>
  <c r="AM527" i="17"/>
  <c r="AL527" i="17"/>
  <c r="AK527" i="17"/>
  <c r="AJ527" i="17"/>
  <c r="AI527" i="17"/>
  <c r="AH527" i="17"/>
  <c r="AG527" i="17"/>
  <c r="AF527" i="17"/>
  <c r="AE527" i="17"/>
  <c r="AD527" i="17"/>
  <c r="AC527" i="17"/>
  <c r="AB527" i="17"/>
  <c r="AA527" i="17"/>
  <c r="Z527" i="17"/>
  <c r="Y527" i="17"/>
  <c r="X527" i="17"/>
  <c r="W527" i="17"/>
  <c r="V527" i="17"/>
  <c r="U527" i="17"/>
  <c r="T527" i="17"/>
  <c r="S527" i="17"/>
  <c r="R527" i="17"/>
  <c r="Q527" i="17"/>
  <c r="P527" i="17"/>
  <c r="O527" i="17"/>
  <c r="N527" i="17"/>
  <c r="M527" i="17"/>
  <c r="L527" i="17"/>
  <c r="K527" i="17"/>
  <c r="J527" i="17"/>
  <c r="I527" i="17"/>
  <c r="H527" i="17"/>
  <c r="G527" i="17"/>
  <c r="F527" i="17"/>
  <c r="E527" i="17"/>
  <c r="D527" i="17"/>
  <c r="C527" i="17"/>
  <c r="B527" i="17"/>
  <c r="A527" i="17"/>
  <c r="AM526" i="17"/>
  <c r="AL526" i="17"/>
  <c r="AK526" i="17"/>
  <c r="AJ526" i="17"/>
  <c r="AI526" i="17"/>
  <c r="AH526" i="17"/>
  <c r="AG526" i="17"/>
  <c r="AF526" i="17"/>
  <c r="AE526" i="17"/>
  <c r="AD526" i="17"/>
  <c r="AC526" i="17"/>
  <c r="AB526" i="17"/>
  <c r="AA526" i="17"/>
  <c r="Z526" i="17"/>
  <c r="Y526" i="17"/>
  <c r="X526" i="17"/>
  <c r="W526" i="17"/>
  <c r="V526" i="17"/>
  <c r="U526" i="17"/>
  <c r="T526" i="17"/>
  <c r="S526" i="17"/>
  <c r="R526" i="17"/>
  <c r="Q526" i="17"/>
  <c r="P526" i="17"/>
  <c r="O526" i="17"/>
  <c r="N526" i="17"/>
  <c r="M526" i="17"/>
  <c r="L526" i="17"/>
  <c r="K526" i="17"/>
  <c r="J526" i="17"/>
  <c r="I526" i="17"/>
  <c r="H526" i="17"/>
  <c r="G526" i="17"/>
  <c r="F526" i="17"/>
  <c r="E526" i="17"/>
  <c r="D526" i="17"/>
  <c r="C526" i="17"/>
  <c r="B526" i="17"/>
  <c r="A526" i="17"/>
  <c r="AM525" i="17"/>
  <c r="AL525" i="17"/>
  <c r="AK525" i="17"/>
  <c r="AJ525" i="17"/>
  <c r="AI525" i="17"/>
  <c r="AH525" i="17"/>
  <c r="AG525" i="17"/>
  <c r="AF525" i="17"/>
  <c r="AE525" i="17"/>
  <c r="AD525" i="17"/>
  <c r="AC525" i="17"/>
  <c r="AB525" i="17"/>
  <c r="AA525" i="17"/>
  <c r="Z525" i="17"/>
  <c r="Y525" i="17"/>
  <c r="X525" i="17"/>
  <c r="W525" i="17"/>
  <c r="V525" i="17"/>
  <c r="U525" i="17"/>
  <c r="T525" i="17"/>
  <c r="S525" i="17"/>
  <c r="R525" i="17"/>
  <c r="Q525" i="17"/>
  <c r="P525" i="17"/>
  <c r="O525" i="17"/>
  <c r="N525" i="17"/>
  <c r="M525" i="17"/>
  <c r="L525" i="17"/>
  <c r="K525" i="17"/>
  <c r="J525" i="17"/>
  <c r="I525" i="17"/>
  <c r="H525" i="17"/>
  <c r="G525" i="17"/>
  <c r="F525" i="17"/>
  <c r="E525" i="17"/>
  <c r="D525" i="17"/>
  <c r="C525" i="17"/>
  <c r="B525" i="17"/>
  <c r="A525" i="17"/>
  <c r="AM524" i="17"/>
  <c r="AL524" i="17"/>
  <c r="AK524" i="17"/>
  <c r="AJ524" i="17"/>
  <c r="AI524" i="17"/>
  <c r="AH524" i="17"/>
  <c r="AG524" i="17"/>
  <c r="AF524" i="17"/>
  <c r="AE524" i="17"/>
  <c r="AD524" i="17"/>
  <c r="AC524" i="17"/>
  <c r="AB524" i="17"/>
  <c r="AA524" i="17"/>
  <c r="Z524" i="17"/>
  <c r="Y524" i="17"/>
  <c r="X524" i="17"/>
  <c r="W524" i="17"/>
  <c r="V524" i="17"/>
  <c r="U524" i="17"/>
  <c r="T524" i="17"/>
  <c r="S524" i="17"/>
  <c r="R524" i="17"/>
  <c r="Q524" i="17"/>
  <c r="P524" i="17"/>
  <c r="O524" i="17"/>
  <c r="N524" i="17"/>
  <c r="M524" i="17"/>
  <c r="L524" i="17"/>
  <c r="K524" i="17"/>
  <c r="J524" i="17"/>
  <c r="I524" i="17"/>
  <c r="H524" i="17"/>
  <c r="G524" i="17"/>
  <c r="F524" i="17"/>
  <c r="E524" i="17"/>
  <c r="D524" i="17"/>
  <c r="C524" i="17"/>
  <c r="B524" i="17"/>
  <c r="A524" i="17"/>
  <c r="AM523" i="17"/>
  <c r="AL523" i="17"/>
  <c r="AK523" i="17"/>
  <c r="AJ523" i="17"/>
  <c r="AI523" i="17"/>
  <c r="AH523" i="17"/>
  <c r="AG523" i="17"/>
  <c r="AF523" i="17"/>
  <c r="AE523" i="17"/>
  <c r="AD523" i="17"/>
  <c r="AC523" i="17"/>
  <c r="AB523" i="17"/>
  <c r="AA523" i="17"/>
  <c r="Z523" i="17"/>
  <c r="Y523" i="17"/>
  <c r="X523" i="17"/>
  <c r="W523" i="17"/>
  <c r="V523" i="17"/>
  <c r="U523" i="17"/>
  <c r="T523" i="17"/>
  <c r="S523" i="17"/>
  <c r="R523" i="17"/>
  <c r="Q523" i="17"/>
  <c r="P523" i="17"/>
  <c r="O523" i="17"/>
  <c r="N523" i="17"/>
  <c r="M523" i="17"/>
  <c r="L523" i="17"/>
  <c r="K523" i="17"/>
  <c r="J523" i="17"/>
  <c r="I523" i="17"/>
  <c r="H523" i="17"/>
  <c r="G523" i="17"/>
  <c r="F523" i="17"/>
  <c r="E523" i="17"/>
  <c r="D523" i="17"/>
  <c r="C523" i="17"/>
  <c r="B523" i="17"/>
  <c r="A523" i="17"/>
  <c r="AM522" i="17"/>
  <c r="AL522" i="17"/>
  <c r="AK522" i="17"/>
  <c r="AJ522" i="17"/>
  <c r="AI522" i="17"/>
  <c r="AH522" i="17"/>
  <c r="AG522" i="17"/>
  <c r="AF522" i="17"/>
  <c r="AE522" i="17"/>
  <c r="AD522" i="17"/>
  <c r="AC522" i="17"/>
  <c r="AB522" i="17"/>
  <c r="AA522" i="17"/>
  <c r="Z522" i="17"/>
  <c r="Y522" i="17"/>
  <c r="X522" i="17"/>
  <c r="W522" i="17"/>
  <c r="V522" i="17"/>
  <c r="U522" i="17"/>
  <c r="T522" i="17"/>
  <c r="S522" i="17"/>
  <c r="R522" i="17"/>
  <c r="Q522" i="17"/>
  <c r="P522" i="17"/>
  <c r="O522" i="17"/>
  <c r="N522" i="17"/>
  <c r="M522" i="17"/>
  <c r="L522" i="17"/>
  <c r="K522" i="17"/>
  <c r="J522" i="17"/>
  <c r="I522" i="17"/>
  <c r="H522" i="17"/>
  <c r="G522" i="17"/>
  <c r="F522" i="17"/>
  <c r="E522" i="17"/>
  <c r="D522" i="17"/>
  <c r="C522" i="17"/>
  <c r="B522" i="17"/>
  <c r="A522" i="17"/>
  <c r="AM521" i="17"/>
  <c r="AL521" i="17"/>
  <c r="AK521" i="17"/>
  <c r="AJ521" i="17"/>
  <c r="AI521" i="17"/>
  <c r="AH521" i="17"/>
  <c r="AG521" i="17"/>
  <c r="AF521" i="17"/>
  <c r="AE521" i="17"/>
  <c r="AD521" i="17"/>
  <c r="AC521" i="17"/>
  <c r="AB521" i="17"/>
  <c r="AA521" i="17"/>
  <c r="Z521" i="17"/>
  <c r="Y521" i="17"/>
  <c r="X521" i="17"/>
  <c r="W521" i="17"/>
  <c r="V521" i="17"/>
  <c r="U521" i="17"/>
  <c r="T521" i="17"/>
  <c r="S521" i="17"/>
  <c r="R521" i="17"/>
  <c r="Q521" i="17"/>
  <c r="P521" i="17"/>
  <c r="O521" i="17"/>
  <c r="N521" i="17"/>
  <c r="M521" i="17"/>
  <c r="L521" i="17"/>
  <c r="K521" i="17"/>
  <c r="J521" i="17"/>
  <c r="I521" i="17"/>
  <c r="H521" i="17"/>
  <c r="G521" i="17"/>
  <c r="F521" i="17"/>
  <c r="E521" i="17"/>
  <c r="D521" i="17"/>
  <c r="C521" i="17"/>
  <c r="B521" i="17"/>
  <c r="A521" i="17"/>
  <c r="AM520" i="17"/>
  <c r="AL520" i="17"/>
  <c r="AK520" i="17"/>
  <c r="AJ520" i="17"/>
  <c r="AI520" i="17"/>
  <c r="AH520" i="17"/>
  <c r="AG520" i="17"/>
  <c r="AF520" i="17"/>
  <c r="AE520" i="17"/>
  <c r="AD520" i="17"/>
  <c r="AC520" i="17"/>
  <c r="AB520" i="17"/>
  <c r="AA520" i="17"/>
  <c r="Z520" i="17"/>
  <c r="Y520" i="17"/>
  <c r="X520" i="17"/>
  <c r="W520" i="17"/>
  <c r="V520" i="17"/>
  <c r="U520" i="17"/>
  <c r="T520" i="17"/>
  <c r="S520" i="17"/>
  <c r="R520" i="17"/>
  <c r="Q520" i="17"/>
  <c r="P520" i="17"/>
  <c r="O520" i="17"/>
  <c r="N520" i="17"/>
  <c r="M520" i="17"/>
  <c r="L520" i="17"/>
  <c r="K520" i="17"/>
  <c r="J520" i="17"/>
  <c r="I520" i="17"/>
  <c r="H520" i="17"/>
  <c r="G520" i="17"/>
  <c r="F520" i="17"/>
  <c r="E520" i="17"/>
  <c r="D520" i="17"/>
  <c r="C520" i="17"/>
  <c r="B520" i="17"/>
  <c r="A520" i="17"/>
  <c r="AM519" i="17"/>
  <c r="AL519" i="17"/>
  <c r="AK519" i="17"/>
  <c r="AJ519" i="17"/>
  <c r="AI519" i="17"/>
  <c r="AH519" i="17"/>
  <c r="AG519" i="17"/>
  <c r="AF519" i="17"/>
  <c r="AE519" i="17"/>
  <c r="AD519" i="17"/>
  <c r="AC519" i="17"/>
  <c r="AB519" i="17"/>
  <c r="AA519" i="17"/>
  <c r="Z519" i="17"/>
  <c r="Y519" i="17"/>
  <c r="X519" i="17"/>
  <c r="W519" i="17"/>
  <c r="V519" i="17"/>
  <c r="U519" i="17"/>
  <c r="T519" i="17"/>
  <c r="S519" i="17"/>
  <c r="R519" i="17"/>
  <c r="Q519" i="17"/>
  <c r="P519" i="17"/>
  <c r="O519" i="17"/>
  <c r="N519" i="17"/>
  <c r="M519" i="17"/>
  <c r="L519" i="17"/>
  <c r="K519" i="17"/>
  <c r="J519" i="17"/>
  <c r="I519" i="17"/>
  <c r="H519" i="17"/>
  <c r="G519" i="17"/>
  <c r="F519" i="17"/>
  <c r="E519" i="17"/>
  <c r="D519" i="17"/>
  <c r="C519" i="17"/>
  <c r="B519" i="17"/>
  <c r="A519" i="17"/>
  <c r="AM518" i="17"/>
  <c r="AL518" i="17"/>
  <c r="AK518" i="17"/>
  <c r="AJ518" i="17"/>
  <c r="AI518" i="17"/>
  <c r="AH518" i="17"/>
  <c r="AG518" i="17"/>
  <c r="AF518" i="17"/>
  <c r="AE518" i="17"/>
  <c r="AD518" i="17"/>
  <c r="AC518" i="17"/>
  <c r="AB518" i="17"/>
  <c r="AA518" i="17"/>
  <c r="Z518" i="17"/>
  <c r="Y518" i="17"/>
  <c r="X518" i="17"/>
  <c r="W518" i="17"/>
  <c r="V518" i="17"/>
  <c r="U518" i="17"/>
  <c r="T518" i="17"/>
  <c r="S518" i="17"/>
  <c r="R518" i="17"/>
  <c r="Q518" i="17"/>
  <c r="P518" i="17"/>
  <c r="O518" i="17"/>
  <c r="N518" i="17"/>
  <c r="M518" i="17"/>
  <c r="L518" i="17"/>
  <c r="K518" i="17"/>
  <c r="J518" i="17"/>
  <c r="I518" i="17"/>
  <c r="H518" i="17"/>
  <c r="G518" i="17"/>
  <c r="F518" i="17"/>
  <c r="E518" i="17"/>
  <c r="D518" i="17"/>
  <c r="C518" i="17"/>
  <c r="B518" i="17"/>
  <c r="A518" i="17"/>
  <c r="AM517" i="17"/>
  <c r="AL517" i="17"/>
  <c r="AK517" i="17"/>
  <c r="AJ517" i="17"/>
  <c r="AI517" i="17"/>
  <c r="AH517" i="17"/>
  <c r="AG517" i="17"/>
  <c r="AF517" i="17"/>
  <c r="AE517" i="17"/>
  <c r="AD517" i="17"/>
  <c r="AC517" i="17"/>
  <c r="AB517" i="17"/>
  <c r="AA517" i="17"/>
  <c r="Z517" i="17"/>
  <c r="Y517" i="17"/>
  <c r="X517" i="17"/>
  <c r="W517" i="17"/>
  <c r="V517" i="17"/>
  <c r="U517" i="17"/>
  <c r="T517" i="17"/>
  <c r="S517" i="17"/>
  <c r="R517" i="17"/>
  <c r="Q517" i="17"/>
  <c r="P517" i="17"/>
  <c r="O517" i="17"/>
  <c r="N517" i="17"/>
  <c r="M517" i="17"/>
  <c r="L517" i="17"/>
  <c r="K517" i="17"/>
  <c r="J517" i="17"/>
  <c r="I517" i="17"/>
  <c r="H517" i="17"/>
  <c r="G517" i="17"/>
  <c r="F517" i="17"/>
  <c r="E517" i="17"/>
  <c r="D517" i="17"/>
  <c r="C517" i="17"/>
  <c r="B517" i="17"/>
  <c r="A517" i="17"/>
  <c r="AM516" i="17"/>
  <c r="AL516" i="17"/>
  <c r="AK516" i="17"/>
  <c r="AJ516" i="17"/>
  <c r="AI516" i="17"/>
  <c r="AH516" i="17"/>
  <c r="AG516" i="17"/>
  <c r="AF516" i="17"/>
  <c r="AE516" i="17"/>
  <c r="AD516" i="17"/>
  <c r="AC516" i="17"/>
  <c r="AB516" i="17"/>
  <c r="AA516" i="17"/>
  <c r="Z516" i="17"/>
  <c r="Y516" i="17"/>
  <c r="X516" i="17"/>
  <c r="W516" i="17"/>
  <c r="V516" i="17"/>
  <c r="U516" i="17"/>
  <c r="T516" i="17"/>
  <c r="S516" i="17"/>
  <c r="R516" i="17"/>
  <c r="Q516" i="17"/>
  <c r="P516" i="17"/>
  <c r="O516" i="17"/>
  <c r="N516" i="17"/>
  <c r="M516" i="17"/>
  <c r="L516" i="17"/>
  <c r="K516" i="17"/>
  <c r="J516" i="17"/>
  <c r="I516" i="17"/>
  <c r="H516" i="17"/>
  <c r="G516" i="17"/>
  <c r="F516" i="17"/>
  <c r="E516" i="17"/>
  <c r="D516" i="17"/>
  <c r="C516" i="17"/>
  <c r="B516" i="17"/>
  <c r="A516" i="17"/>
  <c r="AM515" i="17"/>
  <c r="AL515" i="17"/>
  <c r="AK515" i="17"/>
  <c r="AJ515" i="17"/>
  <c r="AI515" i="17"/>
  <c r="AH515" i="17"/>
  <c r="AG515" i="17"/>
  <c r="AF515" i="17"/>
  <c r="AE515" i="17"/>
  <c r="AD515" i="17"/>
  <c r="AC515" i="17"/>
  <c r="AB515" i="17"/>
  <c r="AA515" i="17"/>
  <c r="Z515" i="17"/>
  <c r="Y515" i="17"/>
  <c r="X515" i="17"/>
  <c r="W515" i="17"/>
  <c r="V515" i="17"/>
  <c r="U515" i="17"/>
  <c r="T515" i="17"/>
  <c r="S515" i="17"/>
  <c r="R515" i="17"/>
  <c r="Q515" i="17"/>
  <c r="P515" i="17"/>
  <c r="O515" i="17"/>
  <c r="N515" i="17"/>
  <c r="M515" i="17"/>
  <c r="L515" i="17"/>
  <c r="K515" i="17"/>
  <c r="J515" i="17"/>
  <c r="I515" i="17"/>
  <c r="H515" i="17"/>
  <c r="G515" i="17"/>
  <c r="F515" i="17"/>
  <c r="E515" i="17"/>
  <c r="D515" i="17"/>
  <c r="C515" i="17"/>
  <c r="B515" i="17"/>
  <c r="A515" i="17"/>
  <c r="AM514" i="17"/>
  <c r="AL514" i="17"/>
  <c r="AK514" i="17"/>
  <c r="AJ514" i="17"/>
  <c r="AI514" i="17"/>
  <c r="AH514" i="17"/>
  <c r="AG514" i="17"/>
  <c r="AF514" i="17"/>
  <c r="AE514" i="17"/>
  <c r="AD514" i="17"/>
  <c r="AC514" i="17"/>
  <c r="AB514" i="17"/>
  <c r="AA514" i="17"/>
  <c r="Z514" i="17"/>
  <c r="Y514" i="17"/>
  <c r="X514" i="17"/>
  <c r="W514" i="17"/>
  <c r="V514" i="17"/>
  <c r="U514" i="17"/>
  <c r="T514" i="17"/>
  <c r="S514" i="17"/>
  <c r="R514" i="17"/>
  <c r="Q514" i="17"/>
  <c r="P514" i="17"/>
  <c r="O514" i="17"/>
  <c r="N514" i="17"/>
  <c r="M514" i="17"/>
  <c r="L514" i="17"/>
  <c r="K514" i="17"/>
  <c r="J514" i="17"/>
  <c r="I514" i="17"/>
  <c r="H514" i="17"/>
  <c r="G514" i="17"/>
  <c r="F514" i="17"/>
  <c r="E514" i="17"/>
  <c r="D514" i="17"/>
  <c r="C514" i="17"/>
  <c r="B514" i="17"/>
  <c r="A514" i="17"/>
  <c r="AM513" i="17"/>
  <c r="AL513" i="17"/>
  <c r="AK513" i="17"/>
  <c r="AJ513" i="17"/>
  <c r="AI513" i="17"/>
  <c r="AH513" i="17"/>
  <c r="AG513" i="17"/>
  <c r="AF513" i="17"/>
  <c r="AE513" i="17"/>
  <c r="AD513" i="17"/>
  <c r="AC513" i="17"/>
  <c r="AB513" i="17"/>
  <c r="AA513" i="17"/>
  <c r="Z513" i="17"/>
  <c r="Y513" i="17"/>
  <c r="X513" i="17"/>
  <c r="W513" i="17"/>
  <c r="V513" i="17"/>
  <c r="U513" i="17"/>
  <c r="T513" i="17"/>
  <c r="S513" i="17"/>
  <c r="R513" i="17"/>
  <c r="Q513" i="17"/>
  <c r="P513" i="17"/>
  <c r="O513" i="17"/>
  <c r="N513" i="17"/>
  <c r="M513" i="17"/>
  <c r="L513" i="17"/>
  <c r="K513" i="17"/>
  <c r="J513" i="17"/>
  <c r="I513" i="17"/>
  <c r="H513" i="17"/>
  <c r="G513" i="17"/>
  <c r="F513" i="17"/>
  <c r="E513" i="17"/>
  <c r="D513" i="17"/>
  <c r="C513" i="17"/>
  <c r="B513" i="17"/>
  <c r="A513" i="17"/>
  <c r="AM512" i="17"/>
  <c r="AL512" i="17"/>
  <c r="AK512" i="17"/>
  <c r="AJ512" i="17"/>
  <c r="AI512" i="17"/>
  <c r="AH512" i="17"/>
  <c r="AG512" i="17"/>
  <c r="AF512" i="17"/>
  <c r="AE512" i="17"/>
  <c r="AD512" i="17"/>
  <c r="AC512" i="17"/>
  <c r="AB512" i="17"/>
  <c r="AA512" i="17"/>
  <c r="Z512" i="17"/>
  <c r="Y512" i="17"/>
  <c r="X512" i="17"/>
  <c r="W512" i="17"/>
  <c r="V512" i="17"/>
  <c r="U512" i="17"/>
  <c r="T512" i="17"/>
  <c r="S512" i="17"/>
  <c r="R512" i="17"/>
  <c r="Q512" i="17"/>
  <c r="P512" i="17"/>
  <c r="O512" i="17"/>
  <c r="N512" i="17"/>
  <c r="M512" i="17"/>
  <c r="L512" i="17"/>
  <c r="K512" i="17"/>
  <c r="J512" i="17"/>
  <c r="I512" i="17"/>
  <c r="H512" i="17"/>
  <c r="G512" i="17"/>
  <c r="F512" i="17"/>
  <c r="E512" i="17"/>
  <c r="D512" i="17"/>
  <c r="C512" i="17"/>
  <c r="B512" i="17"/>
  <c r="A512" i="17"/>
  <c r="AM511" i="17"/>
  <c r="AL511" i="17"/>
  <c r="AK511" i="17"/>
  <c r="AJ511" i="17"/>
  <c r="AI511" i="17"/>
  <c r="AH511" i="17"/>
  <c r="AG511" i="17"/>
  <c r="AF511" i="17"/>
  <c r="AE511" i="17"/>
  <c r="AD511" i="17"/>
  <c r="AC511" i="17"/>
  <c r="AB511" i="17"/>
  <c r="AA511" i="17"/>
  <c r="Z511" i="17"/>
  <c r="Y511" i="17"/>
  <c r="X511" i="17"/>
  <c r="W511" i="17"/>
  <c r="V511" i="17"/>
  <c r="U511" i="17"/>
  <c r="T511" i="17"/>
  <c r="S511" i="17"/>
  <c r="R511" i="17"/>
  <c r="Q511" i="17"/>
  <c r="P511" i="17"/>
  <c r="O511" i="17"/>
  <c r="N511" i="17"/>
  <c r="M511" i="17"/>
  <c r="L511" i="17"/>
  <c r="K511" i="17"/>
  <c r="J511" i="17"/>
  <c r="I511" i="17"/>
  <c r="H511" i="17"/>
  <c r="G511" i="17"/>
  <c r="F511" i="17"/>
  <c r="E511" i="17"/>
  <c r="D511" i="17"/>
  <c r="C511" i="17"/>
  <c r="B511" i="17"/>
  <c r="A511" i="17"/>
  <c r="AM510" i="17"/>
  <c r="AL510" i="17"/>
  <c r="AK510" i="17"/>
  <c r="AJ510" i="17"/>
  <c r="AI510" i="17"/>
  <c r="AH510" i="17"/>
  <c r="AG510" i="17"/>
  <c r="AF510" i="17"/>
  <c r="AE510" i="17"/>
  <c r="AD510" i="17"/>
  <c r="AC510" i="17"/>
  <c r="AB510" i="17"/>
  <c r="AA510" i="17"/>
  <c r="Z510" i="17"/>
  <c r="Y510" i="17"/>
  <c r="X510" i="17"/>
  <c r="W510" i="17"/>
  <c r="V510" i="17"/>
  <c r="U510" i="17"/>
  <c r="T510" i="17"/>
  <c r="S510" i="17"/>
  <c r="R510" i="17"/>
  <c r="Q510" i="17"/>
  <c r="P510" i="17"/>
  <c r="O510" i="17"/>
  <c r="N510" i="17"/>
  <c r="M510" i="17"/>
  <c r="L510" i="17"/>
  <c r="K510" i="17"/>
  <c r="J510" i="17"/>
  <c r="I510" i="17"/>
  <c r="H510" i="17"/>
  <c r="G510" i="17"/>
  <c r="F510" i="17"/>
  <c r="E510" i="17"/>
  <c r="D510" i="17"/>
  <c r="C510" i="17"/>
  <c r="B510" i="17"/>
  <c r="A510" i="17"/>
  <c r="AM509" i="17"/>
  <c r="AL509" i="17"/>
  <c r="AK509" i="17"/>
  <c r="AJ509" i="17"/>
  <c r="AI509" i="17"/>
  <c r="AH509" i="17"/>
  <c r="AG509" i="17"/>
  <c r="AF509" i="17"/>
  <c r="AE509" i="17"/>
  <c r="AD509" i="17"/>
  <c r="AC509" i="17"/>
  <c r="AB509" i="17"/>
  <c r="AA509" i="17"/>
  <c r="Z509" i="17"/>
  <c r="Y509" i="17"/>
  <c r="X509" i="17"/>
  <c r="W509" i="17"/>
  <c r="V509" i="17"/>
  <c r="U509" i="17"/>
  <c r="T509" i="17"/>
  <c r="S509" i="17"/>
  <c r="R509" i="17"/>
  <c r="Q509" i="17"/>
  <c r="P509" i="17"/>
  <c r="O509" i="17"/>
  <c r="N509" i="17"/>
  <c r="M509" i="17"/>
  <c r="L509" i="17"/>
  <c r="K509" i="17"/>
  <c r="J509" i="17"/>
  <c r="I509" i="17"/>
  <c r="H509" i="17"/>
  <c r="G509" i="17"/>
  <c r="F509" i="17"/>
  <c r="E509" i="17"/>
  <c r="D509" i="17"/>
  <c r="C509" i="17"/>
  <c r="B509" i="17"/>
  <c r="A509" i="17"/>
  <c r="AM508" i="17"/>
  <c r="AL508" i="17"/>
  <c r="AK508" i="17"/>
  <c r="AJ508" i="17"/>
  <c r="AI508" i="17"/>
  <c r="AH508" i="17"/>
  <c r="AG508" i="17"/>
  <c r="AF508" i="17"/>
  <c r="AE508" i="17"/>
  <c r="AD508" i="17"/>
  <c r="AC508" i="17"/>
  <c r="AB508" i="17"/>
  <c r="AA508" i="17"/>
  <c r="Z508" i="17"/>
  <c r="Y508" i="17"/>
  <c r="X508" i="17"/>
  <c r="W508" i="17"/>
  <c r="V508" i="17"/>
  <c r="U508" i="17"/>
  <c r="T508" i="17"/>
  <c r="S508" i="17"/>
  <c r="R508" i="17"/>
  <c r="Q508" i="17"/>
  <c r="P508" i="17"/>
  <c r="O508" i="17"/>
  <c r="N508" i="17"/>
  <c r="M508" i="17"/>
  <c r="L508" i="17"/>
  <c r="K508" i="17"/>
  <c r="J508" i="17"/>
  <c r="I508" i="17"/>
  <c r="H508" i="17"/>
  <c r="G508" i="17"/>
  <c r="F508" i="17"/>
  <c r="E508" i="17"/>
  <c r="D508" i="17"/>
  <c r="C508" i="17"/>
  <c r="B508" i="17"/>
  <c r="A508" i="17"/>
  <c r="AM506" i="17"/>
  <c r="AL506" i="17"/>
  <c r="AK506" i="17"/>
  <c r="AJ506" i="17"/>
  <c r="AI506" i="17"/>
  <c r="AH506" i="17"/>
  <c r="AG506" i="17"/>
  <c r="AF506" i="17"/>
  <c r="AE506" i="17"/>
  <c r="AD506" i="17"/>
  <c r="AC506" i="17"/>
  <c r="AB506" i="17"/>
  <c r="AA506" i="17"/>
  <c r="Z506" i="17"/>
  <c r="Y506" i="17"/>
  <c r="X506" i="17"/>
  <c r="W506" i="17"/>
  <c r="V506" i="17"/>
  <c r="U506" i="17"/>
  <c r="T506" i="17"/>
  <c r="S506" i="17"/>
  <c r="R506" i="17"/>
  <c r="Q506" i="17"/>
  <c r="P506" i="17"/>
  <c r="O506" i="17"/>
  <c r="N506" i="17"/>
  <c r="M506" i="17"/>
  <c r="L506" i="17"/>
  <c r="K506" i="17"/>
  <c r="J506" i="17"/>
  <c r="I506" i="17"/>
  <c r="H506" i="17"/>
  <c r="G506" i="17"/>
  <c r="F506" i="17"/>
  <c r="E506" i="17"/>
  <c r="D506" i="17"/>
  <c r="C506" i="17"/>
  <c r="B506" i="17"/>
  <c r="A506" i="17"/>
  <c r="AM505" i="17"/>
  <c r="AL505" i="17"/>
  <c r="AK505" i="17"/>
  <c r="AJ505" i="17"/>
  <c r="AI505" i="17"/>
  <c r="AH505" i="17"/>
  <c r="AG505" i="17"/>
  <c r="AF505" i="17"/>
  <c r="AE505" i="17"/>
  <c r="AD505" i="17"/>
  <c r="AC505" i="17"/>
  <c r="AB505" i="17"/>
  <c r="AA505" i="17"/>
  <c r="Z505" i="17"/>
  <c r="Y505" i="17"/>
  <c r="X505" i="17"/>
  <c r="W505" i="17"/>
  <c r="V505" i="17"/>
  <c r="U505" i="17"/>
  <c r="T505" i="17"/>
  <c r="S505" i="17"/>
  <c r="R505" i="17"/>
  <c r="Q505" i="17"/>
  <c r="P505" i="17"/>
  <c r="O505" i="17"/>
  <c r="N505" i="17"/>
  <c r="M505" i="17"/>
  <c r="L505" i="17"/>
  <c r="K505" i="17"/>
  <c r="J505" i="17"/>
  <c r="I505" i="17"/>
  <c r="H505" i="17"/>
  <c r="G505" i="17"/>
  <c r="F505" i="17"/>
  <c r="E505" i="17"/>
  <c r="D505" i="17"/>
  <c r="C505" i="17"/>
  <c r="B505" i="17"/>
  <c r="A505" i="17"/>
  <c r="AM504" i="17"/>
  <c r="AL504" i="17"/>
  <c r="AK504" i="17"/>
  <c r="AJ504" i="17"/>
  <c r="AI504" i="17"/>
  <c r="AH504" i="17"/>
  <c r="AG504" i="17"/>
  <c r="AF504" i="17"/>
  <c r="AE504" i="17"/>
  <c r="AD504" i="17"/>
  <c r="AC504" i="17"/>
  <c r="AB504" i="17"/>
  <c r="AA504" i="17"/>
  <c r="Z504" i="17"/>
  <c r="Y504" i="17"/>
  <c r="X504" i="17"/>
  <c r="W504" i="17"/>
  <c r="V504" i="17"/>
  <c r="U504" i="17"/>
  <c r="T504" i="17"/>
  <c r="S504" i="17"/>
  <c r="R504" i="17"/>
  <c r="Q504" i="17"/>
  <c r="P504" i="17"/>
  <c r="O504" i="17"/>
  <c r="N504" i="17"/>
  <c r="M504" i="17"/>
  <c r="L504" i="17"/>
  <c r="K504" i="17"/>
  <c r="J504" i="17"/>
  <c r="I504" i="17"/>
  <c r="H504" i="17"/>
  <c r="G504" i="17"/>
  <c r="F504" i="17"/>
  <c r="E504" i="17"/>
  <c r="D504" i="17"/>
  <c r="C504" i="17"/>
  <c r="B504" i="17"/>
  <c r="A504" i="17"/>
  <c r="AM503" i="17"/>
  <c r="AL503" i="17"/>
  <c r="AK503" i="17"/>
  <c r="AJ503" i="17"/>
  <c r="AI503" i="17"/>
  <c r="AH503" i="17"/>
  <c r="AG503" i="17"/>
  <c r="AF503" i="17"/>
  <c r="AE503" i="17"/>
  <c r="AD503" i="17"/>
  <c r="AC503" i="17"/>
  <c r="AB503" i="17"/>
  <c r="AA503" i="17"/>
  <c r="Z503" i="17"/>
  <c r="Y503" i="17"/>
  <c r="X503" i="17"/>
  <c r="W503" i="17"/>
  <c r="V503" i="17"/>
  <c r="U503" i="17"/>
  <c r="T503" i="17"/>
  <c r="S503" i="17"/>
  <c r="R503" i="17"/>
  <c r="Q503" i="17"/>
  <c r="P503" i="17"/>
  <c r="O503" i="17"/>
  <c r="N503" i="17"/>
  <c r="M503" i="17"/>
  <c r="L503" i="17"/>
  <c r="K503" i="17"/>
  <c r="J503" i="17"/>
  <c r="I503" i="17"/>
  <c r="H503" i="17"/>
  <c r="G503" i="17"/>
  <c r="F503" i="17"/>
  <c r="E503" i="17"/>
  <c r="D503" i="17"/>
  <c r="C503" i="17"/>
  <c r="B503" i="17"/>
  <c r="A503" i="17"/>
  <c r="AM502" i="17"/>
  <c r="AL502" i="17"/>
  <c r="AK502" i="17"/>
  <c r="AJ502" i="17"/>
  <c r="AI502" i="17"/>
  <c r="AH502" i="17"/>
  <c r="AG502" i="17"/>
  <c r="AF502" i="17"/>
  <c r="AE502" i="17"/>
  <c r="AD502" i="17"/>
  <c r="AC502" i="17"/>
  <c r="AB502" i="17"/>
  <c r="AA502" i="17"/>
  <c r="Z502" i="17"/>
  <c r="Y502" i="17"/>
  <c r="X502" i="17"/>
  <c r="W502" i="17"/>
  <c r="V502" i="17"/>
  <c r="U502" i="17"/>
  <c r="T502" i="17"/>
  <c r="S502" i="17"/>
  <c r="R502" i="17"/>
  <c r="Q502" i="17"/>
  <c r="P502" i="17"/>
  <c r="O502" i="17"/>
  <c r="N502" i="17"/>
  <c r="M502" i="17"/>
  <c r="L502" i="17"/>
  <c r="K502" i="17"/>
  <c r="J502" i="17"/>
  <c r="I502" i="17"/>
  <c r="H502" i="17"/>
  <c r="G502" i="17"/>
  <c r="F502" i="17"/>
  <c r="E502" i="17"/>
  <c r="D502" i="17"/>
  <c r="C502" i="17"/>
  <c r="B502" i="17"/>
  <c r="A502" i="17"/>
  <c r="AM501" i="17"/>
  <c r="AL501" i="17"/>
  <c r="AK501" i="17"/>
  <c r="AJ501" i="17"/>
  <c r="AI501" i="17"/>
  <c r="AH501" i="17"/>
  <c r="AG501" i="17"/>
  <c r="AF501" i="17"/>
  <c r="AE501" i="17"/>
  <c r="AD501" i="17"/>
  <c r="AC501" i="17"/>
  <c r="AB501" i="17"/>
  <c r="AA501" i="17"/>
  <c r="Z501" i="17"/>
  <c r="Y501" i="17"/>
  <c r="X501" i="17"/>
  <c r="W501" i="17"/>
  <c r="V501" i="17"/>
  <c r="U501" i="17"/>
  <c r="T501" i="17"/>
  <c r="S501" i="17"/>
  <c r="R501" i="17"/>
  <c r="Q501" i="17"/>
  <c r="P501" i="17"/>
  <c r="O501" i="17"/>
  <c r="N501" i="17"/>
  <c r="M501" i="17"/>
  <c r="L501" i="17"/>
  <c r="K501" i="17"/>
  <c r="J501" i="17"/>
  <c r="I501" i="17"/>
  <c r="H501" i="17"/>
  <c r="G501" i="17"/>
  <c r="F501" i="17"/>
  <c r="E501" i="17"/>
  <c r="D501" i="17"/>
  <c r="C501" i="17"/>
  <c r="B501" i="17"/>
  <c r="A501" i="17"/>
  <c r="AM500" i="17"/>
  <c r="AL500" i="17"/>
  <c r="AK500" i="17"/>
  <c r="AJ500" i="17"/>
  <c r="AI500" i="17"/>
  <c r="AH500" i="17"/>
  <c r="AG500" i="17"/>
  <c r="AF500" i="17"/>
  <c r="AE500" i="17"/>
  <c r="AD500" i="17"/>
  <c r="AC500" i="17"/>
  <c r="AB500" i="17"/>
  <c r="AA500" i="17"/>
  <c r="Z500" i="17"/>
  <c r="Y500" i="17"/>
  <c r="X500" i="17"/>
  <c r="W500" i="17"/>
  <c r="V500" i="17"/>
  <c r="U500" i="17"/>
  <c r="T500" i="17"/>
  <c r="S500" i="17"/>
  <c r="R500" i="17"/>
  <c r="Q500" i="17"/>
  <c r="P500" i="17"/>
  <c r="O500" i="17"/>
  <c r="N500" i="17"/>
  <c r="M500" i="17"/>
  <c r="L500" i="17"/>
  <c r="K500" i="17"/>
  <c r="J500" i="17"/>
  <c r="I500" i="17"/>
  <c r="H500" i="17"/>
  <c r="G500" i="17"/>
  <c r="F500" i="17"/>
  <c r="E500" i="17"/>
  <c r="D500" i="17"/>
  <c r="C500" i="17"/>
  <c r="B500" i="17"/>
  <c r="A500" i="17"/>
  <c r="AM499" i="17"/>
  <c r="AL499" i="17"/>
  <c r="AK499" i="17"/>
  <c r="AJ499" i="17"/>
  <c r="AI499" i="17"/>
  <c r="AH499" i="17"/>
  <c r="AG499" i="17"/>
  <c r="AF499" i="17"/>
  <c r="AE499" i="17"/>
  <c r="AD499" i="17"/>
  <c r="AC499" i="17"/>
  <c r="AB499" i="17"/>
  <c r="AA499" i="17"/>
  <c r="Z499" i="17"/>
  <c r="Y499" i="17"/>
  <c r="X499" i="17"/>
  <c r="W499" i="17"/>
  <c r="V499" i="17"/>
  <c r="U499" i="17"/>
  <c r="T499" i="17"/>
  <c r="S499" i="17"/>
  <c r="R499" i="17"/>
  <c r="Q499" i="17"/>
  <c r="P499" i="17"/>
  <c r="O499" i="17"/>
  <c r="N499" i="17"/>
  <c r="M499" i="17"/>
  <c r="L499" i="17"/>
  <c r="K499" i="17"/>
  <c r="J499" i="17"/>
  <c r="I499" i="17"/>
  <c r="H499" i="17"/>
  <c r="G499" i="17"/>
  <c r="F499" i="17"/>
  <c r="E499" i="17"/>
  <c r="D499" i="17"/>
  <c r="C499" i="17"/>
  <c r="B499" i="17"/>
  <c r="A499" i="17"/>
  <c r="AM498" i="17"/>
  <c r="AL498" i="17"/>
  <c r="AK498" i="17"/>
  <c r="AJ498" i="17"/>
  <c r="AI498" i="17"/>
  <c r="AH498" i="17"/>
  <c r="AG498" i="17"/>
  <c r="AF498" i="17"/>
  <c r="AE498" i="17"/>
  <c r="AD498" i="17"/>
  <c r="AC498" i="17"/>
  <c r="AB498" i="17"/>
  <c r="AA498" i="17"/>
  <c r="Z498" i="17"/>
  <c r="Y498" i="17"/>
  <c r="X498" i="17"/>
  <c r="W498" i="17"/>
  <c r="V498" i="17"/>
  <c r="U498" i="17"/>
  <c r="T498" i="17"/>
  <c r="S498" i="17"/>
  <c r="R498" i="17"/>
  <c r="Q498" i="17"/>
  <c r="P498" i="17"/>
  <c r="O498" i="17"/>
  <c r="N498" i="17"/>
  <c r="M498" i="17"/>
  <c r="L498" i="17"/>
  <c r="K498" i="17"/>
  <c r="J498" i="17"/>
  <c r="I498" i="17"/>
  <c r="H498" i="17"/>
  <c r="G498" i="17"/>
  <c r="F498" i="17"/>
  <c r="E498" i="17"/>
  <c r="D498" i="17"/>
  <c r="C498" i="17"/>
  <c r="B498" i="17"/>
  <c r="A498" i="17"/>
  <c r="AM497" i="17"/>
  <c r="AL497" i="17"/>
  <c r="AK497" i="17"/>
  <c r="AJ497" i="17"/>
  <c r="AI497" i="17"/>
  <c r="AH497" i="17"/>
  <c r="AG497" i="17"/>
  <c r="AF497" i="17"/>
  <c r="AE497" i="17"/>
  <c r="AD497" i="17"/>
  <c r="AC497" i="17"/>
  <c r="AB497" i="17"/>
  <c r="AA497" i="17"/>
  <c r="Z497" i="17"/>
  <c r="Y497" i="17"/>
  <c r="X497" i="17"/>
  <c r="W497" i="17"/>
  <c r="V497" i="17"/>
  <c r="U497" i="17"/>
  <c r="T497" i="17"/>
  <c r="S497" i="17"/>
  <c r="R497" i="17"/>
  <c r="Q497" i="17"/>
  <c r="P497" i="17"/>
  <c r="O497" i="17"/>
  <c r="N497" i="17"/>
  <c r="M497" i="17"/>
  <c r="L497" i="17"/>
  <c r="K497" i="17"/>
  <c r="J497" i="17"/>
  <c r="I497" i="17"/>
  <c r="H497" i="17"/>
  <c r="G497" i="17"/>
  <c r="F497" i="17"/>
  <c r="E497" i="17"/>
  <c r="D497" i="17"/>
  <c r="C497" i="17"/>
  <c r="B497" i="17"/>
  <c r="A497" i="17"/>
  <c r="AM496" i="17"/>
  <c r="AL496" i="17"/>
  <c r="AK496" i="17"/>
  <c r="AJ496" i="17"/>
  <c r="AI496" i="17"/>
  <c r="AH496" i="17"/>
  <c r="AG496" i="17"/>
  <c r="AF496" i="17"/>
  <c r="AE496" i="17"/>
  <c r="AD496" i="17"/>
  <c r="AC496" i="17"/>
  <c r="AB496" i="17"/>
  <c r="AA496" i="17"/>
  <c r="Z496" i="17"/>
  <c r="Y496" i="17"/>
  <c r="X496" i="17"/>
  <c r="W496" i="17"/>
  <c r="V496" i="17"/>
  <c r="U496" i="17"/>
  <c r="T496" i="17"/>
  <c r="S496" i="17"/>
  <c r="R496" i="17"/>
  <c r="Q496" i="17"/>
  <c r="P496" i="17"/>
  <c r="O496" i="17"/>
  <c r="N496" i="17"/>
  <c r="M496" i="17"/>
  <c r="L496" i="17"/>
  <c r="K496" i="17"/>
  <c r="J496" i="17"/>
  <c r="I496" i="17"/>
  <c r="H496" i="17"/>
  <c r="G496" i="17"/>
  <c r="F496" i="17"/>
  <c r="E496" i="17"/>
  <c r="D496" i="17"/>
  <c r="C496" i="17"/>
  <c r="B496" i="17"/>
  <c r="A496" i="17"/>
  <c r="AM495" i="17"/>
  <c r="AL495" i="17"/>
  <c r="AK495" i="17"/>
  <c r="AJ495" i="17"/>
  <c r="AI495" i="17"/>
  <c r="AH495" i="17"/>
  <c r="AG495" i="17"/>
  <c r="AF495" i="17"/>
  <c r="AE495" i="17"/>
  <c r="AD495" i="17"/>
  <c r="AC495" i="17"/>
  <c r="AB495" i="17"/>
  <c r="AA495" i="17"/>
  <c r="Z495" i="17"/>
  <c r="Y495" i="17"/>
  <c r="X495" i="17"/>
  <c r="W495" i="17"/>
  <c r="V495" i="17"/>
  <c r="U495" i="17"/>
  <c r="T495" i="17"/>
  <c r="S495" i="17"/>
  <c r="R495" i="17"/>
  <c r="Q495" i="17"/>
  <c r="P495" i="17"/>
  <c r="O495" i="17"/>
  <c r="N495" i="17"/>
  <c r="M495" i="17"/>
  <c r="L495" i="17"/>
  <c r="K495" i="17"/>
  <c r="J495" i="17"/>
  <c r="I495" i="17"/>
  <c r="H495" i="17"/>
  <c r="G495" i="17"/>
  <c r="F495" i="17"/>
  <c r="E495" i="17"/>
  <c r="D495" i="17"/>
  <c r="C495" i="17"/>
  <c r="B495" i="17"/>
  <c r="A495" i="17"/>
  <c r="AM494" i="17"/>
  <c r="AL494" i="17"/>
  <c r="AK494" i="17"/>
  <c r="AJ494" i="17"/>
  <c r="AI494" i="17"/>
  <c r="AH494" i="17"/>
  <c r="AG494" i="17"/>
  <c r="AF494" i="17"/>
  <c r="AE494" i="17"/>
  <c r="AD494" i="17"/>
  <c r="AC494" i="17"/>
  <c r="AB494" i="17"/>
  <c r="AA494" i="17"/>
  <c r="Z494" i="17"/>
  <c r="Y494" i="17"/>
  <c r="X494" i="17"/>
  <c r="W494" i="17"/>
  <c r="V494" i="17"/>
  <c r="U494" i="17"/>
  <c r="T494" i="17"/>
  <c r="S494" i="17"/>
  <c r="R494" i="17"/>
  <c r="Q494" i="17"/>
  <c r="P494" i="17"/>
  <c r="O494" i="17"/>
  <c r="N494" i="17"/>
  <c r="M494" i="17"/>
  <c r="L494" i="17"/>
  <c r="K494" i="17"/>
  <c r="J494" i="17"/>
  <c r="I494" i="17"/>
  <c r="H494" i="17"/>
  <c r="G494" i="17"/>
  <c r="F494" i="17"/>
  <c r="E494" i="17"/>
  <c r="D494" i="17"/>
  <c r="C494" i="17"/>
  <c r="B494" i="17"/>
  <c r="A494" i="17"/>
  <c r="AM493" i="17"/>
  <c r="AL493" i="17"/>
  <c r="AK493" i="17"/>
  <c r="AJ493" i="17"/>
  <c r="AI493" i="17"/>
  <c r="AH493" i="17"/>
  <c r="AG493" i="17"/>
  <c r="AF493" i="17"/>
  <c r="AE493" i="17"/>
  <c r="AD493" i="17"/>
  <c r="AC493" i="17"/>
  <c r="AB493" i="17"/>
  <c r="AA493" i="17"/>
  <c r="Z493" i="17"/>
  <c r="Y493" i="17"/>
  <c r="X493" i="17"/>
  <c r="W493" i="17"/>
  <c r="V493" i="17"/>
  <c r="U493" i="17"/>
  <c r="T493" i="17"/>
  <c r="S493" i="17"/>
  <c r="R493" i="17"/>
  <c r="Q493" i="17"/>
  <c r="P493" i="17"/>
  <c r="O493" i="17"/>
  <c r="N493" i="17"/>
  <c r="M493" i="17"/>
  <c r="L493" i="17"/>
  <c r="K493" i="17"/>
  <c r="J493" i="17"/>
  <c r="I493" i="17"/>
  <c r="H493" i="17"/>
  <c r="G493" i="17"/>
  <c r="F493" i="17"/>
  <c r="E493" i="17"/>
  <c r="D493" i="17"/>
  <c r="C493" i="17"/>
  <c r="B493" i="17"/>
  <c r="A493" i="17"/>
  <c r="AM492" i="17"/>
  <c r="AL492" i="17"/>
  <c r="AK492" i="17"/>
  <c r="AJ492" i="17"/>
  <c r="AI492" i="17"/>
  <c r="AH492" i="17"/>
  <c r="AG492" i="17"/>
  <c r="AF492" i="17"/>
  <c r="AE492" i="17"/>
  <c r="AD492" i="17"/>
  <c r="AC492" i="17"/>
  <c r="AB492" i="17"/>
  <c r="AA492" i="17"/>
  <c r="Z492" i="17"/>
  <c r="Y492" i="17"/>
  <c r="X492" i="17"/>
  <c r="W492" i="17"/>
  <c r="V492" i="17"/>
  <c r="U492" i="17"/>
  <c r="T492" i="17"/>
  <c r="S492" i="17"/>
  <c r="R492" i="17"/>
  <c r="Q492" i="17"/>
  <c r="P492" i="17"/>
  <c r="O492" i="17"/>
  <c r="N492" i="17"/>
  <c r="M492" i="17"/>
  <c r="L492" i="17"/>
  <c r="K492" i="17"/>
  <c r="J492" i="17"/>
  <c r="I492" i="17"/>
  <c r="H492" i="17"/>
  <c r="G492" i="17"/>
  <c r="F492" i="17"/>
  <c r="E492" i="17"/>
  <c r="D492" i="17"/>
  <c r="C492" i="17"/>
  <c r="B492" i="17"/>
  <c r="A492" i="17"/>
  <c r="AM491" i="17"/>
  <c r="AL491" i="17"/>
  <c r="AK491" i="17"/>
  <c r="AJ491" i="17"/>
  <c r="AI491" i="17"/>
  <c r="AH491" i="17"/>
  <c r="AG491" i="17"/>
  <c r="AF491" i="17"/>
  <c r="AE491" i="17"/>
  <c r="AD491" i="17"/>
  <c r="AC491" i="17"/>
  <c r="AB491" i="17"/>
  <c r="AA491" i="17"/>
  <c r="Z491" i="17"/>
  <c r="Y491" i="17"/>
  <c r="X491" i="17"/>
  <c r="W491" i="17"/>
  <c r="V491" i="17"/>
  <c r="U491" i="17"/>
  <c r="T491" i="17"/>
  <c r="S491" i="17"/>
  <c r="R491" i="17"/>
  <c r="Q491" i="17"/>
  <c r="P491" i="17"/>
  <c r="O491" i="17"/>
  <c r="N491" i="17"/>
  <c r="M491" i="17"/>
  <c r="L491" i="17"/>
  <c r="K491" i="17"/>
  <c r="J491" i="17"/>
  <c r="I491" i="17"/>
  <c r="H491" i="17"/>
  <c r="G491" i="17"/>
  <c r="F491" i="17"/>
  <c r="E491" i="17"/>
  <c r="D491" i="17"/>
  <c r="C491" i="17"/>
  <c r="B491" i="17"/>
  <c r="A491" i="17"/>
  <c r="AM490" i="17"/>
  <c r="AL490" i="17"/>
  <c r="AK490" i="17"/>
  <c r="AJ490" i="17"/>
  <c r="AI490" i="17"/>
  <c r="AH490" i="17"/>
  <c r="AG490" i="17"/>
  <c r="AF490" i="17"/>
  <c r="AE490" i="17"/>
  <c r="AD490" i="17"/>
  <c r="AC490" i="17"/>
  <c r="AB490" i="17"/>
  <c r="AA490" i="17"/>
  <c r="Z490" i="17"/>
  <c r="Y490" i="17"/>
  <c r="X490" i="17"/>
  <c r="W490" i="17"/>
  <c r="V490" i="17"/>
  <c r="U490" i="17"/>
  <c r="T490" i="17"/>
  <c r="S490" i="17"/>
  <c r="R490" i="17"/>
  <c r="Q490" i="17"/>
  <c r="P490" i="17"/>
  <c r="O490" i="17"/>
  <c r="N490" i="17"/>
  <c r="M490" i="17"/>
  <c r="L490" i="17"/>
  <c r="K490" i="17"/>
  <c r="J490" i="17"/>
  <c r="I490" i="17"/>
  <c r="H490" i="17"/>
  <c r="G490" i="17"/>
  <c r="F490" i="17"/>
  <c r="E490" i="17"/>
  <c r="D490" i="17"/>
  <c r="C490" i="17"/>
  <c r="B490" i="17"/>
  <c r="A490" i="17"/>
  <c r="AM489" i="17"/>
  <c r="AL489" i="17"/>
  <c r="AK489" i="17"/>
  <c r="AJ489" i="17"/>
  <c r="AI489" i="17"/>
  <c r="AH489" i="17"/>
  <c r="AG489" i="17"/>
  <c r="AF489" i="17"/>
  <c r="AE489" i="17"/>
  <c r="AD489" i="17"/>
  <c r="AC489" i="17"/>
  <c r="AB489" i="17"/>
  <c r="AA489" i="17"/>
  <c r="Z489" i="17"/>
  <c r="Y489" i="17"/>
  <c r="X489" i="17"/>
  <c r="W489" i="17"/>
  <c r="V489" i="17"/>
  <c r="U489" i="17"/>
  <c r="T489" i="17"/>
  <c r="S489" i="17"/>
  <c r="R489" i="17"/>
  <c r="Q489" i="17"/>
  <c r="P489" i="17"/>
  <c r="O489" i="17"/>
  <c r="N489" i="17"/>
  <c r="M489" i="17"/>
  <c r="L489" i="17"/>
  <c r="K489" i="17"/>
  <c r="J489" i="17"/>
  <c r="I489" i="17"/>
  <c r="H489" i="17"/>
  <c r="G489" i="17"/>
  <c r="F489" i="17"/>
  <c r="E489" i="17"/>
  <c r="D489" i="17"/>
  <c r="C489" i="17"/>
  <c r="B489" i="17"/>
  <c r="A489" i="17"/>
  <c r="AM488" i="17"/>
  <c r="AL488" i="17"/>
  <c r="AK488" i="17"/>
  <c r="AJ488" i="17"/>
  <c r="AI488" i="17"/>
  <c r="AH488" i="17"/>
  <c r="AG488" i="17"/>
  <c r="AF488" i="17"/>
  <c r="AE488" i="17"/>
  <c r="AD488" i="17"/>
  <c r="AC488" i="17"/>
  <c r="AB488" i="17"/>
  <c r="AA488" i="17"/>
  <c r="Z488" i="17"/>
  <c r="Y488" i="17"/>
  <c r="X488" i="17"/>
  <c r="W488" i="17"/>
  <c r="V488" i="17"/>
  <c r="U488" i="17"/>
  <c r="T488" i="17"/>
  <c r="S488" i="17"/>
  <c r="R488" i="17"/>
  <c r="Q488" i="17"/>
  <c r="P488" i="17"/>
  <c r="O488" i="17"/>
  <c r="N488" i="17"/>
  <c r="M488" i="17"/>
  <c r="L488" i="17"/>
  <c r="K488" i="17"/>
  <c r="J488" i="17"/>
  <c r="I488" i="17"/>
  <c r="H488" i="17"/>
  <c r="G488" i="17"/>
  <c r="F488" i="17"/>
  <c r="E488" i="17"/>
  <c r="D488" i="17"/>
  <c r="C488" i="17"/>
  <c r="B488" i="17"/>
  <c r="A488" i="17"/>
  <c r="AM487" i="17"/>
  <c r="AL487" i="17"/>
  <c r="AK487" i="17"/>
  <c r="AJ487" i="17"/>
  <c r="AI487" i="17"/>
  <c r="AH487" i="17"/>
  <c r="AG487" i="17"/>
  <c r="AF487" i="17"/>
  <c r="AE487" i="17"/>
  <c r="AD487" i="17"/>
  <c r="AC487" i="17"/>
  <c r="AB487" i="17"/>
  <c r="AA487" i="17"/>
  <c r="Z487" i="17"/>
  <c r="Y487" i="17"/>
  <c r="X487" i="17"/>
  <c r="W487" i="17"/>
  <c r="V487" i="17"/>
  <c r="U487" i="17"/>
  <c r="T487" i="17"/>
  <c r="S487" i="17"/>
  <c r="R487" i="17"/>
  <c r="Q487" i="17"/>
  <c r="P487" i="17"/>
  <c r="O487" i="17"/>
  <c r="N487" i="17"/>
  <c r="M487" i="17"/>
  <c r="L487" i="17"/>
  <c r="K487" i="17"/>
  <c r="J487" i="17"/>
  <c r="I487" i="17"/>
  <c r="H487" i="17"/>
  <c r="G487" i="17"/>
  <c r="F487" i="17"/>
  <c r="E487" i="17"/>
  <c r="D487" i="17"/>
  <c r="C487" i="17"/>
  <c r="B487" i="17"/>
  <c r="A487" i="17"/>
  <c r="AM486" i="17"/>
  <c r="AL486" i="17"/>
  <c r="AK486" i="17"/>
  <c r="AJ486" i="17"/>
  <c r="AI486" i="17"/>
  <c r="AH486" i="17"/>
  <c r="AG486" i="17"/>
  <c r="AF486" i="17"/>
  <c r="AE486" i="17"/>
  <c r="AD486" i="17"/>
  <c r="AC486" i="17"/>
  <c r="AB486" i="17"/>
  <c r="AA486" i="17"/>
  <c r="Z486" i="17"/>
  <c r="Y486" i="17"/>
  <c r="X486" i="17"/>
  <c r="W486" i="17"/>
  <c r="V486" i="17"/>
  <c r="U486" i="17"/>
  <c r="T486" i="17"/>
  <c r="S486" i="17"/>
  <c r="R486" i="17"/>
  <c r="Q486" i="17"/>
  <c r="P486" i="17"/>
  <c r="O486" i="17"/>
  <c r="N486" i="17"/>
  <c r="M486" i="17"/>
  <c r="L486" i="17"/>
  <c r="K486" i="17"/>
  <c r="J486" i="17"/>
  <c r="I486" i="17"/>
  <c r="H486" i="17"/>
  <c r="G486" i="17"/>
  <c r="F486" i="17"/>
  <c r="E486" i="17"/>
  <c r="D486" i="17"/>
  <c r="C486" i="17"/>
  <c r="B486" i="17"/>
  <c r="A486" i="17"/>
  <c r="AM485" i="17"/>
  <c r="AL485" i="17"/>
  <c r="AK485" i="17"/>
  <c r="AJ485" i="17"/>
  <c r="AI485" i="17"/>
  <c r="AH485" i="17"/>
  <c r="AG485" i="17"/>
  <c r="AF485" i="17"/>
  <c r="AE485" i="17"/>
  <c r="AD485" i="17"/>
  <c r="AC485" i="17"/>
  <c r="AB485" i="17"/>
  <c r="AA485" i="17"/>
  <c r="Z485" i="17"/>
  <c r="Y485" i="17"/>
  <c r="X485" i="17"/>
  <c r="W485" i="17"/>
  <c r="V485" i="17"/>
  <c r="U485" i="17"/>
  <c r="T485" i="17"/>
  <c r="S485" i="17"/>
  <c r="R485" i="17"/>
  <c r="Q485" i="17"/>
  <c r="P485" i="17"/>
  <c r="O485" i="17"/>
  <c r="N485" i="17"/>
  <c r="M485" i="17"/>
  <c r="L485" i="17"/>
  <c r="K485" i="17"/>
  <c r="J485" i="17"/>
  <c r="I485" i="17"/>
  <c r="H485" i="17"/>
  <c r="G485" i="17"/>
  <c r="F485" i="17"/>
  <c r="E485" i="17"/>
  <c r="D485" i="17"/>
  <c r="C485" i="17"/>
  <c r="B485" i="17"/>
  <c r="A485" i="17"/>
  <c r="AM484" i="17"/>
  <c r="AL484" i="17"/>
  <c r="AK484" i="17"/>
  <c r="AJ484" i="17"/>
  <c r="AI484" i="17"/>
  <c r="AH484" i="17"/>
  <c r="AG484" i="17"/>
  <c r="AF484" i="17"/>
  <c r="AE484" i="17"/>
  <c r="AD484" i="17"/>
  <c r="AC484" i="17"/>
  <c r="AB484" i="17"/>
  <c r="AA484" i="17"/>
  <c r="Z484" i="17"/>
  <c r="Y484" i="17"/>
  <c r="X484" i="17"/>
  <c r="W484" i="17"/>
  <c r="V484" i="17"/>
  <c r="U484" i="17"/>
  <c r="T484" i="17"/>
  <c r="S484" i="17"/>
  <c r="R484" i="17"/>
  <c r="Q484" i="17"/>
  <c r="P484" i="17"/>
  <c r="O484" i="17"/>
  <c r="N484" i="17"/>
  <c r="M484" i="17"/>
  <c r="L484" i="17"/>
  <c r="K484" i="17"/>
  <c r="J484" i="17"/>
  <c r="I484" i="17"/>
  <c r="H484" i="17"/>
  <c r="G484" i="17"/>
  <c r="F484" i="17"/>
  <c r="E484" i="17"/>
  <c r="D484" i="17"/>
  <c r="C484" i="17"/>
  <c r="B484" i="17"/>
  <c r="A484" i="17"/>
  <c r="AM483" i="17"/>
  <c r="AL483" i="17"/>
  <c r="AK483" i="17"/>
  <c r="AJ483" i="17"/>
  <c r="AI483" i="17"/>
  <c r="AH483" i="17"/>
  <c r="AG483" i="17"/>
  <c r="AF483" i="17"/>
  <c r="AE483" i="17"/>
  <c r="AD483" i="17"/>
  <c r="AC483" i="17"/>
  <c r="AB483" i="17"/>
  <c r="AA483" i="17"/>
  <c r="Z483" i="17"/>
  <c r="Y483" i="17"/>
  <c r="X483" i="17"/>
  <c r="W483" i="17"/>
  <c r="V483" i="17"/>
  <c r="U483" i="17"/>
  <c r="T483" i="17"/>
  <c r="S483" i="17"/>
  <c r="R483" i="17"/>
  <c r="Q483" i="17"/>
  <c r="P483" i="17"/>
  <c r="O483" i="17"/>
  <c r="N483" i="17"/>
  <c r="M483" i="17"/>
  <c r="L483" i="17"/>
  <c r="K483" i="17"/>
  <c r="J483" i="17"/>
  <c r="I483" i="17"/>
  <c r="H483" i="17"/>
  <c r="G483" i="17"/>
  <c r="F483" i="17"/>
  <c r="E483" i="17"/>
  <c r="D483" i="17"/>
  <c r="C483" i="17"/>
  <c r="B483" i="17"/>
  <c r="A483" i="17"/>
  <c r="AM482" i="17"/>
  <c r="AL482" i="17"/>
  <c r="AK482" i="17"/>
  <c r="AJ482" i="17"/>
  <c r="AI482" i="17"/>
  <c r="AH482" i="17"/>
  <c r="AG482" i="17"/>
  <c r="AF482" i="17"/>
  <c r="AE482" i="17"/>
  <c r="AD482" i="17"/>
  <c r="AC482" i="17"/>
  <c r="AB482" i="17"/>
  <c r="AA482" i="17"/>
  <c r="Z482" i="17"/>
  <c r="Y482" i="17"/>
  <c r="X482" i="17"/>
  <c r="W482" i="17"/>
  <c r="V482" i="17"/>
  <c r="U482" i="17"/>
  <c r="T482" i="17"/>
  <c r="S482" i="17"/>
  <c r="R482" i="17"/>
  <c r="Q482" i="17"/>
  <c r="P482" i="17"/>
  <c r="O482" i="17"/>
  <c r="N482" i="17"/>
  <c r="M482" i="17"/>
  <c r="L482" i="17"/>
  <c r="K482" i="17"/>
  <c r="J482" i="17"/>
  <c r="I482" i="17"/>
  <c r="H482" i="17"/>
  <c r="G482" i="17"/>
  <c r="F482" i="17"/>
  <c r="E482" i="17"/>
  <c r="D482" i="17"/>
  <c r="C482" i="17"/>
  <c r="B482" i="17"/>
  <c r="A482" i="17"/>
  <c r="AM481" i="17"/>
  <c r="AL481" i="17"/>
  <c r="AK481" i="17"/>
  <c r="AJ481" i="17"/>
  <c r="AI481" i="17"/>
  <c r="AH481" i="17"/>
  <c r="AG481" i="17"/>
  <c r="AF481" i="17"/>
  <c r="AE481" i="17"/>
  <c r="AD481" i="17"/>
  <c r="AC481" i="17"/>
  <c r="AB481" i="17"/>
  <c r="AA481" i="17"/>
  <c r="Z481" i="17"/>
  <c r="Y481" i="17"/>
  <c r="X481" i="17"/>
  <c r="W481" i="17"/>
  <c r="V481" i="17"/>
  <c r="U481" i="17"/>
  <c r="T481" i="17"/>
  <c r="S481" i="17"/>
  <c r="R481" i="17"/>
  <c r="Q481" i="17"/>
  <c r="P481" i="17"/>
  <c r="O481" i="17"/>
  <c r="N481" i="17"/>
  <c r="M481" i="17"/>
  <c r="L481" i="17"/>
  <c r="K481" i="17"/>
  <c r="J481" i="17"/>
  <c r="I481" i="17"/>
  <c r="H481" i="17"/>
  <c r="G481" i="17"/>
  <c r="F481" i="17"/>
  <c r="E481" i="17"/>
  <c r="D481" i="17"/>
  <c r="C481" i="17"/>
  <c r="B481" i="17"/>
  <c r="A481" i="17"/>
  <c r="AM480" i="17"/>
  <c r="AL480" i="17"/>
  <c r="AK480" i="17"/>
  <c r="AJ480" i="17"/>
  <c r="AI480" i="17"/>
  <c r="AH480" i="17"/>
  <c r="AG480" i="17"/>
  <c r="AF480" i="17"/>
  <c r="AE480" i="17"/>
  <c r="AD480" i="17"/>
  <c r="AC480" i="17"/>
  <c r="AB480" i="17"/>
  <c r="AA480" i="17"/>
  <c r="Z480" i="17"/>
  <c r="Y480" i="17"/>
  <c r="X480" i="17"/>
  <c r="W480" i="17"/>
  <c r="V480" i="17"/>
  <c r="U480" i="17"/>
  <c r="T480" i="17"/>
  <c r="S480" i="17"/>
  <c r="R480" i="17"/>
  <c r="Q480" i="17"/>
  <c r="P480" i="17"/>
  <c r="O480" i="17"/>
  <c r="N480" i="17"/>
  <c r="M480" i="17"/>
  <c r="L480" i="17"/>
  <c r="K480" i="17"/>
  <c r="J480" i="17"/>
  <c r="I480" i="17"/>
  <c r="H480" i="17"/>
  <c r="G480" i="17"/>
  <c r="F480" i="17"/>
  <c r="E480" i="17"/>
  <c r="D480" i="17"/>
  <c r="C480" i="17"/>
  <c r="B480" i="17"/>
  <c r="A480" i="17"/>
  <c r="AM479" i="17"/>
  <c r="AL479" i="17"/>
  <c r="AK479" i="17"/>
  <c r="AJ479" i="17"/>
  <c r="AI479" i="17"/>
  <c r="AH479" i="17"/>
  <c r="AG479" i="17"/>
  <c r="AF479" i="17"/>
  <c r="AE479" i="17"/>
  <c r="AD479" i="17"/>
  <c r="AC479" i="17"/>
  <c r="AB479" i="17"/>
  <c r="AA479" i="17"/>
  <c r="Z479" i="17"/>
  <c r="Y479" i="17"/>
  <c r="X479" i="17"/>
  <c r="W479" i="17"/>
  <c r="V479" i="17"/>
  <c r="U479" i="17"/>
  <c r="T479" i="17"/>
  <c r="S479" i="17"/>
  <c r="R479" i="17"/>
  <c r="Q479" i="17"/>
  <c r="P479" i="17"/>
  <c r="O479" i="17"/>
  <c r="N479" i="17"/>
  <c r="M479" i="17"/>
  <c r="L479" i="17"/>
  <c r="K479" i="17"/>
  <c r="J479" i="17"/>
  <c r="I479" i="17"/>
  <c r="H479" i="17"/>
  <c r="G479" i="17"/>
  <c r="F479" i="17"/>
  <c r="E479" i="17"/>
  <c r="D479" i="17"/>
  <c r="C479" i="17"/>
  <c r="B479" i="17"/>
  <c r="A479" i="17"/>
  <c r="AM478" i="17"/>
  <c r="AL478" i="17"/>
  <c r="AK478" i="17"/>
  <c r="AJ478" i="17"/>
  <c r="AI478" i="17"/>
  <c r="AH478" i="17"/>
  <c r="AG478" i="17"/>
  <c r="AF478" i="17"/>
  <c r="AE478" i="17"/>
  <c r="AD478" i="17"/>
  <c r="AC478" i="17"/>
  <c r="AB478" i="17"/>
  <c r="AA478" i="17"/>
  <c r="Z478" i="17"/>
  <c r="Y478" i="17"/>
  <c r="X478" i="17"/>
  <c r="W478" i="17"/>
  <c r="V478" i="17"/>
  <c r="U478" i="17"/>
  <c r="T478" i="17"/>
  <c r="S478" i="17"/>
  <c r="R478" i="17"/>
  <c r="Q478" i="17"/>
  <c r="P478" i="17"/>
  <c r="O478" i="17"/>
  <c r="N478" i="17"/>
  <c r="M478" i="17"/>
  <c r="L478" i="17"/>
  <c r="K478" i="17"/>
  <c r="J478" i="17"/>
  <c r="I478" i="17"/>
  <c r="H478" i="17"/>
  <c r="G478" i="17"/>
  <c r="F478" i="17"/>
  <c r="E478" i="17"/>
  <c r="D478" i="17"/>
  <c r="C478" i="17"/>
  <c r="B478" i="17"/>
  <c r="A478" i="17"/>
  <c r="AM477" i="17"/>
  <c r="AL477" i="17"/>
  <c r="AK477" i="17"/>
  <c r="AJ477" i="17"/>
  <c r="AI477" i="17"/>
  <c r="AH477" i="17"/>
  <c r="AG477" i="17"/>
  <c r="AF477" i="17"/>
  <c r="AE477" i="17"/>
  <c r="AD477" i="17"/>
  <c r="AC477" i="17"/>
  <c r="AB477" i="17"/>
  <c r="AA477" i="17"/>
  <c r="Z477" i="17"/>
  <c r="Y477" i="17"/>
  <c r="X477" i="17"/>
  <c r="W477" i="17"/>
  <c r="V477" i="17"/>
  <c r="U477" i="17"/>
  <c r="T477" i="17"/>
  <c r="S477" i="17"/>
  <c r="R477" i="17"/>
  <c r="Q477" i="17"/>
  <c r="P477" i="17"/>
  <c r="O477" i="17"/>
  <c r="N477" i="17"/>
  <c r="M477" i="17"/>
  <c r="L477" i="17"/>
  <c r="K477" i="17"/>
  <c r="J477" i="17"/>
  <c r="I477" i="17"/>
  <c r="H477" i="17"/>
  <c r="G477" i="17"/>
  <c r="F477" i="17"/>
  <c r="E477" i="17"/>
  <c r="D477" i="17"/>
  <c r="C477" i="17"/>
  <c r="B477" i="17"/>
  <c r="A477" i="17"/>
  <c r="AM476" i="17"/>
  <c r="AL476" i="17"/>
  <c r="AK476" i="17"/>
  <c r="AJ476" i="17"/>
  <c r="AI476" i="17"/>
  <c r="AH476" i="17"/>
  <c r="AG476" i="17"/>
  <c r="AF476" i="17"/>
  <c r="AE476" i="17"/>
  <c r="AD476" i="17"/>
  <c r="AC476" i="17"/>
  <c r="AB476" i="17"/>
  <c r="AA476" i="17"/>
  <c r="Z476" i="17"/>
  <c r="Y476" i="17"/>
  <c r="X476" i="17"/>
  <c r="W476" i="17"/>
  <c r="V476" i="17"/>
  <c r="U476" i="17"/>
  <c r="T476" i="17"/>
  <c r="S476" i="17"/>
  <c r="R476" i="17"/>
  <c r="Q476" i="17"/>
  <c r="P476" i="17"/>
  <c r="O476" i="17"/>
  <c r="N476" i="17"/>
  <c r="M476" i="17"/>
  <c r="L476" i="17"/>
  <c r="K476" i="17"/>
  <c r="J476" i="17"/>
  <c r="I476" i="17"/>
  <c r="H476" i="17"/>
  <c r="G476" i="17"/>
  <c r="F476" i="17"/>
  <c r="E476" i="17"/>
  <c r="D476" i="17"/>
  <c r="C476" i="17"/>
  <c r="B476" i="17"/>
  <c r="A476" i="17"/>
  <c r="AM475" i="17"/>
  <c r="AL475" i="17"/>
  <c r="AK475" i="17"/>
  <c r="AJ475" i="17"/>
  <c r="AI475" i="17"/>
  <c r="AH475" i="17"/>
  <c r="AG475" i="17"/>
  <c r="AF475" i="17"/>
  <c r="AE475" i="17"/>
  <c r="AD475" i="17"/>
  <c r="AC475" i="17"/>
  <c r="AB475" i="17"/>
  <c r="AA475" i="17"/>
  <c r="Z475" i="17"/>
  <c r="Y475" i="17"/>
  <c r="X475" i="17"/>
  <c r="W475" i="17"/>
  <c r="V475" i="17"/>
  <c r="U475" i="17"/>
  <c r="T475" i="17"/>
  <c r="S475" i="17"/>
  <c r="R475" i="17"/>
  <c r="Q475" i="17"/>
  <c r="P475" i="17"/>
  <c r="O475" i="17"/>
  <c r="N475" i="17"/>
  <c r="M475" i="17"/>
  <c r="L475" i="17"/>
  <c r="K475" i="17"/>
  <c r="J475" i="17"/>
  <c r="I475" i="17"/>
  <c r="H475" i="17"/>
  <c r="G475" i="17"/>
  <c r="F475" i="17"/>
  <c r="E475" i="17"/>
  <c r="D475" i="17"/>
  <c r="C475" i="17"/>
  <c r="B475" i="17"/>
  <c r="A475" i="17"/>
  <c r="AM474" i="17"/>
  <c r="AL474" i="17"/>
  <c r="AK474" i="17"/>
  <c r="AJ474" i="17"/>
  <c r="AI474" i="17"/>
  <c r="AH474" i="17"/>
  <c r="AG474" i="17"/>
  <c r="AF474" i="17"/>
  <c r="AE474" i="17"/>
  <c r="AD474" i="17"/>
  <c r="AC474" i="17"/>
  <c r="AB474" i="17"/>
  <c r="AA474" i="17"/>
  <c r="Z474" i="17"/>
  <c r="Y474" i="17"/>
  <c r="X474" i="17"/>
  <c r="W474" i="17"/>
  <c r="V474" i="17"/>
  <c r="U474" i="17"/>
  <c r="T474" i="17"/>
  <c r="S474" i="17"/>
  <c r="R474" i="17"/>
  <c r="Q474" i="17"/>
  <c r="P474" i="17"/>
  <c r="O474" i="17"/>
  <c r="N474" i="17"/>
  <c r="M474" i="17"/>
  <c r="L474" i="17"/>
  <c r="K474" i="17"/>
  <c r="J474" i="17"/>
  <c r="I474" i="17"/>
  <c r="H474" i="17"/>
  <c r="G474" i="17"/>
  <c r="F474" i="17"/>
  <c r="E474" i="17"/>
  <c r="D474" i="17"/>
  <c r="C474" i="17"/>
  <c r="B474" i="17"/>
  <c r="A474" i="17"/>
  <c r="AM473" i="17"/>
  <c r="AL473" i="17"/>
  <c r="AK473" i="17"/>
  <c r="AJ473" i="17"/>
  <c r="AI473" i="17"/>
  <c r="AH473" i="17"/>
  <c r="AG473" i="17"/>
  <c r="AF473" i="17"/>
  <c r="AE473" i="17"/>
  <c r="AD473" i="17"/>
  <c r="AC473" i="17"/>
  <c r="AB473" i="17"/>
  <c r="AA473" i="17"/>
  <c r="Z473" i="17"/>
  <c r="Y473" i="17"/>
  <c r="X473" i="17"/>
  <c r="W473" i="17"/>
  <c r="V473" i="17"/>
  <c r="U473" i="17"/>
  <c r="T473" i="17"/>
  <c r="S473" i="17"/>
  <c r="R473" i="17"/>
  <c r="Q473" i="17"/>
  <c r="P473" i="17"/>
  <c r="O473" i="17"/>
  <c r="N473" i="17"/>
  <c r="M473" i="17"/>
  <c r="L473" i="17"/>
  <c r="K473" i="17"/>
  <c r="J473" i="17"/>
  <c r="I473" i="17"/>
  <c r="H473" i="17"/>
  <c r="G473" i="17"/>
  <c r="F473" i="17"/>
  <c r="E473" i="17"/>
  <c r="D473" i="17"/>
  <c r="C473" i="17"/>
  <c r="B473" i="17"/>
  <c r="A473" i="17"/>
  <c r="AM472" i="17"/>
  <c r="AL472" i="17"/>
  <c r="AK472" i="17"/>
  <c r="AJ472" i="17"/>
  <c r="AI472" i="17"/>
  <c r="AH472" i="17"/>
  <c r="AG472" i="17"/>
  <c r="AF472" i="17"/>
  <c r="AE472" i="17"/>
  <c r="AD472" i="17"/>
  <c r="AC472" i="17"/>
  <c r="AB472" i="17"/>
  <c r="AA472" i="17"/>
  <c r="Z472" i="17"/>
  <c r="Y472" i="17"/>
  <c r="X472" i="17"/>
  <c r="W472" i="17"/>
  <c r="V472" i="17"/>
  <c r="U472" i="17"/>
  <c r="T472" i="17"/>
  <c r="S472" i="17"/>
  <c r="R472" i="17"/>
  <c r="Q472" i="17"/>
  <c r="P472" i="17"/>
  <c r="O472" i="17"/>
  <c r="N472" i="17"/>
  <c r="M472" i="17"/>
  <c r="L472" i="17"/>
  <c r="K472" i="17"/>
  <c r="J472" i="17"/>
  <c r="I472" i="17"/>
  <c r="H472" i="17"/>
  <c r="G472" i="17"/>
  <c r="F472" i="17"/>
  <c r="E472" i="17"/>
  <c r="D472" i="17"/>
  <c r="C472" i="17"/>
  <c r="B472" i="17"/>
  <c r="A472" i="17"/>
  <c r="AM471" i="17"/>
  <c r="AL471" i="17"/>
  <c r="AK471" i="17"/>
  <c r="AJ471" i="17"/>
  <c r="AI471" i="17"/>
  <c r="AH471" i="17"/>
  <c r="AG471" i="17"/>
  <c r="AF471" i="17"/>
  <c r="AE471" i="17"/>
  <c r="AD471" i="17"/>
  <c r="AC471" i="17"/>
  <c r="AB471" i="17"/>
  <c r="AA471" i="17"/>
  <c r="Z471" i="17"/>
  <c r="Y471" i="17"/>
  <c r="X471" i="17"/>
  <c r="W471" i="17"/>
  <c r="V471" i="17"/>
  <c r="U471" i="17"/>
  <c r="T471" i="17"/>
  <c r="S471" i="17"/>
  <c r="R471" i="17"/>
  <c r="Q471" i="17"/>
  <c r="P471" i="17"/>
  <c r="O471" i="17"/>
  <c r="N471" i="17"/>
  <c r="M471" i="17"/>
  <c r="L471" i="17"/>
  <c r="K471" i="17"/>
  <c r="J471" i="17"/>
  <c r="I471" i="17"/>
  <c r="H471" i="17"/>
  <c r="G471" i="17"/>
  <c r="F471" i="17"/>
  <c r="E471" i="17"/>
  <c r="D471" i="17"/>
  <c r="C471" i="17"/>
  <c r="B471" i="17"/>
  <c r="A471" i="17"/>
  <c r="AM470" i="17"/>
  <c r="AL470" i="17"/>
  <c r="AK470" i="17"/>
  <c r="AJ470" i="17"/>
  <c r="AI470" i="17"/>
  <c r="AH470" i="17"/>
  <c r="AG470" i="17"/>
  <c r="AF470" i="17"/>
  <c r="AE470" i="17"/>
  <c r="AD470" i="17"/>
  <c r="AC470" i="17"/>
  <c r="AB470" i="17"/>
  <c r="AA470" i="17"/>
  <c r="Z470" i="17"/>
  <c r="Y470" i="17"/>
  <c r="X470" i="17"/>
  <c r="W470" i="17"/>
  <c r="V470" i="17"/>
  <c r="U470" i="17"/>
  <c r="T470" i="17"/>
  <c r="S470" i="17"/>
  <c r="R470" i="17"/>
  <c r="Q470" i="17"/>
  <c r="P470" i="17"/>
  <c r="O470" i="17"/>
  <c r="N470" i="17"/>
  <c r="M470" i="17"/>
  <c r="L470" i="17"/>
  <c r="K470" i="17"/>
  <c r="J470" i="17"/>
  <c r="I470" i="17"/>
  <c r="H470" i="17"/>
  <c r="G470" i="17"/>
  <c r="F470" i="17"/>
  <c r="E470" i="17"/>
  <c r="D470" i="17"/>
  <c r="C470" i="17"/>
  <c r="B470" i="17"/>
  <c r="A470" i="17"/>
  <c r="AM469" i="17"/>
  <c r="AL469" i="17"/>
  <c r="AK469" i="17"/>
  <c r="AJ469" i="17"/>
  <c r="AI469" i="17"/>
  <c r="AH469" i="17"/>
  <c r="AG469" i="17"/>
  <c r="AF469" i="17"/>
  <c r="AE469" i="17"/>
  <c r="AD469" i="17"/>
  <c r="AC469" i="17"/>
  <c r="AB469" i="17"/>
  <c r="AA469" i="17"/>
  <c r="Z469" i="17"/>
  <c r="Y469" i="17"/>
  <c r="X469" i="17"/>
  <c r="W469" i="17"/>
  <c r="V469" i="17"/>
  <c r="U469" i="17"/>
  <c r="T469" i="17"/>
  <c r="S469" i="17"/>
  <c r="R469" i="17"/>
  <c r="Q469" i="17"/>
  <c r="P469" i="17"/>
  <c r="O469" i="17"/>
  <c r="N469" i="17"/>
  <c r="M469" i="17"/>
  <c r="L469" i="17"/>
  <c r="K469" i="17"/>
  <c r="J469" i="17"/>
  <c r="I469" i="17"/>
  <c r="H469" i="17"/>
  <c r="G469" i="17"/>
  <c r="F469" i="17"/>
  <c r="E469" i="17"/>
  <c r="D469" i="17"/>
  <c r="C469" i="17"/>
  <c r="B469" i="17"/>
  <c r="A469" i="17"/>
  <c r="AM468" i="17"/>
  <c r="AL468" i="17"/>
  <c r="AK468" i="17"/>
  <c r="AJ468" i="17"/>
  <c r="AI468" i="17"/>
  <c r="AH468" i="17"/>
  <c r="AG468" i="17"/>
  <c r="AF468" i="17"/>
  <c r="AE468" i="17"/>
  <c r="AD468" i="17"/>
  <c r="AC468" i="17"/>
  <c r="AB468" i="17"/>
  <c r="AA468" i="17"/>
  <c r="Z468" i="17"/>
  <c r="Y468" i="17"/>
  <c r="X468" i="17"/>
  <c r="W468" i="17"/>
  <c r="V468" i="17"/>
  <c r="U468" i="17"/>
  <c r="T468" i="17"/>
  <c r="S468" i="17"/>
  <c r="R468" i="17"/>
  <c r="Q468" i="17"/>
  <c r="P468" i="17"/>
  <c r="O468" i="17"/>
  <c r="N468" i="17"/>
  <c r="M468" i="17"/>
  <c r="L468" i="17"/>
  <c r="K468" i="17"/>
  <c r="J468" i="17"/>
  <c r="I468" i="17"/>
  <c r="H468" i="17"/>
  <c r="G468" i="17"/>
  <c r="F468" i="17"/>
  <c r="E468" i="17"/>
  <c r="D468" i="17"/>
  <c r="C468" i="17"/>
  <c r="B468" i="17"/>
  <c r="A468" i="17"/>
  <c r="AM467" i="17"/>
  <c r="AL467" i="17"/>
  <c r="AK467" i="17"/>
  <c r="AJ467" i="17"/>
  <c r="AI467" i="17"/>
  <c r="AH467" i="17"/>
  <c r="AG467" i="17"/>
  <c r="AF467" i="17"/>
  <c r="AE467" i="17"/>
  <c r="AD467" i="17"/>
  <c r="AC467" i="17"/>
  <c r="AB467" i="17"/>
  <c r="AA467" i="17"/>
  <c r="Z467" i="17"/>
  <c r="Y467" i="17"/>
  <c r="X467" i="17"/>
  <c r="W467" i="17"/>
  <c r="V467" i="17"/>
  <c r="U467" i="17"/>
  <c r="T467" i="17"/>
  <c r="S467" i="17"/>
  <c r="R467" i="17"/>
  <c r="Q467" i="17"/>
  <c r="P467" i="17"/>
  <c r="O467" i="17"/>
  <c r="N467" i="17"/>
  <c r="M467" i="17"/>
  <c r="L467" i="17"/>
  <c r="K467" i="17"/>
  <c r="J467" i="17"/>
  <c r="I467" i="17"/>
  <c r="H467" i="17"/>
  <c r="G467" i="17"/>
  <c r="F467" i="17"/>
  <c r="E467" i="17"/>
  <c r="D467" i="17"/>
  <c r="C467" i="17"/>
  <c r="B467" i="17"/>
  <c r="A467" i="17"/>
  <c r="AM466" i="17"/>
  <c r="AL466" i="17"/>
  <c r="AK466" i="17"/>
  <c r="AJ466" i="17"/>
  <c r="AI466" i="17"/>
  <c r="AH466" i="17"/>
  <c r="AG466" i="17"/>
  <c r="AF466" i="17"/>
  <c r="AE466" i="17"/>
  <c r="AD466" i="17"/>
  <c r="AC466" i="17"/>
  <c r="AB466" i="17"/>
  <c r="AA466" i="17"/>
  <c r="Z466" i="17"/>
  <c r="Y466" i="17"/>
  <c r="X466" i="17"/>
  <c r="W466" i="17"/>
  <c r="V466" i="17"/>
  <c r="U466" i="17"/>
  <c r="T466" i="17"/>
  <c r="S466" i="17"/>
  <c r="R466" i="17"/>
  <c r="Q466" i="17"/>
  <c r="P466" i="17"/>
  <c r="O466" i="17"/>
  <c r="N466" i="17"/>
  <c r="M466" i="17"/>
  <c r="L466" i="17"/>
  <c r="K466" i="17"/>
  <c r="J466" i="17"/>
  <c r="I466" i="17"/>
  <c r="H466" i="17"/>
  <c r="G466" i="17"/>
  <c r="F466" i="17"/>
  <c r="E466" i="17"/>
  <c r="D466" i="17"/>
  <c r="C466" i="17"/>
  <c r="B466" i="17"/>
  <c r="A466" i="17"/>
  <c r="AM465" i="17"/>
  <c r="AL465" i="17"/>
  <c r="AK465" i="17"/>
  <c r="AJ465" i="17"/>
  <c r="AI465" i="17"/>
  <c r="AH465" i="17"/>
  <c r="AG465" i="17"/>
  <c r="AF465" i="17"/>
  <c r="AE465" i="17"/>
  <c r="AD465" i="17"/>
  <c r="AC465" i="17"/>
  <c r="AB465" i="17"/>
  <c r="AA465" i="17"/>
  <c r="Z465" i="17"/>
  <c r="Y465" i="17"/>
  <c r="X465" i="17"/>
  <c r="W465" i="17"/>
  <c r="V465" i="17"/>
  <c r="U465" i="17"/>
  <c r="T465" i="17"/>
  <c r="S465" i="17"/>
  <c r="R465" i="17"/>
  <c r="Q465" i="17"/>
  <c r="P465" i="17"/>
  <c r="O465" i="17"/>
  <c r="N465" i="17"/>
  <c r="M465" i="17"/>
  <c r="L465" i="17"/>
  <c r="K465" i="17"/>
  <c r="J465" i="17"/>
  <c r="I465" i="17"/>
  <c r="H465" i="17"/>
  <c r="G465" i="17"/>
  <c r="F465" i="17"/>
  <c r="E465" i="17"/>
  <c r="D465" i="17"/>
  <c r="C465" i="17"/>
  <c r="B465" i="17"/>
  <c r="A465" i="17"/>
  <c r="AM464" i="17"/>
  <c r="AL464" i="17"/>
  <c r="AK464" i="17"/>
  <c r="AJ464" i="17"/>
  <c r="AI464" i="17"/>
  <c r="AH464" i="17"/>
  <c r="AG464" i="17"/>
  <c r="AF464" i="17"/>
  <c r="AE464" i="17"/>
  <c r="AD464" i="17"/>
  <c r="AC464" i="17"/>
  <c r="AB464" i="17"/>
  <c r="AA464" i="17"/>
  <c r="Z464" i="17"/>
  <c r="Y464" i="17"/>
  <c r="X464" i="17"/>
  <c r="W464" i="17"/>
  <c r="V464" i="17"/>
  <c r="U464" i="17"/>
  <c r="T464" i="17"/>
  <c r="S464" i="17"/>
  <c r="R464" i="17"/>
  <c r="Q464" i="17"/>
  <c r="P464" i="17"/>
  <c r="O464" i="17"/>
  <c r="N464" i="17"/>
  <c r="M464" i="17"/>
  <c r="L464" i="17"/>
  <c r="K464" i="17"/>
  <c r="J464" i="17"/>
  <c r="I464" i="17"/>
  <c r="H464" i="17"/>
  <c r="G464" i="17"/>
  <c r="F464" i="17"/>
  <c r="E464" i="17"/>
  <c r="D464" i="17"/>
  <c r="C464" i="17"/>
  <c r="B464" i="17"/>
  <c r="A464" i="17"/>
  <c r="AM463" i="17"/>
  <c r="AL463" i="17"/>
  <c r="AK463" i="17"/>
  <c r="AJ463" i="17"/>
  <c r="AI463" i="17"/>
  <c r="AH463" i="17"/>
  <c r="AG463" i="17"/>
  <c r="AF463" i="17"/>
  <c r="AE463" i="17"/>
  <c r="AD463" i="17"/>
  <c r="AC463" i="17"/>
  <c r="AB463" i="17"/>
  <c r="AA463" i="17"/>
  <c r="Z463" i="17"/>
  <c r="Y463" i="17"/>
  <c r="X463" i="17"/>
  <c r="W463" i="17"/>
  <c r="V463" i="17"/>
  <c r="U463" i="17"/>
  <c r="T463" i="17"/>
  <c r="S463" i="17"/>
  <c r="R463" i="17"/>
  <c r="Q463" i="17"/>
  <c r="P463" i="17"/>
  <c r="O463" i="17"/>
  <c r="N463" i="17"/>
  <c r="M463" i="17"/>
  <c r="L463" i="17"/>
  <c r="K463" i="17"/>
  <c r="J463" i="17"/>
  <c r="I463" i="17"/>
  <c r="H463" i="17"/>
  <c r="G463" i="17"/>
  <c r="F463" i="17"/>
  <c r="E463" i="17"/>
  <c r="D463" i="17"/>
  <c r="C463" i="17"/>
  <c r="B463" i="17"/>
  <c r="A463" i="17"/>
  <c r="AM462" i="17"/>
  <c r="AL462" i="17"/>
  <c r="AK462" i="17"/>
  <c r="AJ462" i="17"/>
  <c r="AI462" i="17"/>
  <c r="AH462" i="17"/>
  <c r="AG462" i="17"/>
  <c r="AF462" i="17"/>
  <c r="AE462" i="17"/>
  <c r="AD462" i="17"/>
  <c r="AC462" i="17"/>
  <c r="AB462" i="17"/>
  <c r="AA462" i="17"/>
  <c r="Z462" i="17"/>
  <c r="Y462" i="17"/>
  <c r="X462" i="17"/>
  <c r="W462" i="17"/>
  <c r="V462" i="17"/>
  <c r="U462" i="17"/>
  <c r="T462" i="17"/>
  <c r="S462" i="17"/>
  <c r="R462" i="17"/>
  <c r="Q462" i="17"/>
  <c r="P462" i="17"/>
  <c r="O462" i="17"/>
  <c r="N462" i="17"/>
  <c r="M462" i="17"/>
  <c r="L462" i="17"/>
  <c r="K462" i="17"/>
  <c r="J462" i="17"/>
  <c r="I462" i="17"/>
  <c r="H462" i="17"/>
  <c r="G462" i="17"/>
  <c r="F462" i="17"/>
  <c r="E462" i="17"/>
  <c r="D462" i="17"/>
  <c r="C462" i="17"/>
  <c r="B462" i="17"/>
  <c r="A462" i="17"/>
  <c r="AM461" i="17"/>
  <c r="AL461" i="17"/>
  <c r="AK461" i="17"/>
  <c r="AJ461" i="17"/>
  <c r="AI461" i="17"/>
  <c r="AH461" i="17"/>
  <c r="AG461" i="17"/>
  <c r="AF461" i="17"/>
  <c r="AE461" i="17"/>
  <c r="AD461" i="17"/>
  <c r="AC461" i="17"/>
  <c r="AB461" i="17"/>
  <c r="AA461" i="17"/>
  <c r="Z461" i="17"/>
  <c r="Y461" i="17"/>
  <c r="X461" i="17"/>
  <c r="W461" i="17"/>
  <c r="V461" i="17"/>
  <c r="U461" i="17"/>
  <c r="T461" i="17"/>
  <c r="S461" i="17"/>
  <c r="R461" i="17"/>
  <c r="Q461" i="17"/>
  <c r="P461" i="17"/>
  <c r="O461" i="17"/>
  <c r="N461" i="17"/>
  <c r="M461" i="17"/>
  <c r="L461" i="17"/>
  <c r="K461" i="17"/>
  <c r="J461" i="17"/>
  <c r="I461" i="17"/>
  <c r="H461" i="17"/>
  <c r="G461" i="17"/>
  <c r="F461" i="17"/>
  <c r="E461" i="17"/>
  <c r="D461" i="17"/>
  <c r="C461" i="17"/>
  <c r="B461" i="17"/>
  <c r="A461" i="17"/>
  <c r="AM460" i="17"/>
  <c r="AL460" i="17"/>
  <c r="AK460" i="17"/>
  <c r="AJ460" i="17"/>
  <c r="AI460" i="17"/>
  <c r="AH460" i="17"/>
  <c r="AG460" i="17"/>
  <c r="AF460" i="17"/>
  <c r="AE460" i="17"/>
  <c r="AD460" i="17"/>
  <c r="AC460" i="17"/>
  <c r="AB460" i="17"/>
  <c r="AA460" i="17"/>
  <c r="Z460" i="17"/>
  <c r="Y460" i="17"/>
  <c r="X460" i="17"/>
  <c r="W460" i="17"/>
  <c r="V460" i="17"/>
  <c r="U460" i="17"/>
  <c r="T460" i="17"/>
  <c r="S460" i="17"/>
  <c r="R460" i="17"/>
  <c r="Q460" i="17"/>
  <c r="P460" i="17"/>
  <c r="O460" i="17"/>
  <c r="N460" i="17"/>
  <c r="M460" i="17"/>
  <c r="L460" i="17"/>
  <c r="K460" i="17"/>
  <c r="J460" i="17"/>
  <c r="I460" i="17"/>
  <c r="H460" i="17"/>
  <c r="G460" i="17"/>
  <c r="F460" i="17"/>
  <c r="E460" i="17"/>
  <c r="D460" i="17"/>
  <c r="C460" i="17"/>
  <c r="B460" i="17"/>
  <c r="A460" i="17"/>
  <c r="AM459" i="17"/>
  <c r="AL459" i="17"/>
  <c r="AK459" i="17"/>
  <c r="AJ459" i="17"/>
  <c r="AI459" i="17"/>
  <c r="AH459" i="17"/>
  <c r="AG459" i="17"/>
  <c r="AF459" i="17"/>
  <c r="AE459" i="17"/>
  <c r="AD459" i="17"/>
  <c r="AC459" i="17"/>
  <c r="AB459" i="17"/>
  <c r="AA459" i="17"/>
  <c r="Z459" i="17"/>
  <c r="Y459" i="17"/>
  <c r="X459" i="17"/>
  <c r="W459" i="17"/>
  <c r="V459" i="17"/>
  <c r="U459" i="17"/>
  <c r="T459" i="17"/>
  <c r="S459" i="17"/>
  <c r="R459" i="17"/>
  <c r="Q459" i="17"/>
  <c r="P459" i="17"/>
  <c r="O459" i="17"/>
  <c r="N459" i="17"/>
  <c r="M459" i="17"/>
  <c r="L459" i="17"/>
  <c r="K459" i="17"/>
  <c r="J459" i="17"/>
  <c r="I459" i="17"/>
  <c r="H459" i="17"/>
  <c r="G459" i="17"/>
  <c r="F459" i="17"/>
  <c r="E459" i="17"/>
  <c r="D459" i="17"/>
  <c r="C459" i="17"/>
  <c r="B459" i="17"/>
  <c r="A459" i="17"/>
  <c r="AM458" i="17"/>
  <c r="AL458" i="17"/>
  <c r="AK458" i="17"/>
  <c r="AJ458" i="17"/>
  <c r="AI458" i="17"/>
  <c r="AH458" i="17"/>
  <c r="AG458" i="17"/>
  <c r="AF458" i="17"/>
  <c r="AE458" i="17"/>
  <c r="AD458" i="17"/>
  <c r="AC458" i="17"/>
  <c r="AB458" i="17"/>
  <c r="AA458" i="17"/>
  <c r="Z458" i="17"/>
  <c r="Y458" i="17"/>
  <c r="X458" i="17"/>
  <c r="W458" i="17"/>
  <c r="V458" i="17"/>
  <c r="U458" i="17"/>
  <c r="T458" i="17"/>
  <c r="S458" i="17"/>
  <c r="R458" i="17"/>
  <c r="Q458" i="17"/>
  <c r="P458" i="17"/>
  <c r="O458" i="17"/>
  <c r="N458" i="17"/>
  <c r="M458" i="17"/>
  <c r="L458" i="17"/>
  <c r="K458" i="17"/>
  <c r="J458" i="17"/>
  <c r="I458" i="17"/>
  <c r="H458" i="17"/>
  <c r="G458" i="17"/>
  <c r="F458" i="17"/>
  <c r="E458" i="17"/>
  <c r="D458" i="17"/>
  <c r="C458" i="17"/>
  <c r="B458" i="17"/>
  <c r="A458" i="17"/>
  <c r="AM456" i="17"/>
  <c r="AL456" i="17"/>
  <c r="AK456" i="17"/>
  <c r="AJ456" i="17"/>
  <c r="AI456" i="17"/>
  <c r="AH456" i="17"/>
  <c r="AG456" i="17"/>
  <c r="AF456" i="17"/>
  <c r="AE456" i="17"/>
  <c r="AD456" i="17"/>
  <c r="AC456" i="17"/>
  <c r="AB456" i="17"/>
  <c r="AA456" i="17"/>
  <c r="Z456" i="17"/>
  <c r="Y456" i="17"/>
  <c r="X456" i="17"/>
  <c r="W456" i="17"/>
  <c r="V456" i="17"/>
  <c r="U456" i="17"/>
  <c r="T456" i="17"/>
  <c r="S456" i="17"/>
  <c r="R456" i="17"/>
  <c r="Q456" i="17"/>
  <c r="P456" i="17"/>
  <c r="O456" i="17"/>
  <c r="N456" i="17"/>
  <c r="M456" i="17"/>
  <c r="L456" i="17"/>
  <c r="K456" i="17"/>
  <c r="J456" i="17"/>
  <c r="I456" i="17"/>
  <c r="H456" i="17"/>
  <c r="G456" i="17"/>
  <c r="F456" i="17"/>
  <c r="E456" i="17"/>
  <c r="D456" i="17"/>
  <c r="C456" i="17"/>
  <c r="B456" i="17"/>
  <c r="A456" i="17"/>
  <c r="AM455" i="17"/>
  <c r="AL455" i="17"/>
  <c r="AK455" i="17"/>
  <c r="AJ455" i="17"/>
  <c r="AI455" i="17"/>
  <c r="AH455" i="17"/>
  <c r="AG455" i="17"/>
  <c r="AF455" i="17"/>
  <c r="AE455" i="17"/>
  <c r="AD455" i="17"/>
  <c r="AC455" i="17"/>
  <c r="AB455" i="17"/>
  <c r="AA455" i="17"/>
  <c r="Z455" i="17"/>
  <c r="Y455" i="17"/>
  <c r="X455" i="17"/>
  <c r="W455" i="17"/>
  <c r="V455" i="17"/>
  <c r="U455" i="17"/>
  <c r="T455" i="17"/>
  <c r="S455" i="17"/>
  <c r="R455" i="17"/>
  <c r="Q455" i="17"/>
  <c r="P455" i="17"/>
  <c r="O455" i="17"/>
  <c r="N455" i="17"/>
  <c r="M455" i="17"/>
  <c r="L455" i="17"/>
  <c r="K455" i="17"/>
  <c r="J455" i="17"/>
  <c r="I455" i="17"/>
  <c r="H455" i="17"/>
  <c r="G455" i="17"/>
  <c r="F455" i="17"/>
  <c r="E455" i="17"/>
  <c r="D455" i="17"/>
  <c r="C455" i="17"/>
  <c r="B455" i="17"/>
  <c r="A455" i="17"/>
  <c r="AM454" i="17"/>
  <c r="AL454" i="17"/>
  <c r="AK454" i="17"/>
  <c r="AJ454" i="17"/>
  <c r="AI454" i="17"/>
  <c r="AH454" i="17"/>
  <c r="AG454" i="17"/>
  <c r="AF454" i="17"/>
  <c r="AE454" i="17"/>
  <c r="AD454" i="17"/>
  <c r="AC454" i="17"/>
  <c r="AB454" i="17"/>
  <c r="AA454" i="17"/>
  <c r="Z454" i="17"/>
  <c r="Y454" i="17"/>
  <c r="X454" i="17"/>
  <c r="W454" i="17"/>
  <c r="V454" i="17"/>
  <c r="U454" i="17"/>
  <c r="T454" i="17"/>
  <c r="S454" i="17"/>
  <c r="R454" i="17"/>
  <c r="Q454" i="17"/>
  <c r="P454" i="17"/>
  <c r="O454" i="17"/>
  <c r="N454" i="17"/>
  <c r="M454" i="17"/>
  <c r="L454" i="17"/>
  <c r="K454" i="17"/>
  <c r="J454" i="17"/>
  <c r="I454" i="17"/>
  <c r="H454" i="17"/>
  <c r="G454" i="17"/>
  <c r="F454" i="17"/>
  <c r="E454" i="17"/>
  <c r="D454" i="17"/>
  <c r="C454" i="17"/>
  <c r="B454" i="17"/>
  <c r="A454" i="17"/>
  <c r="AM453" i="17"/>
  <c r="AL453" i="17"/>
  <c r="AK453" i="17"/>
  <c r="AJ453" i="17"/>
  <c r="AI453" i="17"/>
  <c r="AH453" i="17"/>
  <c r="AG453" i="17"/>
  <c r="AF453" i="17"/>
  <c r="AE453" i="17"/>
  <c r="AD453" i="17"/>
  <c r="AC453" i="17"/>
  <c r="AB453" i="17"/>
  <c r="AA453" i="17"/>
  <c r="Z453" i="17"/>
  <c r="Y453" i="17"/>
  <c r="X453" i="17"/>
  <c r="W453" i="17"/>
  <c r="V453" i="17"/>
  <c r="U453" i="17"/>
  <c r="T453" i="17"/>
  <c r="S453" i="17"/>
  <c r="R453" i="17"/>
  <c r="Q453" i="17"/>
  <c r="P453" i="17"/>
  <c r="O453" i="17"/>
  <c r="N453" i="17"/>
  <c r="M453" i="17"/>
  <c r="L453" i="17"/>
  <c r="K453" i="17"/>
  <c r="J453" i="17"/>
  <c r="I453" i="17"/>
  <c r="H453" i="17"/>
  <c r="G453" i="17"/>
  <c r="F453" i="17"/>
  <c r="E453" i="17"/>
  <c r="D453" i="17"/>
  <c r="C453" i="17"/>
  <c r="B453" i="17"/>
  <c r="A453" i="17"/>
  <c r="AM452" i="17"/>
  <c r="AL452" i="17"/>
  <c r="AK452" i="17"/>
  <c r="AJ452" i="17"/>
  <c r="AI452" i="17"/>
  <c r="AH452" i="17"/>
  <c r="AG452" i="17"/>
  <c r="AF452" i="17"/>
  <c r="AE452" i="17"/>
  <c r="AD452" i="17"/>
  <c r="AC452" i="17"/>
  <c r="AB452" i="17"/>
  <c r="AA452" i="17"/>
  <c r="Z452" i="17"/>
  <c r="Y452" i="17"/>
  <c r="X452" i="17"/>
  <c r="W452" i="17"/>
  <c r="V452" i="17"/>
  <c r="U452" i="17"/>
  <c r="T452" i="17"/>
  <c r="S452" i="17"/>
  <c r="R452" i="17"/>
  <c r="Q452" i="17"/>
  <c r="P452" i="17"/>
  <c r="O452" i="17"/>
  <c r="N452" i="17"/>
  <c r="M452" i="17"/>
  <c r="L452" i="17"/>
  <c r="K452" i="17"/>
  <c r="J452" i="17"/>
  <c r="I452" i="17"/>
  <c r="H452" i="17"/>
  <c r="G452" i="17"/>
  <c r="F452" i="17"/>
  <c r="E452" i="17"/>
  <c r="D452" i="17"/>
  <c r="C452" i="17"/>
  <c r="B452" i="17"/>
  <c r="A452" i="17"/>
  <c r="AM451" i="17"/>
  <c r="AL451" i="17"/>
  <c r="AK451" i="17"/>
  <c r="AJ451" i="17"/>
  <c r="AI451" i="17"/>
  <c r="AH451" i="17"/>
  <c r="AG451" i="17"/>
  <c r="AF451" i="17"/>
  <c r="AE451" i="17"/>
  <c r="AD451" i="17"/>
  <c r="AC451" i="17"/>
  <c r="AB451" i="17"/>
  <c r="AA451" i="17"/>
  <c r="Z451" i="17"/>
  <c r="Y451" i="17"/>
  <c r="X451" i="17"/>
  <c r="W451" i="17"/>
  <c r="V451" i="17"/>
  <c r="U451" i="17"/>
  <c r="T451" i="17"/>
  <c r="S451" i="17"/>
  <c r="R451" i="17"/>
  <c r="Q451" i="17"/>
  <c r="P451" i="17"/>
  <c r="O451" i="17"/>
  <c r="N451" i="17"/>
  <c r="M451" i="17"/>
  <c r="L451" i="17"/>
  <c r="K451" i="17"/>
  <c r="J451" i="17"/>
  <c r="I451" i="17"/>
  <c r="H451" i="17"/>
  <c r="G451" i="17"/>
  <c r="F451" i="17"/>
  <c r="E451" i="17"/>
  <c r="D451" i="17"/>
  <c r="C451" i="17"/>
  <c r="B451" i="17"/>
  <c r="A451" i="17"/>
  <c r="AM450" i="17"/>
  <c r="AL450" i="17"/>
  <c r="AK450" i="17"/>
  <c r="AJ450" i="17"/>
  <c r="AI450" i="17"/>
  <c r="AH450" i="17"/>
  <c r="AG450" i="17"/>
  <c r="AF450" i="17"/>
  <c r="AE450" i="17"/>
  <c r="AD450" i="17"/>
  <c r="AC450" i="17"/>
  <c r="AB450" i="17"/>
  <c r="AA450" i="17"/>
  <c r="Z450" i="17"/>
  <c r="Y450" i="17"/>
  <c r="X450" i="17"/>
  <c r="W450" i="17"/>
  <c r="V450" i="17"/>
  <c r="U450" i="17"/>
  <c r="T450" i="17"/>
  <c r="S450" i="17"/>
  <c r="R450" i="17"/>
  <c r="Q450" i="17"/>
  <c r="P450" i="17"/>
  <c r="O450" i="17"/>
  <c r="N450" i="17"/>
  <c r="M450" i="17"/>
  <c r="L450" i="17"/>
  <c r="K450" i="17"/>
  <c r="J450" i="17"/>
  <c r="I450" i="17"/>
  <c r="H450" i="17"/>
  <c r="G450" i="17"/>
  <c r="F450" i="17"/>
  <c r="E450" i="17"/>
  <c r="D450" i="17"/>
  <c r="C450" i="17"/>
  <c r="B450" i="17"/>
  <c r="A450" i="17"/>
  <c r="AM449" i="17"/>
  <c r="AL449" i="17"/>
  <c r="AK449" i="17"/>
  <c r="AJ449" i="17"/>
  <c r="AI449" i="17"/>
  <c r="AH449" i="17"/>
  <c r="AG449" i="17"/>
  <c r="AF449" i="17"/>
  <c r="AE449" i="17"/>
  <c r="AD449" i="17"/>
  <c r="AC449" i="17"/>
  <c r="AB449" i="17"/>
  <c r="AA449" i="17"/>
  <c r="Z449" i="17"/>
  <c r="Y449" i="17"/>
  <c r="X449" i="17"/>
  <c r="W449" i="17"/>
  <c r="V449" i="17"/>
  <c r="U449" i="17"/>
  <c r="T449" i="17"/>
  <c r="S449" i="17"/>
  <c r="R449" i="17"/>
  <c r="Q449" i="17"/>
  <c r="P449" i="17"/>
  <c r="O449" i="17"/>
  <c r="N449" i="17"/>
  <c r="M449" i="17"/>
  <c r="L449" i="17"/>
  <c r="K449" i="17"/>
  <c r="J449" i="17"/>
  <c r="I449" i="17"/>
  <c r="H449" i="17"/>
  <c r="G449" i="17"/>
  <c r="F449" i="17"/>
  <c r="E449" i="17"/>
  <c r="D449" i="17"/>
  <c r="C449" i="17"/>
  <c r="B449" i="17"/>
  <c r="A449" i="17"/>
  <c r="AM448" i="17"/>
  <c r="AL448" i="17"/>
  <c r="AK448" i="17"/>
  <c r="AJ448" i="17"/>
  <c r="AI448" i="17"/>
  <c r="AH448" i="17"/>
  <c r="AG448" i="17"/>
  <c r="AF448" i="17"/>
  <c r="AE448" i="17"/>
  <c r="AD448" i="17"/>
  <c r="AC448" i="17"/>
  <c r="AB448" i="17"/>
  <c r="AA448" i="17"/>
  <c r="Z448" i="17"/>
  <c r="Y448" i="17"/>
  <c r="X448" i="17"/>
  <c r="W448" i="17"/>
  <c r="V448" i="17"/>
  <c r="U448" i="17"/>
  <c r="T448" i="17"/>
  <c r="S448" i="17"/>
  <c r="R448" i="17"/>
  <c r="Q448" i="17"/>
  <c r="P448" i="17"/>
  <c r="O448" i="17"/>
  <c r="N448" i="17"/>
  <c r="M448" i="17"/>
  <c r="L448" i="17"/>
  <c r="K448" i="17"/>
  <c r="J448" i="17"/>
  <c r="I448" i="17"/>
  <c r="H448" i="17"/>
  <c r="G448" i="17"/>
  <c r="F448" i="17"/>
  <c r="E448" i="17"/>
  <c r="D448" i="17"/>
  <c r="C448" i="17"/>
  <c r="B448" i="17"/>
  <c r="A448" i="17"/>
  <c r="AM447" i="17"/>
  <c r="AL447" i="17"/>
  <c r="AK447" i="17"/>
  <c r="AJ447" i="17"/>
  <c r="AI447" i="17"/>
  <c r="AH447" i="17"/>
  <c r="AG447" i="17"/>
  <c r="AF447" i="17"/>
  <c r="AE447" i="17"/>
  <c r="AD447" i="17"/>
  <c r="AC447" i="17"/>
  <c r="AB447" i="17"/>
  <c r="AA447" i="17"/>
  <c r="Z447" i="17"/>
  <c r="Y447" i="17"/>
  <c r="X447" i="17"/>
  <c r="W447" i="17"/>
  <c r="V447" i="17"/>
  <c r="U447" i="17"/>
  <c r="T447" i="17"/>
  <c r="S447" i="17"/>
  <c r="R447" i="17"/>
  <c r="Q447" i="17"/>
  <c r="P447" i="17"/>
  <c r="O447" i="17"/>
  <c r="N447" i="17"/>
  <c r="M447" i="17"/>
  <c r="L447" i="17"/>
  <c r="K447" i="17"/>
  <c r="J447" i="17"/>
  <c r="I447" i="17"/>
  <c r="H447" i="17"/>
  <c r="G447" i="17"/>
  <c r="F447" i="17"/>
  <c r="E447" i="17"/>
  <c r="D447" i="17"/>
  <c r="C447" i="17"/>
  <c r="B447" i="17"/>
  <c r="A447" i="17"/>
  <c r="AM446" i="17"/>
  <c r="AL446" i="17"/>
  <c r="AK446" i="17"/>
  <c r="AJ446" i="17"/>
  <c r="AI446" i="17"/>
  <c r="AH446" i="17"/>
  <c r="AG446" i="17"/>
  <c r="AF446" i="17"/>
  <c r="AE446" i="17"/>
  <c r="AD446" i="17"/>
  <c r="AC446" i="17"/>
  <c r="AB446" i="17"/>
  <c r="AA446" i="17"/>
  <c r="Z446" i="17"/>
  <c r="Y446" i="17"/>
  <c r="X446" i="17"/>
  <c r="W446" i="17"/>
  <c r="V446" i="17"/>
  <c r="U446" i="17"/>
  <c r="T446" i="17"/>
  <c r="S446" i="17"/>
  <c r="R446" i="17"/>
  <c r="Q446" i="17"/>
  <c r="P446" i="17"/>
  <c r="O446" i="17"/>
  <c r="N446" i="17"/>
  <c r="M446" i="17"/>
  <c r="L446" i="17"/>
  <c r="K446" i="17"/>
  <c r="J446" i="17"/>
  <c r="I446" i="17"/>
  <c r="H446" i="17"/>
  <c r="G446" i="17"/>
  <c r="F446" i="17"/>
  <c r="E446" i="17"/>
  <c r="D446" i="17"/>
  <c r="C446" i="17"/>
  <c r="B446" i="17"/>
  <c r="A446" i="17"/>
  <c r="AM445" i="17"/>
  <c r="AL445" i="17"/>
  <c r="AK445" i="17"/>
  <c r="AJ445" i="17"/>
  <c r="AI445" i="17"/>
  <c r="AH445" i="17"/>
  <c r="AG445" i="17"/>
  <c r="AF445" i="17"/>
  <c r="AE445" i="17"/>
  <c r="AD445" i="17"/>
  <c r="AC445" i="17"/>
  <c r="AB445" i="17"/>
  <c r="AA445" i="17"/>
  <c r="Z445" i="17"/>
  <c r="Y445" i="17"/>
  <c r="X445" i="17"/>
  <c r="W445" i="17"/>
  <c r="V445" i="17"/>
  <c r="U445" i="17"/>
  <c r="T445" i="17"/>
  <c r="S445" i="17"/>
  <c r="R445" i="17"/>
  <c r="Q445" i="17"/>
  <c r="P445" i="17"/>
  <c r="O445" i="17"/>
  <c r="N445" i="17"/>
  <c r="M445" i="17"/>
  <c r="L445" i="17"/>
  <c r="K445" i="17"/>
  <c r="J445" i="17"/>
  <c r="I445" i="17"/>
  <c r="H445" i="17"/>
  <c r="G445" i="17"/>
  <c r="F445" i="17"/>
  <c r="E445" i="17"/>
  <c r="D445" i="17"/>
  <c r="C445" i="17"/>
  <c r="B445" i="17"/>
  <c r="A445" i="17"/>
  <c r="AM444" i="17"/>
  <c r="AL444" i="17"/>
  <c r="AK444" i="17"/>
  <c r="AJ444" i="17"/>
  <c r="AI444" i="17"/>
  <c r="AH444" i="17"/>
  <c r="AG444" i="17"/>
  <c r="AF444" i="17"/>
  <c r="AE444" i="17"/>
  <c r="AD444" i="17"/>
  <c r="AC444" i="17"/>
  <c r="AB444" i="17"/>
  <c r="AA444" i="17"/>
  <c r="Z444" i="17"/>
  <c r="Y444" i="17"/>
  <c r="X444" i="17"/>
  <c r="W444" i="17"/>
  <c r="V444" i="17"/>
  <c r="U444" i="17"/>
  <c r="T444" i="17"/>
  <c r="S444" i="17"/>
  <c r="R444" i="17"/>
  <c r="Q444" i="17"/>
  <c r="P444" i="17"/>
  <c r="O444" i="17"/>
  <c r="N444" i="17"/>
  <c r="M444" i="17"/>
  <c r="L444" i="17"/>
  <c r="K444" i="17"/>
  <c r="J444" i="17"/>
  <c r="I444" i="17"/>
  <c r="H444" i="17"/>
  <c r="G444" i="17"/>
  <c r="F444" i="17"/>
  <c r="E444" i="17"/>
  <c r="D444" i="17"/>
  <c r="C444" i="17"/>
  <c r="B444" i="17"/>
  <c r="A444" i="17"/>
  <c r="AM443" i="17"/>
  <c r="AL443" i="17"/>
  <c r="AK443" i="17"/>
  <c r="AJ443" i="17"/>
  <c r="AI443" i="17"/>
  <c r="AH443" i="17"/>
  <c r="AG443" i="17"/>
  <c r="AF443" i="17"/>
  <c r="AE443" i="17"/>
  <c r="AD443" i="17"/>
  <c r="AC443" i="17"/>
  <c r="AB443" i="17"/>
  <c r="AA443" i="17"/>
  <c r="Z443" i="17"/>
  <c r="Y443" i="17"/>
  <c r="X443" i="17"/>
  <c r="W443" i="17"/>
  <c r="V443" i="17"/>
  <c r="U443" i="17"/>
  <c r="T443" i="17"/>
  <c r="S443" i="17"/>
  <c r="R443" i="17"/>
  <c r="Q443" i="17"/>
  <c r="P443" i="17"/>
  <c r="O443" i="17"/>
  <c r="N443" i="17"/>
  <c r="M443" i="17"/>
  <c r="L443" i="17"/>
  <c r="K443" i="17"/>
  <c r="J443" i="17"/>
  <c r="I443" i="17"/>
  <c r="H443" i="17"/>
  <c r="G443" i="17"/>
  <c r="F443" i="17"/>
  <c r="E443" i="17"/>
  <c r="D443" i="17"/>
  <c r="C443" i="17"/>
  <c r="B443" i="17"/>
  <c r="A443" i="17"/>
  <c r="AM442" i="17"/>
  <c r="AL442" i="17"/>
  <c r="AK442" i="17"/>
  <c r="AJ442" i="17"/>
  <c r="AI442" i="17"/>
  <c r="AH442" i="17"/>
  <c r="AG442" i="17"/>
  <c r="AF442" i="17"/>
  <c r="AE442" i="17"/>
  <c r="AD442" i="17"/>
  <c r="AC442" i="17"/>
  <c r="AB442" i="17"/>
  <c r="AA442" i="17"/>
  <c r="Z442" i="17"/>
  <c r="Y442" i="17"/>
  <c r="X442" i="17"/>
  <c r="W442" i="17"/>
  <c r="V442" i="17"/>
  <c r="U442" i="17"/>
  <c r="T442" i="17"/>
  <c r="S442" i="17"/>
  <c r="R442" i="17"/>
  <c r="Q442" i="17"/>
  <c r="P442" i="17"/>
  <c r="O442" i="17"/>
  <c r="N442" i="17"/>
  <c r="M442" i="17"/>
  <c r="L442" i="17"/>
  <c r="K442" i="17"/>
  <c r="J442" i="17"/>
  <c r="I442" i="17"/>
  <c r="H442" i="17"/>
  <c r="G442" i="17"/>
  <c r="F442" i="17"/>
  <c r="E442" i="17"/>
  <c r="D442" i="17"/>
  <c r="C442" i="17"/>
  <c r="B442" i="17"/>
  <c r="A442" i="17"/>
  <c r="AM441" i="17"/>
  <c r="AL441" i="17"/>
  <c r="AK441" i="17"/>
  <c r="AJ441" i="17"/>
  <c r="AI441" i="17"/>
  <c r="AH441" i="17"/>
  <c r="AG441" i="17"/>
  <c r="AF441" i="17"/>
  <c r="AE441" i="17"/>
  <c r="AD441" i="17"/>
  <c r="AC441" i="17"/>
  <c r="AB441" i="17"/>
  <c r="AA441" i="17"/>
  <c r="Z441" i="17"/>
  <c r="Y441" i="17"/>
  <c r="X441" i="17"/>
  <c r="W441" i="17"/>
  <c r="V441" i="17"/>
  <c r="U441" i="17"/>
  <c r="T441" i="17"/>
  <c r="S441" i="17"/>
  <c r="R441" i="17"/>
  <c r="Q441" i="17"/>
  <c r="P441" i="17"/>
  <c r="O441" i="17"/>
  <c r="N441" i="17"/>
  <c r="M441" i="17"/>
  <c r="L441" i="17"/>
  <c r="K441" i="17"/>
  <c r="J441" i="17"/>
  <c r="I441" i="17"/>
  <c r="H441" i="17"/>
  <c r="G441" i="17"/>
  <c r="F441" i="17"/>
  <c r="E441" i="17"/>
  <c r="D441" i="17"/>
  <c r="C441" i="17"/>
  <c r="B441" i="17"/>
  <c r="A441" i="17"/>
  <c r="AM440" i="17"/>
  <c r="AL440" i="17"/>
  <c r="AK440" i="17"/>
  <c r="AJ440" i="17"/>
  <c r="AI440" i="17"/>
  <c r="AH440" i="17"/>
  <c r="AG440" i="17"/>
  <c r="AF440" i="17"/>
  <c r="AE440" i="17"/>
  <c r="AD440" i="17"/>
  <c r="AC440" i="17"/>
  <c r="AB440" i="17"/>
  <c r="AA440" i="17"/>
  <c r="Z440" i="17"/>
  <c r="Y440" i="17"/>
  <c r="X440" i="17"/>
  <c r="W440" i="17"/>
  <c r="V440" i="17"/>
  <c r="U440" i="17"/>
  <c r="T440" i="17"/>
  <c r="S440" i="17"/>
  <c r="R440" i="17"/>
  <c r="Q440" i="17"/>
  <c r="P440" i="17"/>
  <c r="O440" i="17"/>
  <c r="N440" i="17"/>
  <c r="M440" i="17"/>
  <c r="L440" i="17"/>
  <c r="K440" i="17"/>
  <c r="J440" i="17"/>
  <c r="I440" i="17"/>
  <c r="H440" i="17"/>
  <c r="G440" i="17"/>
  <c r="F440" i="17"/>
  <c r="E440" i="17"/>
  <c r="D440" i="17"/>
  <c r="C440" i="17"/>
  <c r="B440" i="17"/>
  <c r="A440" i="17"/>
  <c r="AM439" i="17"/>
  <c r="AL439" i="17"/>
  <c r="AK439" i="17"/>
  <c r="AJ439" i="17"/>
  <c r="AI439" i="17"/>
  <c r="AH439" i="17"/>
  <c r="AG439" i="17"/>
  <c r="AF439" i="17"/>
  <c r="AE439" i="17"/>
  <c r="AD439" i="17"/>
  <c r="AC439" i="17"/>
  <c r="AB439" i="17"/>
  <c r="AA439" i="17"/>
  <c r="Z439" i="17"/>
  <c r="Y439" i="17"/>
  <c r="X439" i="17"/>
  <c r="W439" i="17"/>
  <c r="V439" i="17"/>
  <c r="U439" i="17"/>
  <c r="T439" i="17"/>
  <c r="S439" i="17"/>
  <c r="R439" i="17"/>
  <c r="Q439" i="17"/>
  <c r="P439" i="17"/>
  <c r="O439" i="17"/>
  <c r="N439" i="17"/>
  <c r="M439" i="17"/>
  <c r="L439" i="17"/>
  <c r="K439" i="17"/>
  <c r="J439" i="17"/>
  <c r="I439" i="17"/>
  <c r="H439" i="17"/>
  <c r="G439" i="17"/>
  <c r="F439" i="17"/>
  <c r="E439" i="17"/>
  <c r="D439" i="17"/>
  <c r="C439" i="17"/>
  <c r="B439" i="17"/>
  <c r="A439" i="17"/>
  <c r="AM438" i="17"/>
  <c r="AL438" i="17"/>
  <c r="AK438" i="17"/>
  <c r="AJ438" i="17"/>
  <c r="AI438" i="17"/>
  <c r="AH438" i="17"/>
  <c r="AG438" i="17"/>
  <c r="AF438" i="17"/>
  <c r="AE438" i="17"/>
  <c r="AD438" i="17"/>
  <c r="AC438" i="17"/>
  <c r="AB438" i="17"/>
  <c r="AA438" i="17"/>
  <c r="Z438" i="17"/>
  <c r="Y438" i="17"/>
  <c r="X438" i="17"/>
  <c r="W438" i="17"/>
  <c r="V438" i="17"/>
  <c r="U438" i="17"/>
  <c r="T438" i="17"/>
  <c r="S438" i="17"/>
  <c r="R438" i="17"/>
  <c r="Q438" i="17"/>
  <c r="P438" i="17"/>
  <c r="O438" i="17"/>
  <c r="N438" i="17"/>
  <c r="M438" i="17"/>
  <c r="L438" i="17"/>
  <c r="K438" i="17"/>
  <c r="J438" i="17"/>
  <c r="I438" i="17"/>
  <c r="H438" i="17"/>
  <c r="G438" i="17"/>
  <c r="F438" i="17"/>
  <c r="E438" i="17"/>
  <c r="D438" i="17"/>
  <c r="C438" i="17"/>
  <c r="B438" i="17"/>
  <c r="A438" i="17"/>
  <c r="AM437" i="17"/>
  <c r="AL437" i="17"/>
  <c r="AK437" i="17"/>
  <c r="AJ437" i="17"/>
  <c r="AI437" i="17"/>
  <c r="AH437" i="17"/>
  <c r="AG437" i="17"/>
  <c r="AF437" i="17"/>
  <c r="AE437" i="17"/>
  <c r="AD437" i="17"/>
  <c r="AC437" i="17"/>
  <c r="AB437" i="17"/>
  <c r="AA437" i="17"/>
  <c r="Z437" i="17"/>
  <c r="Y437" i="17"/>
  <c r="X437" i="17"/>
  <c r="W437" i="17"/>
  <c r="V437" i="17"/>
  <c r="U437" i="17"/>
  <c r="T437" i="17"/>
  <c r="S437" i="17"/>
  <c r="R437" i="17"/>
  <c r="Q437" i="17"/>
  <c r="P437" i="17"/>
  <c r="O437" i="17"/>
  <c r="N437" i="17"/>
  <c r="M437" i="17"/>
  <c r="L437" i="17"/>
  <c r="K437" i="17"/>
  <c r="J437" i="17"/>
  <c r="I437" i="17"/>
  <c r="H437" i="17"/>
  <c r="G437" i="17"/>
  <c r="F437" i="17"/>
  <c r="E437" i="17"/>
  <c r="D437" i="17"/>
  <c r="C437" i="17"/>
  <c r="B437" i="17"/>
  <c r="A437" i="17"/>
  <c r="AM436" i="17"/>
  <c r="AL436" i="17"/>
  <c r="AK436" i="17"/>
  <c r="AJ436" i="17"/>
  <c r="AI436" i="17"/>
  <c r="AH436" i="17"/>
  <c r="AG436" i="17"/>
  <c r="AF436" i="17"/>
  <c r="AE436" i="17"/>
  <c r="AD436" i="17"/>
  <c r="AC436" i="17"/>
  <c r="AB436" i="17"/>
  <c r="AA436" i="17"/>
  <c r="Z436" i="17"/>
  <c r="Y436" i="17"/>
  <c r="X436" i="17"/>
  <c r="W436" i="17"/>
  <c r="V436" i="17"/>
  <c r="U436" i="17"/>
  <c r="T436" i="17"/>
  <c r="S436" i="17"/>
  <c r="R436" i="17"/>
  <c r="Q436" i="17"/>
  <c r="P436" i="17"/>
  <c r="O436" i="17"/>
  <c r="N436" i="17"/>
  <c r="M436" i="17"/>
  <c r="L436" i="17"/>
  <c r="K436" i="17"/>
  <c r="J436" i="17"/>
  <c r="I436" i="17"/>
  <c r="H436" i="17"/>
  <c r="G436" i="17"/>
  <c r="F436" i="17"/>
  <c r="E436" i="17"/>
  <c r="D436" i="17"/>
  <c r="C436" i="17"/>
  <c r="B436" i="17"/>
  <c r="A436" i="17"/>
  <c r="AM435" i="17"/>
  <c r="AL435" i="17"/>
  <c r="AK435" i="17"/>
  <c r="AJ435" i="17"/>
  <c r="AI435" i="17"/>
  <c r="AH435" i="17"/>
  <c r="AG435" i="17"/>
  <c r="AF435" i="17"/>
  <c r="AE435" i="17"/>
  <c r="AD435" i="17"/>
  <c r="AC435" i="17"/>
  <c r="AB435" i="17"/>
  <c r="AA435" i="17"/>
  <c r="Z435" i="17"/>
  <c r="Y435" i="17"/>
  <c r="X435" i="17"/>
  <c r="W435" i="17"/>
  <c r="V435" i="17"/>
  <c r="U435" i="17"/>
  <c r="T435" i="17"/>
  <c r="S435" i="17"/>
  <c r="R435" i="17"/>
  <c r="Q435" i="17"/>
  <c r="P435" i="17"/>
  <c r="O435" i="17"/>
  <c r="N435" i="17"/>
  <c r="M435" i="17"/>
  <c r="L435" i="17"/>
  <c r="K435" i="17"/>
  <c r="J435" i="17"/>
  <c r="I435" i="17"/>
  <c r="H435" i="17"/>
  <c r="G435" i="17"/>
  <c r="F435" i="17"/>
  <c r="E435" i="17"/>
  <c r="D435" i="17"/>
  <c r="C435" i="17"/>
  <c r="B435" i="17"/>
  <c r="A435" i="17"/>
  <c r="AM434" i="17"/>
  <c r="AL434" i="17"/>
  <c r="AK434" i="17"/>
  <c r="AJ434" i="17"/>
  <c r="AI434" i="17"/>
  <c r="AH434" i="17"/>
  <c r="AG434" i="17"/>
  <c r="AF434" i="17"/>
  <c r="AE434" i="17"/>
  <c r="AD434" i="17"/>
  <c r="AC434" i="17"/>
  <c r="AB434" i="17"/>
  <c r="AA434" i="17"/>
  <c r="Z434" i="17"/>
  <c r="Y434" i="17"/>
  <c r="X434" i="17"/>
  <c r="W434" i="17"/>
  <c r="V434" i="17"/>
  <c r="U434" i="17"/>
  <c r="T434" i="17"/>
  <c r="S434" i="17"/>
  <c r="R434" i="17"/>
  <c r="Q434" i="17"/>
  <c r="P434" i="17"/>
  <c r="O434" i="17"/>
  <c r="N434" i="17"/>
  <c r="M434" i="17"/>
  <c r="L434" i="17"/>
  <c r="K434" i="17"/>
  <c r="J434" i="17"/>
  <c r="I434" i="17"/>
  <c r="H434" i="17"/>
  <c r="G434" i="17"/>
  <c r="F434" i="17"/>
  <c r="E434" i="17"/>
  <c r="D434" i="17"/>
  <c r="C434" i="17"/>
  <c r="B434" i="17"/>
  <c r="A434" i="17"/>
  <c r="AM433" i="17"/>
  <c r="AL433" i="17"/>
  <c r="AK433" i="17"/>
  <c r="AJ433" i="17"/>
  <c r="AI433" i="17"/>
  <c r="AH433" i="17"/>
  <c r="AG433" i="17"/>
  <c r="AF433" i="17"/>
  <c r="AE433" i="17"/>
  <c r="AD433" i="17"/>
  <c r="AC433" i="17"/>
  <c r="AB433" i="17"/>
  <c r="AA433" i="17"/>
  <c r="Z433" i="17"/>
  <c r="Y433" i="17"/>
  <c r="X433" i="17"/>
  <c r="W433" i="17"/>
  <c r="V433" i="17"/>
  <c r="U433" i="17"/>
  <c r="T433" i="17"/>
  <c r="S433" i="17"/>
  <c r="R433" i="17"/>
  <c r="Q433" i="17"/>
  <c r="P433" i="17"/>
  <c r="O433" i="17"/>
  <c r="N433" i="17"/>
  <c r="M433" i="17"/>
  <c r="L433" i="17"/>
  <c r="K433" i="17"/>
  <c r="J433" i="17"/>
  <c r="I433" i="17"/>
  <c r="H433" i="17"/>
  <c r="G433" i="17"/>
  <c r="F433" i="17"/>
  <c r="E433" i="17"/>
  <c r="D433" i="17"/>
  <c r="C433" i="17"/>
  <c r="B433" i="17"/>
  <c r="A433" i="17"/>
  <c r="AM432" i="17"/>
  <c r="AL432" i="17"/>
  <c r="AK432" i="17"/>
  <c r="AJ432" i="17"/>
  <c r="AI432" i="17"/>
  <c r="AH432" i="17"/>
  <c r="AG432" i="17"/>
  <c r="AF432" i="17"/>
  <c r="AE432" i="17"/>
  <c r="AD432" i="17"/>
  <c r="AC432" i="17"/>
  <c r="AB432" i="17"/>
  <c r="AA432" i="17"/>
  <c r="Z432" i="17"/>
  <c r="Y432" i="17"/>
  <c r="X432" i="17"/>
  <c r="W432" i="17"/>
  <c r="V432" i="17"/>
  <c r="U432" i="17"/>
  <c r="T432" i="17"/>
  <c r="S432" i="17"/>
  <c r="R432" i="17"/>
  <c r="Q432" i="17"/>
  <c r="P432" i="17"/>
  <c r="O432" i="17"/>
  <c r="N432" i="17"/>
  <c r="M432" i="17"/>
  <c r="L432" i="17"/>
  <c r="K432" i="17"/>
  <c r="J432" i="17"/>
  <c r="I432" i="17"/>
  <c r="H432" i="17"/>
  <c r="G432" i="17"/>
  <c r="F432" i="17"/>
  <c r="E432" i="17"/>
  <c r="D432" i="17"/>
  <c r="C432" i="17"/>
  <c r="B432" i="17"/>
  <c r="A432" i="17"/>
  <c r="AM431" i="17"/>
  <c r="AL431" i="17"/>
  <c r="AK431" i="17"/>
  <c r="AJ431" i="17"/>
  <c r="AI431" i="17"/>
  <c r="AH431" i="17"/>
  <c r="AG431" i="17"/>
  <c r="AF431" i="17"/>
  <c r="AE431" i="17"/>
  <c r="AD431" i="17"/>
  <c r="AC431" i="17"/>
  <c r="AB431" i="17"/>
  <c r="AA431" i="17"/>
  <c r="Z431" i="17"/>
  <c r="Y431" i="17"/>
  <c r="X431" i="17"/>
  <c r="W431" i="17"/>
  <c r="V431" i="17"/>
  <c r="U431" i="17"/>
  <c r="T431" i="17"/>
  <c r="S431" i="17"/>
  <c r="R431" i="17"/>
  <c r="Q431" i="17"/>
  <c r="P431" i="17"/>
  <c r="O431" i="17"/>
  <c r="N431" i="17"/>
  <c r="M431" i="17"/>
  <c r="L431" i="17"/>
  <c r="K431" i="17"/>
  <c r="J431" i="17"/>
  <c r="I431" i="17"/>
  <c r="H431" i="17"/>
  <c r="G431" i="17"/>
  <c r="F431" i="17"/>
  <c r="E431" i="17"/>
  <c r="D431" i="17"/>
  <c r="C431" i="17"/>
  <c r="B431" i="17"/>
  <c r="A431" i="17"/>
  <c r="AM430" i="17"/>
  <c r="AL430" i="17"/>
  <c r="AK430" i="17"/>
  <c r="AJ430" i="17"/>
  <c r="AI430" i="17"/>
  <c r="AH430" i="17"/>
  <c r="AG430" i="17"/>
  <c r="AF430" i="17"/>
  <c r="AE430" i="17"/>
  <c r="AD430" i="17"/>
  <c r="AC430" i="17"/>
  <c r="AB430" i="17"/>
  <c r="AA430" i="17"/>
  <c r="Z430" i="17"/>
  <c r="Y430" i="17"/>
  <c r="X430" i="17"/>
  <c r="W430" i="17"/>
  <c r="V430" i="17"/>
  <c r="U430" i="17"/>
  <c r="T430" i="17"/>
  <c r="S430" i="17"/>
  <c r="R430" i="17"/>
  <c r="Q430" i="17"/>
  <c r="P430" i="17"/>
  <c r="O430" i="17"/>
  <c r="N430" i="17"/>
  <c r="M430" i="17"/>
  <c r="L430" i="17"/>
  <c r="K430" i="17"/>
  <c r="J430" i="17"/>
  <c r="I430" i="17"/>
  <c r="H430" i="17"/>
  <c r="G430" i="17"/>
  <c r="F430" i="17"/>
  <c r="E430" i="17"/>
  <c r="D430" i="17"/>
  <c r="C430" i="17"/>
  <c r="B430" i="17"/>
  <c r="A430" i="17"/>
  <c r="AM429" i="17"/>
  <c r="AL429" i="17"/>
  <c r="AK429" i="17"/>
  <c r="AJ429" i="17"/>
  <c r="AI429" i="17"/>
  <c r="AH429" i="17"/>
  <c r="AG429" i="17"/>
  <c r="AF429" i="17"/>
  <c r="AE429" i="17"/>
  <c r="AD429" i="17"/>
  <c r="AC429" i="17"/>
  <c r="AB429" i="17"/>
  <c r="AA429" i="17"/>
  <c r="Z429" i="17"/>
  <c r="Y429" i="17"/>
  <c r="X429" i="17"/>
  <c r="W429" i="17"/>
  <c r="V429" i="17"/>
  <c r="U429" i="17"/>
  <c r="T429" i="17"/>
  <c r="S429" i="17"/>
  <c r="R429" i="17"/>
  <c r="Q429" i="17"/>
  <c r="P429" i="17"/>
  <c r="O429" i="17"/>
  <c r="N429" i="17"/>
  <c r="M429" i="17"/>
  <c r="L429" i="17"/>
  <c r="K429" i="17"/>
  <c r="J429" i="17"/>
  <c r="I429" i="17"/>
  <c r="H429" i="17"/>
  <c r="G429" i="17"/>
  <c r="F429" i="17"/>
  <c r="E429" i="17"/>
  <c r="D429" i="17"/>
  <c r="C429" i="17"/>
  <c r="B429" i="17"/>
  <c r="A429" i="17"/>
  <c r="AM428" i="17"/>
  <c r="AL428" i="17"/>
  <c r="AK428" i="17"/>
  <c r="AJ428" i="17"/>
  <c r="AI428" i="17"/>
  <c r="AH428" i="17"/>
  <c r="AG428" i="17"/>
  <c r="AF428" i="17"/>
  <c r="AE428" i="17"/>
  <c r="AD428" i="17"/>
  <c r="AC428" i="17"/>
  <c r="AB428" i="17"/>
  <c r="AA428" i="17"/>
  <c r="Z428" i="17"/>
  <c r="Y428" i="17"/>
  <c r="X428" i="17"/>
  <c r="W428" i="17"/>
  <c r="V428" i="17"/>
  <c r="U428" i="17"/>
  <c r="T428" i="17"/>
  <c r="S428" i="17"/>
  <c r="R428" i="17"/>
  <c r="Q428" i="17"/>
  <c r="P428" i="17"/>
  <c r="O428" i="17"/>
  <c r="N428" i="17"/>
  <c r="M428" i="17"/>
  <c r="L428" i="17"/>
  <c r="K428" i="17"/>
  <c r="J428" i="17"/>
  <c r="I428" i="17"/>
  <c r="H428" i="17"/>
  <c r="G428" i="17"/>
  <c r="F428" i="17"/>
  <c r="E428" i="17"/>
  <c r="D428" i="17"/>
  <c r="C428" i="17"/>
  <c r="B428" i="17"/>
  <c r="A428" i="17"/>
  <c r="AM427" i="17"/>
  <c r="AL427" i="17"/>
  <c r="AK427" i="17"/>
  <c r="AJ427" i="17"/>
  <c r="AI427" i="17"/>
  <c r="AH427" i="17"/>
  <c r="AG427" i="17"/>
  <c r="AF427" i="17"/>
  <c r="AE427" i="17"/>
  <c r="AD427" i="17"/>
  <c r="AC427" i="17"/>
  <c r="AB427" i="17"/>
  <c r="AA427" i="17"/>
  <c r="Z427" i="17"/>
  <c r="Y427" i="17"/>
  <c r="X427" i="17"/>
  <c r="W427" i="17"/>
  <c r="V427" i="17"/>
  <c r="U427" i="17"/>
  <c r="T427" i="17"/>
  <c r="S427" i="17"/>
  <c r="R427" i="17"/>
  <c r="Q427" i="17"/>
  <c r="P427" i="17"/>
  <c r="O427" i="17"/>
  <c r="N427" i="17"/>
  <c r="M427" i="17"/>
  <c r="L427" i="17"/>
  <c r="K427" i="17"/>
  <c r="J427" i="17"/>
  <c r="I427" i="17"/>
  <c r="H427" i="17"/>
  <c r="G427" i="17"/>
  <c r="F427" i="17"/>
  <c r="E427" i="17"/>
  <c r="D427" i="17"/>
  <c r="C427" i="17"/>
  <c r="B427" i="17"/>
  <c r="A427" i="17"/>
  <c r="AM426" i="17"/>
  <c r="AL426" i="17"/>
  <c r="AK426" i="17"/>
  <c r="AJ426" i="17"/>
  <c r="AI426" i="17"/>
  <c r="AH426" i="17"/>
  <c r="AG426" i="17"/>
  <c r="AF426" i="17"/>
  <c r="AE426" i="17"/>
  <c r="AD426" i="17"/>
  <c r="AC426" i="17"/>
  <c r="AB426" i="17"/>
  <c r="AA426" i="17"/>
  <c r="Z426" i="17"/>
  <c r="Y426" i="17"/>
  <c r="X426" i="17"/>
  <c r="W426" i="17"/>
  <c r="V426" i="17"/>
  <c r="U426" i="17"/>
  <c r="T426" i="17"/>
  <c r="S426" i="17"/>
  <c r="R426" i="17"/>
  <c r="Q426" i="17"/>
  <c r="P426" i="17"/>
  <c r="O426" i="17"/>
  <c r="N426" i="17"/>
  <c r="M426" i="17"/>
  <c r="L426" i="17"/>
  <c r="K426" i="17"/>
  <c r="J426" i="17"/>
  <c r="I426" i="17"/>
  <c r="H426" i="17"/>
  <c r="G426" i="17"/>
  <c r="F426" i="17"/>
  <c r="E426" i="17"/>
  <c r="D426" i="17"/>
  <c r="C426" i="17"/>
  <c r="B426" i="17"/>
  <c r="A426" i="17"/>
  <c r="AM425" i="17"/>
  <c r="AL425" i="17"/>
  <c r="AK425" i="17"/>
  <c r="AJ425" i="17"/>
  <c r="AI425" i="17"/>
  <c r="AH425" i="17"/>
  <c r="AG425" i="17"/>
  <c r="AF425" i="17"/>
  <c r="AE425" i="17"/>
  <c r="AD425" i="17"/>
  <c r="AC425" i="17"/>
  <c r="AB425" i="17"/>
  <c r="AA425" i="17"/>
  <c r="Z425" i="17"/>
  <c r="Y425" i="17"/>
  <c r="X425" i="17"/>
  <c r="W425" i="17"/>
  <c r="V425" i="17"/>
  <c r="U425" i="17"/>
  <c r="T425" i="17"/>
  <c r="S425" i="17"/>
  <c r="R425" i="17"/>
  <c r="Q425" i="17"/>
  <c r="P425" i="17"/>
  <c r="O425" i="17"/>
  <c r="N425" i="17"/>
  <c r="M425" i="17"/>
  <c r="L425" i="17"/>
  <c r="K425" i="17"/>
  <c r="J425" i="17"/>
  <c r="I425" i="17"/>
  <c r="H425" i="17"/>
  <c r="G425" i="17"/>
  <c r="F425" i="17"/>
  <c r="E425" i="17"/>
  <c r="D425" i="17"/>
  <c r="C425" i="17"/>
  <c r="B425" i="17"/>
  <c r="A425" i="17"/>
  <c r="AM424" i="17"/>
  <c r="AL424" i="17"/>
  <c r="AK424" i="17"/>
  <c r="AJ424" i="17"/>
  <c r="AI424" i="17"/>
  <c r="AH424" i="17"/>
  <c r="AG424" i="17"/>
  <c r="AF424" i="17"/>
  <c r="AE424" i="17"/>
  <c r="AD424" i="17"/>
  <c r="AC424" i="17"/>
  <c r="AB424" i="17"/>
  <c r="AA424" i="17"/>
  <c r="Z424" i="17"/>
  <c r="Y424" i="17"/>
  <c r="X424" i="17"/>
  <c r="W424" i="17"/>
  <c r="V424" i="17"/>
  <c r="U424" i="17"/>
  <c r="T424" i="17"/>
  <c r="S424" i="17"/>
  <c r="R424" i="17"/>
  <c r="Q424" i="17"/>
  <c r="P424" i="17"/>
  <c r="O424" i="17"/>
  <c r="N424" i="17"/>
  <c r="M424" i="17"/>
  <c r="L424" i="17"/>
  <c r="K424" i="17"/>
  <c r="J424" i="17"/>
  <c r="I424" i="17"/>
  <c r="H424" i="17"/>
  <c r="G424" i="17"/>
  <c r="F424" i="17"/>
  <c r="E424" i="17"/>
  <c r="D424" i="17"/>
  <c r="C424" i="17"/>
  <c r="B424" i="17"/>
  <c r="A424" i="17"/>
  <c r="AM423" i="17"/>
  <c r="AL423" i="17"/>
  <c r="AK423" i="17"/>
  <c r="AJ423" i="17"/>
  <c r="AI423" i="17"/>
  <c r="AH423" i="17"/>
  <c r="AG423" i="17"/>
  <c r="AF423" i="17"/>
  <c r="AE423" i="17"/>
  <c r="AD423" i="17"/>
  <c r="AC423" i="17"/>
  <c r="AB423" i="17"/>
  <c r="AA423" i="17"/>
  <c r="Z423" i="17"/>
  <c r="Y423" i="17"/>
  <c r="X423" i="17"/>
  <c r="W423" i="17"/>
  <c r="V423" i="17"/>
  <c r="U423" i="17"/>
  <c r="T423" i="17"/>
  <c r="S423" i="17"/>
  <c r="R423" i="17"/>
  <c r="Q423" i="17"/>
  <c r="P423" i="17"/>
  <c r="O423" i="17"/>
  <c r="N423" i="17"/>
  <c r="M423" i="17"/>
  <c r="L423" i="17"/>
  <c r="K423" i="17"/>
  <c r="J423" i="17"/>
  <c r="I423" i="17"/>
  <c r="H423" i="17"/>
  <c r="G423" i="17"/>
  <c r="F423" i="17"/>
  <c r="E423" i="17"/>
  <c r="D423" i="17"/>
  <c r="C423" i="17"/>
  <c r="B423" i="17"/>
  <c r="A423" i="17"/>
  <c r="AM422" i="17"/>
  <c r="AL422" i="17"/>
  <c r="AK422" i="17"/>
  <c r="AJ422" i="17"/>
  <c r="AI422" i="17"/>
  <c r="AH422" i="17"/>
  <c r="AG422" i="17"/>
  <c r="AF422" i="17"/>
  <c r="AE422" i="17"/>
  <c r="AD422" i="17"/>
  <c r="AC422" i="17"/>
  <c r="AB422" i="17"/>
  <c r="AA422" i="17"/>
  <c r="Z422" i="17"/>
  <c r="Y422" i="17"/>
  <c r="X422" i="17"/>
  <c r="W422" i="17"/>
  <c r="V422" i="17"/>
  <c r="U422" i="17"/>
  <c r="T422" i="17"/>
  <c r="S422" i="17"/>
  <c r="R422" i="17"/>
  <c r="Q422" i="17"/>
  <c r="P422" i="17"/>
  <c r="O422" i="17"/>
  <c r="N422" i="17"/>
  <c r="M422" i="17"/>
  <c r="L422" i="17"/>
  <c r="K422" i="17"/>
  <c r="J422" i="17"/>
  <c r="I422" i="17"/>
  <c r="H422" i="17"/>
  <c r="G422" i="17"/>
  <c r="F422" i="17"/>
  <c r="E422" i="17"/>
  <c r="D422" i="17"/>
  <c r="C422" i="17"/>
  <c r="B422" i="17"/>
  <c r="A422" i="17"/>
  <c r="AM421" i="17"/>
  <c r="AL421" i="17"/>
  <c r="AK421" i="17"/>
  <c r="AJ421" i="17"/>
  <c r="AI421" i="17"/>
  <c r="AH421" i="17"/>
  <c r="AG421" i="17"/>
  <c r="AF421" i="17"/>
  <c r="AE421" i="17"/>
  <c r="AD421" i="17"/>
  <c r="AC421" i="17"/>
  <c r="AB421" i="17"/>
  <c r="AA421" i="17"/>
  <c r="Z421" i="17"/>
  <c r="Y421" i="17"/>
  <c r="X421" i="17"/>
  <c r="W421" i="17"/>
  <c r="V421" i="17"/>
  <c r="U421" i="17"/>
  <c r="T421" i="17"/>
  <c r="S421" i="17"/>
  <c r="R421" i="17"/>
  <c r="Q421" i="17"/>
  <c r="P421" i="17"/>
  <c r="O421" i="17"/>
  <c r="N421" i="17"/>
  <c r="M421" i="17"/>
  <c r="L421" i="17"/>
  <c r="K421" i="17"/>
  <c r="J421" i="17"/>
  <c r="I421" i="17"/>
  <c r="H421" i="17"/>
  <c r="G421" i="17"/>
  <c r="F421" i="17"/>
  <c r="E421" i="17"/>
  <c r="D421" i="17"/>
  <c r="C421" i="17"/>
  <c r="B421" i="17"/>
  <c r="A421" i="17"/>
  <c r="AM420" i="17"/>
  <c r="AL420" i="17"/>
  <c r="AK420" i="17"/>
  <c r="AJ420" i="17"/>
  <c r="AI420" i="17"/>
  <c r="AH420" i="17"/>
  <c r="AG420" i="17"/>
  <c r="AF420" i="17"/>
  <c r="AE420" i="17"/>
  <c r="AD420" i="17"/>
  <c r="AC420" i="17"/>
  <c r="AB420" i="17"/>
  <c r="AA420" i="17"/>
  <c r="Z420" i="17"/>
  <c r="Y420" i="17"/>
  <c r="X420" i="17"/>
  <c r="W420" i="17"/>
  <c r="V420" i="17"/>
  <c r="U420" i="17"/>
  <c r="T420" i="17"/>
  <c r="S420" i="17"/>
  <c r="R420" i="17"/>
  <c r="Q420" i="17"/>
  <c r="P420" i="17"/>
  <c r="O420" i="17"/>
  <c r="N420" i="17"/>
  <c r="M420" i="17"/>
  <c r="L420" i="17"/>
  <c r="K420" i="17"/>
  <c r="J420" i="17"/>
  <c r="I420" i="17"/>
  <c r="H420" i="17"/>
  <c r="G420" i="17"/>
  <c r="F420" i="17"/>
  <c r="E420" i="17"/>
  <c r="D420" i="17"/>
  <c r="C420" i="17"/>
  <c r="B420" i="17"/>
  <c r="A420" i="17"/>
  <c r="AM419" i="17"/>
  <c r="AL419" i="17"/>
  <c r="AK419" i="17"/>
  <c r="AJ419" i="17"/>
  <c r="AI419" i="17"/>
  <c r="AH419" i="17"/>
  <c r="AG419" i="17"/>
  <c r="AF419" i="17"/>
  <c r="AE419" i="17"/>
  <c r="AD419" i="17"/>
  <c r="AC419" i="17"/>
  <c r="AB419" i="17"/>
  <c r="AA419" i="17"/>
  <c r="Z419" i="17"/>
  <c r="Y419" i="17"/>
  <c r="X419" i="17"/>
  <c r="W419" i="17"/>
  <c r="V419" i="17"/>
  <c r="U419" i="17"/>
  <c r="T419" i="17"/>
  <c r="S419" i="17"/>
  <c r="R419" i="17"/>
  <c r="Q419" i="17"/>
  <c r="P419" i="17"/>
  <c r="O419" i="17"/>
  <c r="N419" i="17"/>
  <c r="M419" i="17"/>
  <c r="L419" i="17"/>
  <c r="K419" i="17"/>
  <c r="J419" i="17"/>
  <c r="I419" i="17"/>
  <c r="H419" i="17"/>
  <c r="G419" i="17"/>
  <c r="F419" i="17"/>
  <c r="E419" i="17"/>
  <c r="D419" i="17"/>
  <c r="C419" i="17"/>
  <c r="B419" i="17"/>
  <c r="A419" i="17"/>
  <c r="AM418" i="17"/>
  <c r="AL418" i="17"/>
  <c r="AK418" i="17"/>
  <c r="AJ418" i="17"/>
  <c r="AI418" i="17"/>
  <c r="AH418" i="17"/>
  <c r="AG418" i="17"/>
  <c r="AF418" i="17"/>
  <c r="AE418" i="17"/>
  <c r="AD418" i="17"/>
  <c r="AC418" i="17"/>
  <c r="AB418" i="17"/>
  <c r="AA418" i="17"/>
  <c r="Z418" i="17"/>
  <c r="Y418" i="17"/>
  <c r="X418" i="17"/>
  <c r="W418" i="17"/>
  <c r="V418" i="17"/>
  <c r="U418" i="17"/>
  <c r="T418" i="17"/>
  <c r="S418" i="17"/>
  <c r="R418" i="17"/>
  <c r="Q418" i="17"/>
  <c r="P418" i="17"/>
  <c r="O418" i="17"/>
  <c r="N418" i="17"/>
  <c r="M418" i="17"/>
  <c r="L418" i="17"/>
  <c r="K418" i="17"/>
  <c r="J418" i="17"/>
  <c r="I418" i="17"/>
  <c r="H418" i="17"/>
  <c r="G418" i="17"/>
  <c r="F418" i="17"/>
  <c r="E418" i="17"/>
  <c r="D418" i="17"/>
  <c r="C418" i="17"/>
  <c r="B418" i="17"/>
  <c r="A418" i="17"/>
  <c r="AM417" i="17"/>
  <c r="AL417" i="17"/>
  <c r="AK417" i="17"/>
  <c r="AJ417" i="17"/>
  <c r="AI417" i="17"/>
  <c r="AH417" i="17"/>
  <c r="AG417" i="17"/>
  <c r="AF417" i="17"/>
  <c r="AE417" i="17"/>
  <c r="AD417" i="17"/>
  <c r="AC417" i="17"/>
  <c r="AB417" i="17"/>
  <c r="AA417" i="17"/>
  <c r="Z417" i="17"/>
  <c r="Y417" i="17"/>
  <c r="X417" i="17"/>
  <c r="W417" i="17"/>
  <c r="V417" i="17"/>
  <c r="U417" i="17"/>
  <c r="T417" i="17"/>
  <c r="S417" i="17"/>
  <c r="R417" i="17"/>
  <c r="Q417" i="17"/>
  <c r="P417" i="17"/>
  <c r="O417" i="17"/>
  <c r="N417" i="17"/>
  <c r="M417" i="17"/>
  <c r="L417" i="17"/>
  <c r="K417" i="17"/>
  <c r="J417" i="17"/>
  <c r="I417" i="17"/>
  <c r="H417" i="17"/>
  <c r="G417" i="17"/>
  <c r="F417" i="17"/>
  <c r="E417" i="17"/>
  <c r="D417" i="17"/>
  <c r="C417" i="17"/>
  <c r="B417" i="17"/>
  <c r="A417" i="17"/>
  <c r="AM416" i="17"/>
  <c r="AL416" i="17"/>
  <c r="AK416" i="17"/>
  <c r="AJ416" i="17"/>
  <c r="AI416" i="17"/>
  <c r="AH416" i="17"/>
  <c r="AG416" i="17"/>
  <c r="AF416" i="17"/>
  <c r="AE416" i="17"/>
  <c r="AD416" i="17"/>
  <c r="AC416" i="17"/>
  <c r="AB416" i="17"/>
  <c r="AA416" i="17"/>
  <c r="Z416" i="17"/>
  <c r="Y416" i="17"/>
  <c r="X416" i="17"/>
  <c r="W416" i="17"/>
  <c r="V416" i="17"/>
  <c r="U416" i="17"/>
  <c r="T416" i="17"/>
  <c r="S416" i="17"/>
  <c r="R416" i="17"/>
  <c r="Q416" i="17"/>
  <c r="P416" i="17"/>
  <c r="O416" i="17"/>
  <c r="N416" i="17"/>
  <c r="M416" i="17"/>
  <c r="L416" i="17"/>
  <c r="K416" i="17"/>
  <c r="J416" i="17"/>
  <c r="I416" i="17"/>
  <c r="H416" i="17"/>
  <c r="G416" i="17"/>
  <c r="F416" i="17"/>
  <c r="E416" i="17"/>
  <c r="D416" i="17"/>
  <c r="C416" i="17"/>
  <c r="B416" i="17"/>
  <c r="A416" i="17"/>
  <c r="AM415" i="17"/>
  <c r="AL415" i="17"/>
  <c r="AK415" i="17"/>
  <c r="AJ415" i="17"/>
  <c r="AI415" i="17"/>
  <c r="AH415" i="17"/>
  <c r="AG415" i="17"/>
  <c r="AF415" i="17"/>
  <c r="AE415" i="17"/>
  <c r="AD415" i="17"/>
  <c r="AC415" i="17"/>
  <c r="AB415" i="17"/>
  <c r="AA415" i="17"/>
  <c r="Z415" i="17"/>
  <c r="Y415" i="17"/>
  <c r="X415" i="17"/>
  <c r="W415" i="17"/>
  <c r="V415" i="17"/>
  <c r="U415" i="17"/>
  <c r="T415" i="17"/>
  <c r="S415" i="17"/>
  <c r="R415" i="17"/>
  <c r="Q415" i="17"/>
  <c r="P415" i="17"/>
  <c r="O415" i="17"/>
  <c r="N415" i="17"/>
  <c r="M415" i="17"/>
  <c r="L415" i="17"/>
  <c r="K415" i="17"/>
  <c r="J415" i="17"/>
  <c r="I415" i="17"/>
  <c r="H415" i="17"/>
  <c r="G415" i="17"/>
  <c r="F415" i="17"/>
  <c r="E415" i="17"/>
  <c r="D415" i="17"/>
  <c r="C415" i="17"/>
  <c r="B415" i="17"/>
  <c r="A415" i="17"/>
  <c r="AM414" i="17"/>
  <c r="AL414" i="17"/>
  <c r="AK414" i="17"/>
  <c r="AJ414" i="17"/>
  <c r="AI414" i="17"/>
  <c r="AH414" i="17"/>
  <c r="AG414" i="17"/>
  <c r="AF414" i="17"/>
  <c r="AE414" i="17"/>
  <c r="AD414" i="17"/>
  <c r="AC414" i="17"/>
  <c r="AB414" i="17"/>
  <c r="AA414" i="17"/>
  <c r="Z414" i="17"/>
  <c r="Y414" i="17"/>
  <c r="X414" i="17"/>
  <c r="W414" i="17"/>
  <c r="V414" i="17"/>
  <c r="U414" i="17"/>
  <c r="T414" i="17"/>
  <c r="S414" i="17"/>
  <c r="R414" i="17"/>
  <c r="Q414" i="17"/>
  <c r="P414" i="17"/>
  <c r="O414" i="17"/>
  <c r="N414" i="17"/>
  <c r="M414" i="17"/>
  <c r="L414" i="17"/>
  <c r="K414" i="17"/>
  <c r="J414" i="17"/>
  <c r="I414" i="17"/>
  <c r="H414" i="17"/>
  <c r="G414" i="17"/>
  <c r="F414" i="17"/>
  <c r="E414" i="17"/>
  <c r="D414" i="17"/>
  <c r="C414" i="17"/>
  <c r="B414" i="17"/>
  <c r="A414" i="17"/>
  <c r="AM413" i="17"/>
  <c r="AL413" i="17"/>
  <c r="AK413" i="17"/>
  <c r="AJ413" i="17"/>
  <c r="AI413" i="17"/>
  <c r="AH413" i="17"/>
  <c r="AG413" i="17"/>
  <c r="AF413" i="17"/>
  <c r="AE413" i="17"/>
  <c r="AD413" i="17"/>
  <c r="AC413" i="17"/>
  <c r="AB413" i="17"/>
  <c r="AA413" i="17"/>
  <c r="Z413" i="17"/>
  <c r="Y413" i="17"/>
  <c r="X413" i="17"/>
  <c r="W413" i="17"/>
  <c r="V413" i="17"/>
  <c r="U413" i="17"/>
  <c r="T413" i="17"/>
  <c r="S413" i="17"/>
  <c r="R413" i="17"/>
  <c r="Q413" i="17"/>
  <c r="P413" i="17"/>
  <c r="O413" i="17"/>
  <c r="N413" i="17"/>
  <c r="M413" i="17"/>
  <c r="L413" i="17"/>
  <c r="K413" i="17"/>
  <c r="J413" i="17"/>
  <c r="I413" i="17"/>
  <c r="H413" i="17"/>
  <c r="G413" i="17"/>
  <c r="F413" i="17"/>
  <c r="E413" i="17"/>
  <c r="D413" i="17"/>
  <c r="C413" i="17"/>
  <c r="B413" i="17"/>
  <c r="A413" i="17"/>
  <c r="AM412" i="17"/>
  <c r="AL412" i="17"/>
  <c r="AK412" i="17"/>
  <c r="AJ412" i="17"/>
  <c r="AI412" i="17"/>
  <c r="AH412" i="17"/>
  <c r="AG412" i="17"/>
  <c r="AF412" i="17"/>
  <c r="AE412" i="17"/>
  <c r="AD412" i="17"/>
  <c r="AC412" i="17"/>
  <c r="AB412" i="17"/>
  <c r="AA412" i="17"/>
  <c r="Z412" i="17"/>
  <c r="Y412" i="17"/>
  <c r="X412" i="17"/>
  <c r="W412" i="17"/>
  <c r="V412" i="17"/>
  <c r="U412" i="17"/>
  <c r="T412" i="17"/>
  <c r="S412" i="17"/>
  <c r="R412" i="17"/>
  <c r="Q412" i="17"/>
  <c r="P412" i="17"/>
  <c r="O412" i="17"/>
  <c r="N412" i="17"/>
  <c r="M412" i="17"/>
  <c r="L412" i="17"/>
  <c r="K412" i="17"/>
  <c r="J412" i="17"/>
  <c r="I412" i="17"/>
  <c r="H412" i="17"/>
  <c r="G412" i="17"/>
  <c r="F412" i="17"/>
  <c r="E412" i="17"/>
  <c r="D412" i="17"/>
  <c r="C412" i="17"/>
  <c r="B412" i="17"/>
  <c r="A412" i="17"/>
  <c r="AM411" i="17"/>
  <c r="AL411" i="17"/>
  <c r="AK411" i="17"/>
  <c r="AJ411" i="17"/>
  <c r="AI411" i="17"/>
  <c r="AH411" i="17"/>
  <c r="AG411" i="17"/>
  <c r="AF411" i="17"/>
  <c r="AE411" i="17"/>
  <c r="AD411" i="17"/>
  <c r="AC411" i="17"/>
  <c r="AB411" i="17"/>
  <c r="AA411" i="17"/>
  <c r="Z411" i="17"/>
  <c r="Y411" i="17"/>
  <c r="X411" i="17"/>
  <c r="W411" i="17"/>
  <c r="V411" i="17"/>
  <c r="U411" i="17"/>
  <c r="T411" i="17"/>
  <c r="S411" i="17"/>
  <c r="R411" i="17"/>
  <c r="Q411" i="17"/>
  <c r="P411" i="17"/>
  <c r="O411" i="17"/>
  <c r="N411" i="17"/>
  <c r="M411" i="17"/>
  <c r="L411" i="17"/>
  <c r="K411" i="17"/>
  <c r="J411" i="17"/>
  <c r="I411" i="17"/>
  <c r="H411" i="17"/>
  <c r="G411" i="17"/>
  <c r="F411" i="17"/>
  <c r="E411" i="17"/>
  <c r="D411" i="17"/>
  <c r="C411" i="17"/>
  <c r="B411" i="17"/>
  <c r="A411" i="17"/>
  <c r="AM410" i="17"/>
  <c r="AL410" i="17"/>
  <c r="AK410" i="17"/>
  <c r="AJ410" i="17"/>
  <c r="AI410" i="17"/>
  <c r="AH410" i="17"/>
  <c r="AG410" i="17"/>
  <c r="AF410" i="17"/>
  <c r="AE410" i="17"/>
  <c r="AD410" i="17"/>
  <c r="AC410" i="17"/>
  <c r="AB410" i="17"/>
  <c r="AA410" i="17"/>
  <c r="Z410" i="17"/>
  <c r="Y410" i="17"/>
  <c r="X410" i="17"/>
  <c r="W410" i="17"/>
  <c r="V410" i="17"/>
  <c r="U410" i="17"/>
  <c r="T410" i="17"/>
  <c r="S410" i="17"/>
  <c r="R410" i="17"/>
  <c r="Q410" i="17"/>
  <c r="P410" i="17"/>
  <c r="O410" i="17"/>
  <c r="N410" i="17"/>
  <c r="M410" i="17"/>
  <c r="L410" i="17"/>
  <c r="K410" i="17"/>
  <c r="J410" i="17"/>
  <c r="I410" i="17"/>
  <c r="H410" i="17"/>
  <c r="G410" i="17"/>
  <c r="F410" i="17"/>
  <c r="E410" i="17"/>
  <c r="D410" i="17"/>
  <c r="C410" i="17"/>
  <c r="B410" i="17"/>
  <c r="A410" i="17"/>
  <c r="AM409" i="17"/>
  <c r="AL409" i="17"/>
  <c r="AK409" i="17"/>
  <c r="AJ409" i="17"/>
  <c r="AI409" i="17"/>
  <c r="AH409" i="17"/>
  <c r="AG409" i="17"/>
  <c r="AF409" i="17"/>
  <c r="AE409" i="17"/>
  <c r="AD409" i="17"/>
  <c r="AC409" i="17"/>
  <c r="AB409" i="17"/>
  <c r="AA409" i="17"/>
  <c r="Z409" i="17"/>
  <c r="Y409" i="17"/>
  <c r="X409" i="17"/>
  <c r="W409" i="17"/>
  <c r="V409" i="17"/>
  <c r="U409" i="17"/>
  <c r="T409" i="17"/>
  <c r="S409" i="17"/>
  <c r="R409" i="17"/>
  <c r="Q409" i="17"/>
  <c r="P409" i="17"/>
  <c r="O409" i="17"/>
  <c r="N409" i="17"/>
  <c r="M409" i="17"/>
  <c r="L409" i="17"/>
  <c r="K409" i="17"/>
  <c r="J409" i="17"/>
  <c r="I409" i="17"/>
  <c r="H409" i="17"/>
  <c r="G409" i="17"/>
  <c r="F409" i="17"/>
  <c r="E409" i="17"/>
  <c r="D409" i="17"/>
  <c r="C409" i="17"/>
  <c r="B409" i="17"/>
  <c r="A409" i="17"/>
  <c r="AM408" i="17"/>
  <c r="AL408" i="17"/>
  <c r="AK408" i="17"/>
  <c r="AJ408" i="17"/>
  <c r="AI408" i="17"/>
  <c r="AH408" i="17"/>
  <c r="AG408" i="17"/>
  <c r="AF408" i="17"/>
  <c r="AE408" i="17"/>
  <c r="AD408" i="17"/>
  <c r="AC408" i="17"/>
  <c r="AB408" i="17"/>
  <c r="AA408" i="17"/>
  <c r="Z408" i="17"/>
  <c r="Y408" i="17"/>
  <c r="X408" i="17"/>
  <c r="W408" i="17"/>
  <c r="V408" i="17"/>
  <c r="U408" i="17"/>
  <c r="T408" i="17"/>
  <c r="S408" i="17"/>
  <c r="R408" i="17"/>
  <c r="Q408" i="17"/>
  <c r="P408" i="17"/>
  <c r="O408" i="17"/>
  <c r="N408" i="17"/>
  <c r="M408" i="17"/>
  <c r="L408" i="17"/>
  <c r="K408" i="17"/>
  <c r="J408" i="17"/>
  <c r="I408" i="17"/>
  <c r="H408" i="17"/>
  <c r="G408" i="17"/>
  <c r="F408" i="17"/>
  <c r="E408" i="17"/>
  <c r="D408" i="17"/>
  <c r="C408" i="17"/>
  <c r="B408" i="17"/>
  <c r="A408" i="17"/>
  <c r="AM406" i="17"/>
  <c r="AL406" i="17"/>
  <c r="AK406" i="17"/>
  <c r="AJ406" i="17"/>
  <c r="AI406" i="17"/>
  <c r="AH406" i="17"/>
  <c r="AG406" i="17"/>
  <c r="AF406" i="17"/>
  <c r="AE406" i="17"/>
  <c r="AD406" i="17"/>
  <c r="AC406" i="17"/>
  <c r="AB406" i="17"/>
  <c r="AA406" i="17"/>
  <c r="Z406" i="17"/>
  <c r="Y406" i="17"/>
  <c r="X406" i="17"/>
  <c r="W406" i="17"/>
  <c r="V406" i="17"/>
  <c r="U406" i="17"/>
  <c r="T406" i="17"/>
  <c r="S406" i="17"/>
  <c r="R406" i="17"/>
  <c r="Q406" i="17"/>
  <c r="P406" i="17"/>
  <c r="O406" i="17"/>
  <c r="N406" i="17"/>
  <c r="M406" i="17"/>
  <c r="L406" i="17"/>
  <c r="K406" i="17"/>
  <c r="J406" i="17"/>
  <c r="I406" i="17"/>
  <c r="H406" i="17"/>
  <c r="G406" i="17"/>
  <c r="F406" i="17"/>
  <c r="E406" i="17"/>
  <c r="D406" i="17"/>
  <c r="C406" i="17"/>
  <c r="B406" i="17"/>
  <c r="A406" i="17"/>
  <c r="AM405" i="17"/>
  <c r="AL405" i="17"/>
  <c r="AK405" i="17"/>
  <c r="AJ405" i="17"/>
  <c r="AI405" i="17"/>
  <c r="AH405" i="17"/>
  <c r="AG405" i="17"/>
  <c r="AF405" i="17"/>
  <c r="AE405" i="17"/>
  <c r="AD405" i="17"/>
  <c r="AC405" i="17"/>
  <c r="AB405" i="17"/>
  <c r="AA405" i="17"/>
  <c r="Z405" i="17"/>
  <c r="Y405" i="17"/>
  <c r="X405" i="17"/>
  <c r="W405" i="17"/>
  <c r="V405" i="17"/>
  <c r="U405" i="17"/>
  <c r="T405" i="17"/>
  <c r="S405" i="17"/>
  <c r="R405" i="17"/>
  <c r="Q405" i="17"/>
  <c r="P405" i="17"/>
  <c r="O405" i="17"/>
  <c r="N405" i="17"/>
  <c r="M405" i="17"/>
  <c r="L405" i="17"/>
  <c r="K405" i="17"/>
  <c r="J405" i="17"/>
  <c r="I405" i="17"/>
  <c r="H405" i="17"/>
  <c r="G405" i="17"/>
  <c r="F405" i="17"/>
  <c r="E405" i="17"/>
  <c r="D405" i="17"/>
  <c r="C405" i="17"/>
  <c r="B405" i="17"/>
  <c r="A405" i="17"/>
  <c r="AM404" i="17"/>
  <c r="AL404" i="17"/>
  <c r="AK404" i="17"/>
  <c r="AJ404" i="17"/>
  <c r="AI404" i="17"/>
  <c r="AH404" i="17"/>
  <c r="AG404" i="17"/>
  <c r="AF404" i="17"/>
  <c r="AE404" i="17"/>
  <c r="AD404" i="17"/>
  <c r="AC404" i="17"/>
  <c r="AB404" i="17"/>
  <c r="AA404" i="17"/>
  <c r="Z404" i="17"/>
  <c r="Y404" i="17"/>
  <c r="X404" i="17"/>
  <c r="W404" i="17"/>
  <c r="V404" i="17"/>
  <c r="U404" i="17"/>
  <c r="T404" i="17"/>
  <c r="S404" i="17"/>
  <c r="R404" i="17"/>
  <c r="Q404" i="17"/>
  <c r="P404" i="17"/>
  <c r="O404" i="17"/>
  <c r="N404" i="17"/>
  <c r="M404" i="17"/>
  <c r="L404" i="17"/>
  <c r="K404" i="17"/>
  <c r="J404" i="17"/>
  <c r="I404" i="17"/>
  <c r="H404" i="17"/>
  <c r="G404" i="17"/>
  <c r="F404" i="17"/>
  <c r="E404" i="17"/>
  <c r="D404" i="17"/>
  <c r="C404" i="17"/>
  <c r="B404" i="17"/>
  <c r="A404" i="17"/>
  <c r="AM403" i="17"/>
  <c r="AL403" i="17"/>
  <c r="AK403" i="17"/>
  <c r="AJ403" i="17"/>
  <c r="AI403" i="17"/>
  <c r="AH403" i="17"/>
  <c r="AG403" i="17"/>
  <c r="AF403" i="17"/>
  <c r="AE403" i="17"/>
  <c r="AD403" i="17"/>
  <c r="AC403" i="17"/>
  <c r="AB403" i="17"/>
  <c r="AA403" i="17"/>
  <c r="Z403" i="17"/>
  <c r="Y403" i="17"/>
  <c r="X403" i="17"/>
  <c r="W403" i="17"/>
  <c r="V403" i="17"/>
  <c r="U403" i="17"/>
  <c r="T403" i="17"/>
  <c r="S403" i="17"/>
  <c r="R403" i="17"/>
  <c r="Q403" i="17"/>
  <c r="P403" i="17"/>
  <c r="O403" i="17"/>
  <c r="N403" i="17"/>
  <c r="M403" i="17"/>
  <c r="L403" i="17"/>
  <c r="K403" i="17"/>
  <c r="J403" i="17"/>
  <c r="I403" i="17"/>
  <c r="H403" i="17"/>
  <c r="G403" i="17"/>
  <c r="F403" i="17"/>
  <c r="E403" i="17"/>
  <c r="D403" i="17"/>
  <c r="C403" i="17"/>
  <c r="B403" i="17"/>
  <c r="A403" i="17"/>
  <c r="AM402" i="17"/>
  <c r="AL402" i="17"/>
  <c r="AK402" i="17"/>
  <c r="AJ402" i="17"/>
  <c r="AI402" i="17"/>
  <c r="AH402" i="17"/>
  <c r="AG402" i="17"/>
  <c r="AF402" i="17"/>
  <c r="AE402" i="17"/>
  <c r="AD402" i="17"/>
  <c r="AC402" i="17"/>
  <c r="AB402" i="17"/>
  <c r="AA402" i="17"/>
  <c r="Z402" i="17"/>
  <c r="Y402" i="17"/>
  <c r="X402" i="17"/>
  <c r="W402" i="17"/>
  <c r="V402" i="17"/>
  <c r="U402" i="17"/>
  <c r="T402" i="17"/>
  <c r="S402" i="17"/>
  <c r="R402" i="17"/>
  <c r="Q402" i="17"/>
  <c r="P402" i="17"/>
  <c r="O402" i="17"/>
  <c r="N402" i="17"/>
  <c r="M402" i="17"/>
  <c r="L402" i="17"/>
  <c r="K402" i="17"/>
  <c r="J402" i="17"/>
  <c r="I402" i="17"/>
  <c r="H402" i="17"/>
  <c r="G402" i="17"/>
  <c r="F402" i="17"/>
  <c r="E402" i="17"/>
  <c r="D402" i="17"/>
  <c r="C402" i="17"/>
  <c r="B402" i="17"/>
  <c r="A402" i="17"/>
  <c r="AM401" i="17"/>
  <c r="AL401" i="17"/>
  <c r="AK401" i="17"/>
  <c r="AJ401" i="17"/>
  <c r="AI401" i="17"/>
  <c r="AH401" i="17"/>
  <c r="AG401" i="17"/>
  <c r="AF401" i="17"/>
  <c r="AE401" i="17"/>
  <c r="AD401" i="17"/>
  <c r="AC401" i="17"/>
  <c r="AB401" i="17"/>
  <c r="AA401" i="17"/>
  <c r="Z401" i="17"/>
  <c r="Y401" i="17"/>
  <c r="X401" i="17"/>
  <c r="W401" i="17"/>
  <c r="V401" i="17"/>
  <c r="U401" i="17"/>
  <c r="T401" i="17"/>
  <c r="S401" i="17"/>
  <c r="R401" i="17"/>
  <c r="Q401" i="17"/>
  <c r="P401" i="17"/>
  <c r="O401" i="17"/>
  <c r="N401" i="17"/>
  <c r="M401" i="17"/>
  <c r="L401" i="17"/>
  <c r="K401" i="17"/>
  <c r="J401" i="17"/>
  <c r="I401" i="17"/>
  <c r="H401" i="17"/>
  <c r="G401" i="17"/>
  <c r="F401" i="17"/>
  <c r="E401" i="17"/>
  <c r="D401" i="17"/>
  <c r="C401" i="17"/>
  <c r="B401" i="17"/>
  <c r="A401" i="17"/>
  <c r="AM400" i="17"/>
  <c r="AL400" i="17"/>
  <c r="AK400" i="17"/>
  <c r="AJ400" i="17"/>
  <c r="AI400" i="17"/>
  <c r="AH400" i="17"/>
  <c r="AG400" i="17"/>
  <c r="AF400" i="17"/>
  <c r="AE400" i="17"/>
  <c r="AD400" i="17"/>
  <c r="AC400" i="17"/>
  <c r="AB400" i="17"/>
  <c r="AA400" i="17"/>
  <c r="Z400" i="17"/>
  <c r="Y400" i="17"/>
  <c r="X400" i="17"/>
  <c r="W400" i="17"/>
  <c r="V400" i="17"/>
  <c r="U400" i="17"/>
  <c r="T400" i="17"/>
  <c r="S400" i="17"/>
  <c r="R400" i="17"/>
  <c r="Q400" i="17"/>
  <c r="P400" i="17"/>
  <c r="O400" i="17"/>
  <c r="N400" i="17"/>
  <c r="M400" i="17"/>
  <c r="L400" i="17"/>
  <c r="K400" i="17"/>
  <c r="J400" i="17"/>
  <c r="I400" i="17"/>
  <c r="H400" i="17"/>
  <c r="G400" i="17"/>
  <c r="F400" i="17"/>
  <c r="E400" i="17"/>
  <c r="D400" i="17"/>
  <c r="C400" i="17"/>
  <c r="B400" i="17"/>
  <c r="A400" i="17"/>
  <c r="AM399" i="17"/>
  <c r="AL399" i="17"/>
  <c r="AK399" i="17"/>
  <c r="AJ399" i="17"/>
  <c r="AI399" i="17"/>
  <c r="AH399" i="17"/>
  <c r="AG399" i="17"/>
  <c r="AF399" i="17"/>
  <c r="AE399" i="17"/>
  <c r="AD399" i="17"/>
  <c r="AC399" i="17"/>
  <c r="AB399" i="17"/>
  <c r="AA399" i="17"/>
  <c r="Z399" i="17"/>
  <c r="Y399" i="17"/>
  <c r="X399" i="17"/>
  <c r="W399" i="17"/>
  <c r="V399" i="17"/>
  <c r="U399" i="17"/>
  <c r="T399" i="17"/>
  <c r="S399" i="17"/>
  <c r="R399" i="17"/>
  <c r="Q399" i="17"/>
  <c r="P399" i="17"/>
  <c r="O399" i="17"/>
  <c r="N399" i="17"/>
  <c r="M399" i="17"/>
  <c r="L399" i="17"/>
  <c r="K399" i="17"/>
  <c r="J399" i="17"/>
  <c r="I399" i="17"/>
  <c r="H399" i="17"/>
  <c r="G399" i="17"/>
  <c r="F399" i="17"/>
  <c r="E399" i="17"/>
  <c r="D399" i="17"/>
  <c r="C399" i="17"/>
  <c r="B399" i="17"/>
  <c r="A399" i="17"/>
  <c r="AM398" i="17"/>
  <c r="AL398" i="17"/>
  <c r="AK398" i="17"/>
  <c r="AJ398" i="17"/>
  <c r="AI398" i="17"/>
  <c r="AH398" i="17"/>
  <c r="AG398" i="17"/>
  <c r="AF398" i="17"/>
  <c r="AE398" i="17"/>
  <c r="AD398" i="17"/>
  <c r="AC398" i="17"/>
  <c r="AB398" i="17"/>
  <c r="AA398" i="17"/>
  <c r="Z398" i="17"/>
  <c r="Y398" i="17"/>
  <c r="X398" i="17"/>
  <c r="W398" i="17"/>
  <c r="V398" i="17"/>
  <c r="U398" i="17"/>
  <c r="T398" i="17"/>
  <c r="S398" i="17"/>
  <c r="R398" i="17"/>
  <c r="Q398" i="17"/>
  <c r="P398" i="17"/>
  <c r="O398" i="17"/>
  <c r="N398" i="17"/>
  <c r="M398" i="17"/>
  <c r="L398" i="17"/>
  <c r="K398" i="17"/>
  <c r="J398" i="17"/>
  <c r="I398" i="17"/>
  <c r="H398" i="17"/>
  <c r="G398" i="17"/>
  <c r="F398" i="17"/>
  <c r="E398" i="17"/>
  <c r="D398" i="17"/>
  <c r="C398" i="17"/>
  <c r="B398" i="17"/>
  <c r="A398" i="17"/>
  <c r="AM397" i="17"/>
  <c r="AL397" i="17"/>
  <c r="AK397" i="17"/>
  <c r="AJ397" i="17"/>
  <c r="AI397" i="17"/>
  <c r="AH397" i="17"/>
  <c r="AG397" i="17"/>
  <c r="AF397" i="17"/>
  <c r="AE397" i="17"/>
  <c r="AD397" i="17"/>
  <c r="AC397" i="17"/>
  <c r="AB397" i="17"/>
  <c r="AA397" i="17"/>
  <c r="Z397" i="17"/>
  <c r="Y397" i="17"/>
  <c r="X397" i="17"/>
  <c r="W397" i="17"/>
  <c r="V397" i="17"/>
  <c r="U397" i="17"/>
  <c r="T397" i="17"/>
  <c r="S397" i="17"/>
  <c r="R397" i="17"/>
  <c r="Q397" i="17"/>
  <c r="P397" i="17"/>
  <c r="O397" i="17"/>
  <c r="N397" i="17"/>
  <c r="M397" i="17"/>
  <c r="L397" i="17"/>
  <c r="K397" i="17"/>
  <c r="J397" i="17"/>
  <c r="I397" i="17"/>
  <c r="H397" i="17"/>
  <c r="G397" i="17"/>
  <c r="F397" i="17"/>
  <c r="E397" i="17"/>
  <c r="D397" i="17"/>
  <c r="C397" i="17"/>
  <c r="B397" i="17"/>
  <c r="A397" i="17"/>
  <c r="AM396" i="17"/>
  <c r="AL396" i="17"/>
  <c r="AK396" i="17"/>
  <c r="AJ396" i="17"/>
  <c r="AI396" i="17"/>
  <c r="AH396" i="17"/>
  <c r="AG396" i="17"/>
  <c r="AF396" i="17"/>
  <c r="AE396" i="17"/>
  <c r="AD396" i="17"/>
  <c r="AC396" i="17"/>
  <c r="AB396" i="17"/>
  <c r="AA396" i="17"/>
  <c r="Z396" i="17"/>
  <c r="Y396" i="17"/>
  <c r="X396" i="17"/>
  <c r="W396" i="17"/>
  <c r="V396" i="17"/>
  <c r="U396" i="17"/>
  <c r="T396" i="17"/>
  <c r="S396" i="17"/>
  <c r="R396" i="17"/>
  <c r="Q396" i="17"/>
  <c r="P396" i="17"/>
  <c r="O396" i="17"/>
  <c r="N396" i="17"/>
  <c r="M396" i="17"/>
  <c r="L396" i="17"/>
  <c r="K396" i="17"/>
  <c r="J396" i="17"/>
  <c r="I396" i="17"/>
  <c r="H396" i="17"/>
  <c r="G396" i="17"/>
  <c r="F396" i="17"/>
  <c r="E396" i="17"/>
  <c r="D396" i="17"/>
  <c r="C396" i="17"/>
  <c r="B396" i="17"/>
  <c r="A396" i="17"/>
  <c r="AM395" i="17"/>
  <c r="AL395" i="17"/>
  <c r="AK395" i="17"/>
  <c r="AJ395" i="17"/>
  <c r="AI395" i="17"/>
  <c r="AH395" i="17"/>
  <c r="AG395" i="17"/>
  <c r="AF395" i="17"/>
  <c r="AE395" i="17"/>
  <c r="AD395" i="17"/>
  <c r="AC395" i="17"/>
  <c r="AB395" i="17"/>
  <c r="AA395" i="17"/>
  <c r="Z395" i="17"/>
  <c r="Y395" i="17"/>
  <c r="X395" i="17"/>
  <c r="W395" i="17"/>
  <c r="V395" i="17"/>
  <c r="U395" i="17"/>
  <c r="T395" i="17"/>
  <c r="S395" i="17"/>
  <c r="R395" i="17"/>
  <c r="Q395" i="17"/>
  <c r="P395" i="17"/>
  <c r="O395" i="17"/>
  <c r="N395" i="17"/>
  <c r="M395" i="17"/>
  <c r="L395" i="17"/>
  <c r="K395" i="17"/>
  <c r="J395" i="17"/>
  <c r="I395" i="17"/>
  <c r="H395" i="17"/>
  <c r="G395" i="17"/>
  <c r="F395" i="17"/>
  <c r="E395" i="17"/>
  <c r="D395" i="17"/>
  <c r="C395" i="17"/>
  <c r="B395" i="17"/>
  <c r="A395" i="17"/>
  <c r="AM394" i="17"/>
  <c r="AL394" i="17"/>
  <c r="AK394" i="17"/>
  <c r="AJ394" i="17"/>
  <c r="AI394" i="17"/>
  <c r="AH394" i="17"/>
  <c r="AG394" i="17"/>
  <c r="AF394" i="17"/>
  <c r="AE394" i="17"/>
  <c r="AD394" i="17"/>
  <c r="AC394" i="17"/>
  <c r="AB394" i="17"/>
  <c r="AA394" i="17"/>
  <c r="Z394" i="17"/>
  <c r="Y394" i="17"/>
  <c r="X394" i="17"/>
  <c r="W394" i="17"/>
  <c r="V394" i="17"/>
  <c r="U394" i="17"/>
  <c r="T394" i="17"/>
  <c r="S394" i="17"/>
  <c r="R394" i="17"/>
  <c r="Q394" i="17"/>
  <c r="P394" i="17"/>
  <c r="O394" i="17"/>
  <c r="N394" i="17"/>
  <c r="M394" i="17"/>
  <c r="L394" i="17"/>
  <c r="K394" i="17"/>
  <c r="J394" i="17"/>
  <c r="I394" i="17"/>
  <c r="H394" i="17"/>
  <c r="G394" i="17"/>
  <c r="F394" i="17"/>
  <c r="E394" i="17"/>
  <c r="D394" i="17"/>
  <c r="C394" i="17"/>
  <c r="B394" i="17"/>
  <c r="A394" i="17"/>
  <c r="AM393" i="17"/>
  <c r="AL393" i="17"/>
  <c r="AK393" i="17"/>
  <c r="AJ393" i="17"/>
  <c r="AI393" i="17"/>
  <c r="AH393" i="17"/>
  <c r="AG393" i="17"/>
  <c r="AF393" i="17"/>
  <c r="AE393" i="17"/>
  <c r="AD393" i="17"/>
  <c r="AC393" i="17"/>
  <c r="AB393" i="17"/>
  <c r="AA393" i="17"/>
  <c r="Z393" i="17"/>
  <c r="Y393" i="17"/>
  <c r="X393" i="17"/>
  <c r="W393" i="17"/>
  <c r="V393" i="17"/>
  <c r="U393" i="17"/>
  <c r="T393" i="17"/>
  <c r="S393" i="17"/>
  <c r="R393" i="17"/>
  <c r="Q393" i="17"/>
  <c r="P393" i="17"/>
  <c r="O393" i="17"/>
  <c r="N393" i="17"/>
  <c r="M393" i="17"/>
  <c r="L393" i="17"/>
  <c r="K393" i="17"/>
  <c r="J393" i="17"/>
  <c r="I393" i="17"/>
  <c r="H393" i="17"/>
  <c r="G393" i="17"/>
  <c r="F393" i="17"/>
  <c r="E393" i="17"/>
  <c r="D393" i="17"/>
  <c r="C393" i="17"/>
  <c r="B393" i="17"/>
  <c r="A393" i="17"/>
  <c r="AM392" i="17"/>
  <c r="AL392" i="17"/>
  <c r="AK392" i="17"/>
  <c r="AJ392" i="17"/>
  <c r="AI392" i="17"/>
  <c r="AH392" i="17"/>
  <c r="AG392" i="17"/>
  <c r="AF392" i="17"/>
  <c r="AE392" i="17"/>
  <c r="AD392" i="17"/>
  <c r="AC392" i="17"/>
  <c r="AB392" i="17"/>
  <c r="AA392" i="17"/>
  <c r="Z392" i="17"/>
  <c r="Y392" i="17"/>
  <c r="X392" i="17"/>
  <c r="W392" i="17"/>
  <c r="V392" i="17"/>
  <c r="U392" i="17"/>
  <c r="T392" i="17"/>
  <c r="S392" i="17"/>
  <c r="R392" i="17"/>
  <c r="Q392" i="17"/>
  <c r="P392" i="17"/>
  <c r="O392" i="17"/>
  <c r="N392" i="17"/>
  <c r="M392" i="17"/>
  <c r="L392" i="17"/>
  <c r="K392" i="17"/>
  <c r="J392" i="17"/>
  <c r="I392" i="17"/>
  <c r="H392" i="17"/>
  <c r="G392" i="17"/>
  <c r="F392" i="17"/>
  <c r="E392" i="17"/>
  <c r="D392" i="17"/>
  <c r="C392" i="17"/>
  <c r="B392" i="17"/>
  <c r="A392" i="17"/>
  <c r="AM391" i="17"/>
  <c r="AL391" i="17"/>
  <c r="AK391" i="17"/>
  <c r="AJ391" i="17"/>
  <c r="AI391" i="17"/>
  <c r="AH391" i="17"/>
  <c r="AG391" i="17"/>
  <c r="AF391" i="17"/>
  <c r="AE391" i="17"/>
  <c r="AD391" i="17"/>
  <c r="AC391" i="17"/>
  <c r="AB391" i="17"/>
  <c r="AA391" i="17"/>
  <c r="Z391" i="17"/>
  <c r="Y391" i="17"/>
  <c r="X391" i="17"/>
  <c r="W391" i="17"/>
  <c r="V391" i="17"/>
  <c r="U391" i="17"/>
  <c r="T391" i="17"/>
  <c r="S391" i="17"/>
  <c r="R391" i="17"/>
  <c r="Q391" i="17"/>
  <c r="P391" i="17"/>
  <c r="O391" i="17"/>
  <c r="N391" i="17"/>
  <c r="M391" i="17"/>
  <c r="L391" i="17"/>
  <c r="K391" i="17"/>
  <c r="J391" i="17"/>
  <c r="I391" i="17"/>
  <c r="H391" i="17"/>
  <c r="G391" i="17"/>
  <c r="F391" i="17"/>
  <c r="E391" i="17"/>
  <c r="D391" i="17"/>
  <c r="C391" i="17"/>
  <c r="B391" i="17"/>
  <c r="A391" i="17"/>
  <c r="AM390" i="17"/>
  <c r="AL390" i="17"/>
  <c r="AK390" i="17"/>
  <c r="AJ390" i="17"/>
  <c r="AI390" i="17"/>
  <c r="AH390" i="17"/>
  <c r="AG390" i="17"/>
  <c r="AF390" i="17"/>
  <c r="AE390" i="17"/>
  <c r="AD390" i="17"/>
  <c r="AC390" i="17"/>
  <c r="AB390" i="17"/>
  <c r="AA390" i="17"/>
  <c r="Z390" i="17"/>
  <c r="Y390" i="17"/>
  <c r="X390" i="17"/>
  <c r="W390" i="17"/>
  <c r="V390" i="17"/>
  <c r="U390" i="17"/>
  <c r="T390" i="17"/>
  <c r="S390" i="17"/>
  <c r="R390" i="17"/>
  <c r="Q390" i="17"/>
  <c r="P390" i="17"/>
  <c r="O390" i="17"/>
  <c r="N390" i="17"/>
  <c r="M390" i="17"/>
  <c r="L390" i="17"/>
  <c r="K390" i="17"/>
  <c r="J390" i="17"/>
  <c r="I390" i="17"/>
  <c r="H390" i="17"/>
  <c r="G390" i="17"/>
  <c r="F390" i="17"/>
  <c r="E390" i="17"/>
  <c r="D390" i="17"/>
  <c r="C390" i="17"/>
  <c r="B390" i="17"/>
  <c r="A390" i="17"/>
  <c r="AM389" i="17"/>
  <c r="AL389" i="17"/>
  <c r="AK389" i="17"/>
  <c r="AJ389" i="17"/>
  <c r="AI389" i="17"/>
  <c r="AH389" i="17"/>
  <c r="AG389" i="17"/>
  <c r="AF389" i="17"/>
  <c r="AE389" i="17"/>
  <c r="AD389" i="17"/>
  <c r="AC389" i="17"/>
  <c r="AB389" i="17"/>
  <c r="AA389" i="17"/>
  <c r="Z389" i="17"/>
  <c r="Y389" i="17"/>
  <c r="X389" i="17"/>
  <c r="W389" i="17"/>
  <c r="V389" i="17"/>
  <c r="U389" i="17"/>
  <c r="T389" i="17"/>
  <c r="S389" i="17"/>
  <c r="R389" i="17"/>
  <c r="Q389" i="17"/>
  <c r="P389" i="17"/>
  <c r="O389" i="17"/>
  <c r="N389" i="17"/>
  <c r="M389" i="17"/>
  <c r="L389" i="17"/>
  <c r="K389" i="17"/>
  <c r="J389" i="17"/>
  <c r="I389" i="17"/>
  <c r="H389" i="17"/>
  <c r="G389" i="17"/>
  <c r="F389" i="17"/>
  <c r="E389" i="17"/>
  <c r="D389" i="17"/>
  <c r="C389" i="17"/>
  <c r="B389" i="17"/>
  <c r="A389" i="17"/>
  <c r="AM388" i="17"/>
  <c r="AL388" i="17"/>
  <c r="AK388" i="17"/>
  <c r="AJ388" i="17"/>
  <c r="AI388" i="17"/>
  <c r="AH388" i="17"/>
  <c r="AG388" i="17"/>
  <c r="AF388" i="17"/>
  <c r="AE388" i="17"/>
  <c r="AD388" i="17"/>
  <c r="AC388" i="17"/>
  <c r="AB388" i="17"/>
  <c r="AA388" i="17"/>
  <c r="Z388" i="17"/>
  <c r="Y388" i="17"/>
  <c r="X388" i="17"/>
  <c r="W388" i="17"/>
  <c r="V388" i="17"/>
  <c r="U388" i="17"/>
  <c r="T388" i="17"/>
  <c r="S388" i="17"/>
  <c r="R388" i="17"/>
  <c r="Q388" i="17"/>
  <c r="P388" i="17"/>
  <c r="O388" i="17"/>
  <c r="N388" i="17"/>
  <c r="M388" i="17"/>
  <c r="L388" i="17"/>
  <c r="K388" i="17"/>
  <c r="J388" i="17"/>
  <c r="I388" i="17"/>
  <c r="H388" i="17"/>
  <c r="G388" i="17"/>
  <c r="F388" i="17"/>
  <c r="E388" i="17"/>
  <c r="D388" i="17"/>
  <c r="C388" i="17"/>
  <c r="B388" i="17"/>
  <c r="A388" i="17"/>
  <c r="AM387" i="17"/>
  <c r="AL387" i="17"/>
  <c r="AK387" i="17"/>
  <c r="AJ387" i="17"/>
  <c r="AI387" i="17"/>
  <c r="AH387" i="17"/>
  <c r="AG387" i="17"/>
  <c r="AF387" i="17"/>
  <c r="AE387" i="17"/>
  <c r="AD387" i="17"/>
  <c r="AC387" i="17"/>
  <c r="AB387" i="17"/>
  <c r="AA387" i="17"/>
  <c r="Z387" i="17"/>
  <c r="Y387" i="17"/>
  <c r="X387" i="17"/>
  <c r="W387" i="17"/>
  <c r="V387" i="17"/>
  <c r="U387" i="17"/>
  <c r="T387" i="17"/>
  <c r="S387" i="17"/>
  <c r="R387" i="17"/>
  <c r="Q387" i="17"/>
  <c r="P387" i="17"/>
  <c r="O387" i="17"/>
  <c r="N387" i="17"/>
  <c r="M387" i="17"/>
  <c r="L387" i="17"/>
  <c r="K387" i="17"/>
  <c r="J387" i="17"/>
  <c r="I387" i="17"/>
  <c r="H387" i="17"/>
  <c r="G387" i="17"/>
  <c r="F387" i="17"/>
  <c r="E387" i="17"/>
  <c r="D387" i="17"/>
  <c r="C387" i="17"/>
  <c r="B387" i="17"/>
  <c r="A387" i="17"/>
  <c r="AM386" i="17"/>
  <c r="AL386" i="17"/>
  <c r="AK386" i="17"/>
  <c r="AJ386" i="17"/>
  <c r="AI386" i="17"/>
  <c r="AH386" i="17"/>
  <c r="AG386" i="17"/>
  <c r="AF386" i="17"/>
  <c r="AE386" i="17"/>
  <c r="AD386" i="17"/>
  <c r="AC386" i="17"/>
  <c r="AB386" i="17"/>
  <c r="AA386" i="17"/>
  <c r="Z386" i="17"/>
  <c r="Y386" i="17"/>
  <c r="X386" i="17"/>
  <c r="W386" i="17"/>
  <c r="V386" i="17"/>
  <c r="U386" i="17"/>
  <c r="T386" i="17"/>
  <c r="S386" i="17"/>
  <c r="R386" i="17"/>
  <c r="Q386" i="17"/>
  <c r="P386" i="17"/>
  <c r="O386" i="17"/>
  <c r="N386" i="17"/>
  <c r="M386" i="17"/>
  <c r="L386" i="17"/>
  <c r="K386" i="17"/>
  <c r="J386" i="17"/>
  <c r="I386" i="17"/>
  <c r="H386" i="17"/>
  <c r="G386" i="17"/>
  <c r="F386" i="17"/>
  <c r="E386" i="17"/>
  <c r="D386" i="17"/>
  <c r="C386" i="17"/>
  <c r="B386" i="17"/>
  <c r="A386" i="17"/>
  <c r="AM385" i="17"/>
  <c r="AL385" i="17"/>
  <c r="AK385" i="17"/>
  <c r="AJ385" i="17"/>
  <c r="AI385" i="17"/>
  <c r="AH385" i="17"/>
  <c r="AG385" i="17"/>
  <c r="AF385" i="17"/>
  <c r="AE385" i="17"/>
  <c r="AD385" i="17"/>
  <c r="AC385" i="17"/>
  <c r="AB385" i="17"/>
  <c r="AA385" i="17"/>
  <c r="Z385" i="17"/>
  <c r="Y385" i="17"/>
  <c r="X385" i="17"/>
  <c r="W385" i="17"/>
  <c r="V385" i="17"/>
  <c r="U385" i="17"/>
  <c r="T385" i="17"/>
  <c r="S385" i="17"/>
  <c r="R385" i="17"/>
  <c r="Q385" i="17"/>
  <c r="P385" i="17"/>
  <c r="O385" i="17"/>
  <c r="N385" i="17"/>
  <c r="M385" i="17"/>
  <c r="L385" i="17"/>
  <c r="K385" i="17"/>
  <c r="J385" i="17"/>
  <c r="I385" i="17"/>
  <c r="H385" i="17"/>
  <c r="G385" i="17"/>
  <c r="F385" i="17"/>
  <c r="E385" i="17"/>
  <c r="D385" i="17"/>
  <c r="C385" i="17"/>
  <c r="B385" i="17"/>
  <c r="A385" i="17"/>
  <c r="AM384" i="17"/>
  <c r="AL384" i="17"/>
  <c r="AK384" i="17"/>
  <c r="AJ384" i="17"/>
  <c r="AI384" i="17"/>
  <c r="AH384" i="17"/>
  <c r="AG384" i="17"/>
  <c r="AF384" i="17"/>
  <c r="AE384" i="17"/>
  <c r="AD384" i="17"/>
  <c r="AC384" i="17"/>
  <c r="AB384" i="17"/>
  <c r="AA384" i="17"/>
  <c r="Z384" i="17"/>
  <c r="Y384" i="17"/>
  <c r="X384" i="17"/>
  <c r="W384" i="17"/>
  <c r="V384" i="17"/>
  <c r="U384" i="17"/>
  <c r="T384" i="17"/>
  <c r="S384" i="17"/>
  <c r="R384" i="17"/>
  <c r="Q384" i="17"/>
  <c r="P384" i="17"/>
  <c r="O384" i="17"/>
  <c r="N384" i="17"/>
  <c r="M384" i="17"/>
  <c r="L384" i="17"/>
  <c r="K384" i="17"/>
  <c r="J384" i="17"/>
  <c r="I384" i="17"/>
  <c r="H384" i="17"/>
  <c r="G384" i="17"/>
  <c r="F384" i="17"/>
  <c r="E384" i="17"/>
  <c r="D384" i="17"/>
  <c r="C384" i="17"/>
  <c r="B384" i="17"/>
  <c r="A384" i="17"/>
  <c r="AM383" i="17"/>
  <c r="AL383" i="17"/>
  <c r="AK383" i="17"/>
  <c r="AJ383" i="17"/>
  <c r="AI383" i="17"/>
  <c r="AH383" i="17"/>
  <c r="AG383" i="17"/>
  <c r="AF383" i="17"/>
  <c r="AE383" i="17"/>
  <c r="AD383" i="17"/>
  <c r="AC383" i="17"/>
  <c r="AB383" i="17"/>
  <c r="AA383" i="17"/>
  <c r="Z383" i="17"/>
  <c r="Y383" i="17"/>
  <c r="X383" i="17"/>
  <c r="W383" i="17"/>
  <c r="V383" i="17"/>
  <c r="U383" i="17"/>
  <c r="T383" i="17"/>
  <c r="S383" i="17"/>
  <c r="R383" i="17"/>
  <c r="Q383" i="17"/>
  <c r="P383" i="17"/>
  <c r="O383" i="17"/>
  <c r="N383" i="17"/>
  <c r="M383" i="17"/>
  <c r="L383" i="17"/>
  <c r="K383" i="17"/>
  <c r="J383" i="17"/>
  <c r="I383" i="17"/>
  <c r="H383" i="17"/>
  <c r="G383" i="17"/>
  <c r="F383" i="17"/>
  <c r="E383" i="17"/>
  <c r="D383" i="17"/>
  <c r="C383" i="17"/>
  <c r="B383" i="17"/>
  <c r="A383" i="17"/>
  <c r="AM382" i="17"/>
  <c r="AL382" i="17"/>
  <c r="AK382" i="17"/>
  <c r="AJ382" i="17"/>
  <c r="AI382" i="17"/>
  <c r="AH382" i="17"/>
  <c r="AG382" i="17"/>
  <c r="AF382" i="17"/>
  <c r="AE382" i="17"/>
  <c r="AD382" i="17"/>
  <c r="AC382" i="17"/>
  <c r="AB382" i="17"/>
  <c r="AA382" i="17"/>
  <c r="Z382" i="17"/>
  <c r="Y382" i="17"/>
  <c r="X382" i="17"/>
  <c r="W382" i="17"/>
  <c r="V382" i="17"/>
  <c r="U382" i="17"/>
  <c r="T382" i="17"/>
  <c r="S382" i="17"/>
  <c r="R382" i="17"/>
  <c r="Q382" i="17"/>
  <c r="P382" i="17"/>
  <c r="O382" i="17"/>
  <c r="N382" i="17"/>
  <c r="M382" i="17"/>
  <c r="L382" i="17"/>
  <c r="K382" i="17"/>
  <c r="J382" i="17"/>
  <c r="I382" i="17"/>
  <c r="H382" i="17"/>
  <c r="G382" i="17"/>
  <c r="F382" i="17"/>
  <c r="E382" i="17"/>
  <c r="D382" i="17"/>
  <c r="C382" i="17"/>
  <c r="B382" i="17"/>
  <c r="A382" i="17"/>
  <c r="AM381" i="17"/>
  <c r="AL381" i="17"/>
  <c r="AK381" i="17"/>
  <c r="AJ381" i="17"/>
  <c r="AI381" i="17"/>
  <c r="AH381" i="17"/>
  <c r="AG381" i="17"/>
  <c r="AF381" i="17"/>
  <c r="AE381" i="17"/>
  <c r="AD381" i="17"/>
  <c r="AC381" i="17"/>
  <c r="AB381" i="17"/>
  <c r="AA381" i="17"/>
  <c r="Z381" i="17"/>
  <c r="Y381" i="17"/>
  <c r="X381" i="17"/>
  <c r="W381" i="17"/>
  <c r="V381" i="17"/>
  <c r="U381" i="17"/>
  <c r="T381" i="17"/>
  <c r="S381" i="17"/>
  <c r="R381" i="17"/>
  <c r="Q381" i="17"/>
  <c r="P381" i="17"/>
  <c r="O381" i="17"/>
  <c r="N381" i="17"/>
  <c r="M381" i="17"/>
  <c r="L381" i="17"/>
  <c r="K381" i="17"/>
  <c r="J381" i="17"/>
  <c r="I381" i="17"/>
  <c r="H381" i="17"/>
  <c r="G381" i="17"/>
  <c r="F381" i="17"/>
  <c r="E381" i="17"/>
  <c r="D381" i="17"/>
  <c r="C381" i="17"/>
  <c r="B381" i="17"/>
  <c r="A381" i="17"/>
  <c r="AM380" i="17"/>
  <c r="AL380" i="17"/>
  <c r="AK380" i="17"/>
  <c r="AJ380" i="17"/>
  <c r="AI380" i="17"/>
  <c r="AH380" i="17"/>
  <c r="AG380" i="17"/>
  <c r="AF380" i="17"/>
  <c r="AE380" i="17"/>
  <c r="AD380" i="17"/>
  <c r="AC380" i="17"/>
  <c r="AB380" i="17"/>
  <c r="AA380" i="17"/>
  <c r="Z380" i="17"/>
  <c r="Y380" i="17"/>
  <c r="X380" i="17"/>
  <c r="W380" i="17"/>
  <c r="V380" i="17"/>
  <c r="U380" i="17"/>
  <c r="T380" i="17"/>
  <c r="S380" i="17"/>
  <c r="R380" i="17"/>
  <c r="Q380" i="17"/>
  <c r="P380" i="17"/>
  <c r="O380" i="17"/>
  <c r="N380" i="17"/>
  <c r="M380" i="17"/>
  <c r="L380" i="17"/>
  <c r="K380" i="17"/>
  <c r="J380" i="17"/>
  <c r="I380" i="17"/>
  <c r="H380" i="17"/>
  <c r="G380" i="17"/>
  <c r="F380" i="17"/>
  <c r="E380" i="17"/>
  <c r="D380" i="17"/>
  <c r="C380" i="17"/>
  <c r="B380" i="17"/>
  <c r="A380" i="17"/>
  <c r="AM379" i="17"/>
  <c r="AL379" i="17"/>
  <c r="AK379" i="17"/>
  <c r="AJ379" i="17"/>
  <c r="AI379" i="17"/>
  <c r="AH379" i="17"/>
  <c r="AG379" i="17"/>
  <c r="AF379" i="17"/>
  <c r="AE379" i="17"/>
  <c r="AD379" i="17"/>
  <c r="AC379" i="17"/>
  <c r="AB379" i="17"/>
  <c r="AA379" i="17"/>
  <c r="Z379" i="17"/>
  <c r="Y379" i="17"/>
  <c r="X379" i="17"/>
  <c r="W379" i="17"/>
  <c r="V379" i="17"/>
  <c r="U379" i="17"/>
  <c r="T379" i="17"/>
  <c r="S379" i="17"/>
  <c r="R379" i="17"/>
  <c r="Q379" i="17"/>
  <c r="P379" i="17"/>
  <c r="O379" i="17"/>
  <c r="N379" i="17"/>
  <c r="M379" i="17"/>
  <c r="L379" i="17"/>
  <c r="K379" i="17"/>
  <c r="J379" i="17"/>
  <c r="I379" i="17"/>
  <c r="H379" i="17"/>
  <c r="G379" i="17"/>
  <c r="F379" i="17"/>
  <c r="E379" i="17"/>
  <c r="D379" i="17"/>
  <c r="C379" i="17"/>
  <c r="B379" i="17"/>
  <c r="A379" i="17"/>
  <c r="AM378" i="17"/>
  <c r="AL378" i="17"/>
  <c r="AK378" i="17"/>
  <c r="AJ378" i="17"/>
  <c r="AI378" i="17"/>
  <c r="AH378" i="17"/>
  <c r="AG378" i="17"/>
  <c r="AF378" i="17"/>
  <c r="AE378" i="17"/>
  <c r="AD378" i="17"/>
  <c r="AC378" i="17"/>
  <c r="AB378" i="17"/>
  <c r="AA378" i="17"/>
  <c r="Z378" i="17"/>
  <c r="Y378" i="17"/>
  <c r="X378" i="17"/>
  <c r="W378" i="17"/>
  <c r="V378" i="17"/>
  <c r="U378" i="17"/>
  <c r="T378" i="17"/>
  <c r="S378" i="17"/>
  <c r="R378" i="17"/>
  <c r="Q378" i="17"/>
  <c r="P378" i="17"/>
  <c r="O378" i="17"/>
  <c r="N378" i="17"/>
  <c r="M378" i="17"/>
  <c r="L378" i="17"/>
  <c r="K378" i="17"/>
  <c r="J378" i="17"/>
  <c r="I378" i="17"/>
  <c r="H378" i="17"/>
  <c r="G378" i="17"/>
  <c r="F378" i="17"/>
  <c r="E378" i="17"/>
  <c r="D378" i="17"/>
  <c r="C378" i="17"/>
  <c r="B378" i="17"/>
  <c r="A378" i="17"/>
  <c r="AM377" i="17"/>
  <c r="AL377" i="17"/>
  <c r="AK377" i="17"/>
  <c r="AJ377" i="17"/>
  <c r="AI377" i="17"/>
  <c r="AH377" i="17"/>
  <c r="AG377" i="17"/>
  <c r="AF377" i="17"/>
  <c r="AE377" i="17"/>
  <c r="AD377" i="17"/>
  <c r="AC377" i="17"/>
  <c r="AB377" i="17"/>
  <c r="AA377" i="17"/>
  <c r="Z377" i="17"/>
  <c r="Y377" i="17"/>
  <c r="X377" i="17"/>
  <c r="W377" i="17"/>
  <c r="V377" i="17"/>
  <c r="U377" i="17"/>
  <c r="T377" i="17"/>
  <c r="S377" i="17"/>
  <c r="R377" i="17"/>
  <c r="Q377" i="17"/>
  <c r="P377" i="17"/>
  <c r="O377" i="17"/>
  <c r="N377" i="17"/>
  <c r="M377" i="17"/>
  <c r="L377" i="17"/>
  <c r="K377" i="17"/>
  <c r="J377" i="17"/>
  <c r="I377" i="17"/>
  <c r="H377" i="17"/>
  <c r="G377" i="17"/>
  <c r="F377" i="17"/>
  <c r="E377" i="17"/>
  <c r="D377" i="17"/>
  <c r="C377" i="17"/>
  <c r="B377" i="17"/>
  <c r="A377" i="17"/>
  <c r="AM376" i="17"/>
  <c r="AL376" i="17"/>
  <c r="AK376" i="17"/>
  <c r="AJ376" i="17"/>
  <c r="AI376" i="17"/>
  <c r="AH376" i="17"/>
  <c r="AG376" i="17"/>
  <c r="AF376" i="17"/>
  <c r="AE376" i="17"/>
  <c r="AD376" i="17"/>
  <c r="AC376" i="17"/>
  <c r="AB376" i="17"/>
  <c r="AA376" i="17"/>
  <c r="Z376" i="17"/>
  <c r="Y376" i="17"/>
  <c r="X376" i="17"/>
  <c r="W376" i="17"/>
  <c r="V376" i="17"/>
  <c r="U376" i="17"/>
  <c r="T376" i="17"/>
  <c r="S376" i="17"/>
  <c r="R376" i="17"/>
  <c r="Q376" i="17"/>
  <c r="P376" i="17"/>
  <c r="O376" i="17"/>
  <c r="N376" i="17"/>
  <c r="M376" i="17"/>
  <c r="L376" i="17"/>
  <c r="K376" i="17"/>
  <c r="J376" i="17"/>
  <c r="I376" i="17"/>
  <c r="H376" i="17"/>
  <c r="G376" i="17"/>
  <c r="F376" i="17"/>
  <c r="E376" i="17"/>
  <c r="D376" i="17"/>
  <c r="C376" i="17"/>
  <c r="B376" i="17"/>
  <c r="A376" i="17"/>
  <c r="AM375" i="17"/>
  <c r="AL375" i="17"/>
  <c r="AK375" i="17"/>
  <c r="AJ375" i="17"/>
  <c r="AI375" i="17"/>
  <c r="AH375" i="17"/>
  <c r="AG375" i="17"/>
  <c r="AF375" i="17"/>
  <c r="AE375" i="17"/>
  <c r="AD375" i="17"/>
  <c r="AC375" i="17"/>
  <c r="AB375" i="17"/>
  <c r="AA375" i="17"/>
  <c r="Z375" i="17"/>
  <c r="Y375" i="17"/>
  <c r="X375" i="17"/>
  <c r="W375" i="17"/>
  <c r="V375" i="17"/>
  <c r="U375" i="17"/>
  <c r="T375" i="17"/>
  <c r="S375" i="17"/>
  <c r="R375" i="17"/>
  <c r="Q375" i="17"/>
  <c r="P375" i="17"/>
  <c r="O375" i="17"/>
  <c r="N375" i="17"/>
  <c r="M375" i="17"/>
  <c r="L375" i="17"/>
  <c r="K375" i="17"/>
  <c r="J375" i="17"/>
  <c r="I375" i="17"/>
  <c r="H375" i="17"/>
  <c r="G375" i="17"/>
  <c r="F375" i="17"/>
  <c r="E375" i="17"/>
  <c r="D375" i="17"/>
  <c r="C375" i="17"/>
  <c r="B375" i="17"/>
  <c r="A375" i="17"/>
  <c r="AM374" i="17"/>
  <c r="AL374" i="17"/>
  <c r="AK374" i="17"/>
  <c r="AJ374" i="17"/>
  <c r="AI374" i="17"/>
  <c r="AH374" i="17"/>
  <c r="AG374" i="17"/>
  <c r="AF374" i="17"/>
  <c r="AE374" i="17"/>
  <c r="AD374" i="17"/>
  <c r="AC374" i="17"/>
  <c r="AB374" i="17"/>
  <c r="AA374" i="17"/>
  <c r="Z374" i="17"/>
  <c r="Y374" i="17"/>
  <c r="X374" i="17"/>
  <c r="W374" i="17"/>
  <c r="V374" i="17"/>
  <c r="U374" i="17"/>
  <c r="T374" i="17"/>
  <c r="S374" i="17"/>
  <c r="R374" i="17"/>
  <c r="Q374" i="17"/>
  <c r="P374" i="17"/>
  <c r="O374" i="17"/>
  <c r="N374" i="17"/>
  <c r="M374" i="17"/>
  <c r="L374" i="17"/>
  <c r="K374" i="17"/>
  <c r="J374" i="17"/>
  <c r="I374" i="17"/>
  <c r="H374" i="17"/>
  <c r="G374" i="17"/>
  <c r="F374" i="17"/>
  <c r="E374" i="17"/>
  <c r="D374" i="17"/>
  <c r="C374" i="17"/>
  <c r="B374" i="17"/>
  <c r="A374" i="17"/>
  <c r="AM373" i="17"/>
  <c r="AL373" i="17"/>
  <c r="AK373" i="17"/>
  <c r="AJ373" i="17"/>
  <c r="AI373" i="17"/>
  <c r="AH373" i="17"/>
  <c r="AG373" i="17"/>
  <c r="AF373" i="17"/>
  <c r="AE373" i="17"/>
  <c r="AD373" i="17"/>
  <c r="AC373" i="17"/>
  <c r="AB373" i="17"/>
  <c r="AA373" i="17"/>
  <c r="Z373" i="17"/>
  <c r="Y373" i="17"/>
  <c r="X373" i="17"/>
  <c r="W373" i="17"/>
  <c r="V373" i="17"/>
  <c r="U373" i="17"/>
  <c r="T373" i="17"/>
  <c r="S373" i="17"/>
  <c r="R373" i="17"/>
  <c r="Q373" i="17"/>
  <c r="P373" i="17"/>
  <c r="O373" i="17"/>
  <c r="N373" i="17"/>
  <c r="M373" i="17"/>
  <c r="L373" i="17"/>
  <c r="K373" i="17"/>
  <c r="J373" i="17"/>
  <c r="I373" i="17"/>
  <c r="H373" i="17"/>
  <c r="G373" i="17"/>
  <c r="F373" i="17"/>
  <c r="E373" i="17"/>
  <c r="D373" i="17"/>
  <c r="C373" i="17"/>
  <c r="B373" i="17"/>
  <c r="A373" i="17"/>
  <c r="AM372" i="17"/>
  <c r="AL372" i="17"/>
  <c r="AK372" i="17"/>
  <c r="AJ372" i="17"/>
  <c r="AI372" i="17"/>
  <c r="AH372" i="17"/>
  <c r="AG372" i="17"/>
  <c r="AF372" i="17"/>
  <c r="AE372" i="17"/>
  <c r="AD372" i="17"/>
  <c r="AC372" i="17"/>
  <c r="AB372" i="17"/>
  <c r="AA372" i="17"/>
  <c r="Z372" i="17"/>
  <c r="Y372" i="17"/>
  <c r="X372" i="17"/>
  <c r="W372" i="17"/>
  <c r="V372" i="17"/>
  <c r="U372" i="17"/>
  <c r="T372" i="17"/>
  <c r="S372" i="17"/>
  <c r="R372" i="17"/>
  <c r="Q372" i="17"/>
  <c r="P372" i="17"/>
  <c r="O372" i="17"/>
  <c r="N372" i="17"/>
  <c r="M372" i="17"/>
  <c r="L372" i="17"/>
  <c r="K372" i="17"/>
  <c r="J372" i="17"/>
  <c r="I372" i="17"/>
  <c r="H372" i="17"/>
  <c r="G372" i="17"/>
  <c r="F372" i="17"/>
  <c r="E372" i="17"/>
  <c r="D372" i="17"/>
  <c r="C372" i="17"/>
  <c r="B372" i="17"/>
  <c r="A372" i="17"/>
  <c r="AM371" i="17"/>
  <c r="AL371" i="17"/>
  <c r="AK371" i="17"/>
  <c r="AJ371" i="17"/>
  <c r="AI371" i="17"/>
  <c r="AH371" i="17"/>
  <c r="AG371" i="17"/>
  <c r="AF371" i="17"/>
  <c r="AE371" i="17"/>
  <c r="AD371" i="17"/>
  <c r="AC371" i="17"/>
  <c r="AB371" i="17"/>
  <c r="AA371" i="17"/>
  <c r="Z371" i="17"/>
  <c r="Y371" i="17"/>
  <c r="X371" i="17"/>
  <c r="W371" i="17"/>
  <c r="V371" i="17"/>
  <c r="U371" i="17"/>
  <c r="T371" i="17"/>
  <c r="S371" i="17"/>
  <c r="R371" i="17"/>
  <c r="Q371" i="17"/>
  <c r="P371" i="17"/>
  <c r="O371" i="17"/>
  <c r="N371" i="17"/>
  <c r="M371" i="17"/>
  <c r="L371" i="17"/>
  <c r="K371" i="17"/>
  <c r="J371" i="17"/>
  <c r="I371" i="17"/>
  <c r="H371" i="17"/>
  <c r="G371" i="17"/>
  <c r="F371" i="17"/>
  <c r="E371" i="17"/>
  <c r="D371" i="17"/>
  <c r="C371" i="17"/>
  <c r="B371" i="17"/>
  <c r="A371" i="17"/>
  <c r="AM370" i="17"/>
  <c r="AL370" i="17"/>
  <c r="AK370" i="17"/>
  <c r="AJ370" i="17"/>
  <c r="AI370" i="17"/>
  <c r="AH370" i="17"/>
  <c r="AG370" i="17"/>
  <c r="AF370" i="17"/>
  <c r="AE370" i="17"/>
  <c r="AD370" i="17"/>
  <c r="AC370" i="17"/>
  <c r="AB370" i="17"/>
  <c r="AA370" i="17"/>
  <c r="Z370" i="17"/>
  <c r="Y370" i="17"/>
  <c r="X370" i="17"/>
  <c r="W370" i="17"/>
  <c r="V370" i="17"/>
  <c r="U370" i="17"/>
  <c r="T370" i="17"/>
  <c r="S370" i="17"/>
  <c r="R370" i="17"/>
  <c r="Q370" i="17"/>
  <c r="P370" i="17"/>
  <c r="O370" i="17"/>
  <c r="N370" i="17"/>
  <c r="M370" i="17"/>
  <c r="L370" i="17"/>
  <c r="K370" i="17"/>
  <c r="J370" i="17"/>
  <c r="I370" i="17"/>
  <c r="H370" i="17"/>
  <c r="G370" i="17"/>
  <c r="F370" i="17"/>
  <c r="E370" i="17"/>
  <c r="D370" i="17"/>
  <c r="C370" i="17"/>
  <c r="B370" i="17"/>
  <c r="A370" i="17"/>
  <c r="AM369" i="17"/>
  <c r="AL369" i="17"/>
  <c r="AK369" i="17"/>
  <c r="AJ369" i="17"/>
  <c r="AI369" i="17"/>
  <c r="AH369" i="17"/>
  <c r="AG369" i="17"/>
  <c r="AF369" i="17"/>
  <c r="AE369" i="17"/>
  <c r="AD369" i="17"/>
  <c r="AC369" i="17"/>
  <c r="AB369" i="17"/>
  <c r="AA369" i="17"/>
  <c r="Z369" i="17"/>
  <c r="Y369" i="17"/>
  <c r="X369" i="17"/>
  <c r="W369" i="17"/>
  <c r="V369" i="17"/>
  <c r="U369" i="17"/>
  <c r="T369" i="17"/>
  <c r="S369" i="17"/>
  <c r="R369" i="17"/>
  <c r="Q369" i="17"/>
  <c r="P369" i="17"/>
  <c r="O369" i="17"/>
  <c r="N369" i="17"/>
  <c r="M369" i="17"/>
  <c r="L369" i="17"/>
  <c r="K369" i="17"/>
  <c r="J369" i="17"/>
  <c r="I369" i="17"/>
  <c r="H369" i="17"/>
  <c r="G369" i="17"/>
  <c r="F369" i="17"/>
  <c r="E369" i="17"/>
  <c r="D369" i="17"/>
  <c r="C369" i="17"/>
  <c r="B369" i="17"/>
  <c r="A369" i="17"/>
  <c r="AM368" i="17"/>
  <c r="AL368" i="17"/>
  <c r="AK368" i="17"/>
  <c r="AJ368" i="17"/>
  <c r="AI368" i="17"/>
  <c r="AH368" i="17"/>
  <c r="AG368" i="17"/>
  <c r="AF368" i="17"/>
  <c r="AE368" i="17"/>
  <c r="AD368" i="17"/>
  <c r="AC368" i="17"/>
  <c r="AB368" i="17"/>
  <c r="AA368" i="17"/>
  <c r="Z368" i="17"/>
  <c r="Y368" i="17"/>
  <c r="X368" i="17"/>
  <c r="W368" i="17"/>
  <c r="V368" i="17"/>
  <c r="U368" i="17"/>
  <c r="T368" i="17"/>
  <c r="S368" i="17"/>
  <c r="R368" i="17"/>
  <c r="Q368" i="17"/>
  <c r="P368" i="17"/>
  <c r="O368" i="17"/>
  <c r="N368" i="17"/>
  <c r="M368" i="17"/>
  <c r="L368" i="17"/>
  <c r="K368" i="17"/>
  <c r="J368" i="17"/>
  <c r="I368" i="17"/>
  <c r="H368" i="17"/>
  <c r="G368" i="17"/>
  <c r="F368" i="17"/>
  <c r="E368" i="17"/>
  <c r="D368" i="17"/>
  <c r="C368" i="17"/>
  <c r="B368" i="17"/>
  <c r="A368" i="17"/>
  <c r="AM367" i="17"/>
  <c r="AL367" i="17"/>
  <c r="AK367" i="17"/>
  <c r="AJ367" i="17"/>
  <c r="AI367" i="17"/>
  <c r="AH367" i="17"/>
  <c r="AG367" i="17"/>
  <c r="AF367" i="17"/>
  <c r="AE367" i="17"/>
  <c r="AD367" i="17"/>
  <c r="AC367" i="17"/>
  <c r="AB367" i="17"/>
  <c r="AA367" i="17"/>
  <c r="Z367" i="17"/>
  <c r="Y367" i="17"/>
  <c r="X367" i="17"/>
  <c r="W367" i="17"/>
  <c r="V367" i="17"/>
  <c r="U367" i="17"/>
  <c r="T367" i="17"/>
  <c r="S367" i="17"/>
  <c r="R367" i="17"/>
  <c r="Q367" i="17"/>
  <c r="P367" i="17"/>
  <c r="O367" i="17"/>
  <c r="N367" i="17"/>
  <c r="M367" i="17"/>
  <c r="L367" i="17"/>
  <c r="K367" i="17"/>
  <c r="J367" i="17"/>
  <c r="I367" i="17"/>
  <c r="H367" i="17"/>
  <c r="G367" i="17"/>
  <c r="F367" i="17"/>
  <c r="E367" i="17"/>
  <c r="D367" i="17"/>
  <c r="C367" i="17"/>
  <c r="B367" i="17"/>
  <c r="A367" i="17"/>
  <c r="AM366" i="17"/>
  <c r="AL366" i="17"/>
  <c r="AK366" i="17"/>
  <c r="AJ366" i="17"/>
  <c r="AI366" i="17"/>
  <c r="AH366" i="17"/>
  <c r="AG366" i="17"/>
  <c r="AF366" i="17"/>
  <c r="AE366" i="17"/>
  <c r="AD366" i="17"/>
  <c r="AC366" i="17"/>
  <c r="AB366" i="17"/>
  <c r="AA366" i="17"/>
  <c r="Z366" i="17"/>
  <c r="Y366" i="17"/>
  <c r="X366" i="17"/>
  <c r="W366" i="17"/>
  <c r="V366" i="17"/>
  <c r="U366" i="17"/>
  <c r="T366" i="17"/>
  <c r="S366" i="17"/>
  <c r="R366" i="17"/>
  <c r="Q366" i="17"/>
  <c r="P366" i="17"/>
  <c r="O366" i="17"/>
  <c r="N366" i="17"/>
  <c r="M366" i="17"/>
  <c r="L366" i="17"/>
  <c r="K366" i="17"/>
  <c r="J366" i="17"/>
  <c r="I366" i="17"/>
  <c r="H366" i="17"/>
  <c r="G366" i="17"/>
  <c r="F366" i="17"/>
  <c r="E366" i="17"/>
  <c r="D366" i="17"/>
  <c r="C366" i="17"/>
  <c r="B366" i="17"/>
  <c r="A366" i="17"/>
  <c r="AM365" i="17"/>
  <c r="AL365" i="17"/>
  <c r="AK365" i="17"/>
  <c r="AJ365" i="17"/>
  <c r="AI365" i="17"/>
  <c r="AH365" i="17"/>
  <c r="AG365" i="17"/>
  <c r="AF365" i="17"/>
  <c r="AE365" i="17"/>
  <c r="AD365" i="17"/>
  <c r="AC365" i="17"/>
  <c r="AB365" i="17"/>
  <c r="AA365" i="17"/>
  <c r="Z365" i="17"/>
  <c r="Y365" i="17"/>
  <c r="X365" i="17"/>
  <c r="W365" i="17"/>
  <c r="V365" i="17"/>
  <c r="U365" i="17"/>
  <c r="T365" i="17"/>
  <c r="S365" i="17"/>
  <c r="R365" i="17"/>
  <c r="Q365" i="17"/>
  <c r="P365" i="17"/>
  <c r="O365" i="17"/>
  <c r="N365" i="17"/>
  <c r="M365" i="17"/>
  <c r="L365" i="17"/>
  <c r="K365" i="17"/>
  <c r="J365" i="17"/>
  <c r="I365" i="17"/>
  <c r="H365" i="17"/>
  <c r="G365" i="17"/>
  <c r="F365" i="17"/>
  <c r="E365" i="17"/>
  <c r="D365" i="17"/>
  <c r="C365" i="17"/>
  <c r="B365" i="17"/>
  <c r="A365" i="17"/>
  <c r="AM364" i="17"/>
  <c r="AL364" i="17"/>
  <c r="AK364" i="17"/>
  <c r="AJ364" i="17"/>
  <c r="AI364" i="17"/>
  <c r="AH364" i="17"/>
  <c r="AG364" i="17"/>
  <c r="AF364" i="17"/>
  <c r="AE364" i="17"/>
  <c r="AD364" i="17"/>
  <c r="AC364" i="17"/>
  <c r="AB364" i="17"/>
  <c r="AA364" i="17"/>
  <c r="Z364" i="17"/>
  <c r="Y364" i="17"/>
  <c r="X364" i="17"/>
  <c r="W364" i="17"/>
  <c r="V364" i="17"/>
  <c r="U364" i="17"/>
  <c r="T364" i="17"/>
  <c r="S364" i="17"/>
  <c r="R364" i="17"/>
  <c r="Q364" i="17"/>
  <c r="P364" i="17"/>
  <c r="O364" i="17"/>
  <c r="N364" i="17"/>
  <c r="M364" i="17"/>
  <c r="L364" i="17"/>
  <c r="K364" i="17"/>
  <c r="J364" i="17"/>
  <c r="I364" i="17"/>
  <c r="H364" i="17"/>
  <c r="G364" i="17"/>
  <c r="F364" i="17"/>
  <c r="E364" i="17"/>
  <c r="D364" i="17"/>
  <c r="C364" i="17"/>
  <c r="B364" i="17"/>
  <c r="A364" i="17"/>
  <c r="AM363" i="17"/>
  <c r="AL363" i="17"/>
  <c r="AK363" i="17"/>
  <c r="AJ363" i="17"/>
  <c r="AI363" i="17"/>
  <c r="AH363" i="17"/>
  <c r="AG363" i="17"/>
  <c r="AF363" i="17"/>
  <c r="AE363" i="17"/>
  <c r="AD363" i="17"/>
  <c r="AC363" i="17"/>
  <c r="AB363" i="17"/>
  <c r="AA363" i="17"/>
  <c r="Z363" i="17"/>
  <c r="Y363" i="17"/>
  <c r="X363" i="17"/>
  <c r="W363" i="17"/>
  <c r="V363" i="17"/>
  <c r="U363" i="17"/>
  <c r="T363" i="17"/>
  <c r="S363" i="17"/>
  <c r="R363" i="17"/>
  <c r="Q363" i="17"/>
  <c r="P363" i="17"/>
  <c r="O363" i="17"/>
  <c r="N363" i="17"/>
  <c r="M363" i="17"/>
  <c r="L363" i="17"/>
  <c r="K363" i="17"/>
  <c r="J363" i="17"/>
  <c r="I363" i="17"/>
  <c r="H363" i="17"/>
  <c r="G363" i="17"/>
  <c r="F363" i="17"/>
  <c r="E363" i="17"/>
  <c r="D363" i="17"/>
  <c r="C363" i="17"/>
  <c r="B363" i="17"/>
  <c r="A363" i="17"/>
  <c r="AM362" i="17"/>
  <c r="AL362" i="17"/>
  <c r="AK362" i="17"/>
  <c r="AJ362" i="17"/>
  <c r="AI362" i="17"/>
  <c r="AH362" i="17"/>
  <c r="AG362" i="17"/>
  <c r="AF362" i="17"/>
  <c r="AE362" i="17"/>
  <c r="AD362" i="17"/>
  <c r="AC362" i="17"/>
  <c r="AB362" i="17"/>
  <c r="AA362" i="17"/>
  <c r="Z362" i="17"/>
  <c r="Y362" i="17"/>
  <c r="X362" i="17"/>
  <c r="W362" i="17"/>
  <c r="V362" i="17"/>
  <c r="U362" i="17"/>
  <c r="T362" i="17"/>
  <c r="S362" i="17"/>
  <c r="R362" i="17"/>
  <c r="Q362" i="17"/>
  <c r="P362" i="17"/>
  <c r="O362" i="17"/>
  <c r="N362" i="17"/>
  <c r="M362" i="17"/>
  <c r="L362" i="17"/>
  <c r="K362" i="17"/>
  <c r="J362" i="17"/>
  <c r="I362" i="17"/>
  <c r="H362" i="17"/>
  <c r="G362" i="17"/>
  <c r="F362" i="17"/>
  <c r="E362" i="17"/>
  <c r="D362" i="17"/>
  <c r="C362" i="17"/>
  <c r="B362" i="17"/>
  <c r="A362" i="17"/>
  <c r="AM361" i="17"/>
  <c r="AL361" i="17"/>
  <c r="AK361" i="17"/>
  <c r="AJ361" i="17"/>
  <c r="AI361" i="17"/>
  <c r="AH361" i="17"/>
  <c r="AG361" i="17"/>
  <c r="AF361" i="17"/>
  <c r="AE361" i="17"/>
  <c r="AD361" i="17"/>
  <c r="AC361" i="17"/>
  <c r="AB361" i="17"/>
  <c r="AA361" i="17"/>
  <c r="Z361" i="17"/>
  <c r="Y361" i="17"/>
  <c r="X361" i="17"/>
  <c r="W361" i="17"/>
  <c r="V361" i="17"/>
  <c r="U361" i="17"/>
  <c r="T361" i="17"/>
  <c r="S361" i="17"/>
  <c r="R361" i="17"/>
  <c r="Q361" i="17"/>
  <c r="P361" i="17"/>
  <c r="O361" i="17"/>
  <c r="N361" i="17"/>
  <c r="M361" i="17"/>
  <c r="L361" i="17"/>
  <c r="K361" i="17"/>
  <c r="J361" i="17"/>
  <c r="I361" i="17"/>
  <c r="H361" i="17"/>
  <c r="G361" i="17"/>
  <c r="F361" i="17"/>
  <c r="E361" i="17"/>
  <c r="D361" i="17"/>
  <c r="C361" i="17"/>
  <c r="B361" i="17"/>
  <c r="A361" i="17"/>
  <c r="AM360" i="17"/>
  <c r="AL360" i="17"/>
  <c r="AK360" i="17"/>
  <c r="AJ360" i="17"/>
  <c r="AI360" i="17"/>
  <c r="AH360" i="17"/>
  <c r="AG360" i="17"/>
  <c r="AF360" i="17"/>
  <c r="AE360" i="17"/>
  <c r="AD360" i="17"/>
  <c r="AC360" i="17"/>
  <c r="AB360" i="17"/>
  <c r="AA360" i="17"/>
  <c r="Z360" i="17"/>
  <c r="Y360" i="17"/>
  <c r="X360" i="17"/>
  <c r="W360" i="17"/>
  <c r="V360" i="17"/>
  <c r="U360" i="17"/>
  <c r="T360" i="17"/>
  <c r="S360" i="17"/>
  <c r="R360" i="17"/>
  <c r="Q360" i="17"/>
  <c r="P360" i="17"/>
  <c r="O360" i="17"/>
  <c r="N360" i="17"/>
  <c r="M360" i="17"/>
  <c r="L360" i="17"/>
  <c r="K360" i="17"/>
  <c r="J360" i="17"/>
  <c r="I360" i="17"/>
  <c r="H360" i="17"/>
  <c r="G360" i="17"/>
  <c r="F360" i="17"/>
  <c r="E360" i="17"/>
  <c r="D360" i="17"/>
  <c r="C360" i="17"/>
  <c r="B360" i="17"/>
  <c r="A360" i="17"/>
  <c r="AM359" i="17"/>
  <c r="AL359" i="17"/>
  <c r="AK359" i="17"/>
  <c r="AJ359" i="17"/>
  <c r="AI359" i="17"/>
  <c r="AH359" i="17"/>
  <c r="AG359" i="17"/>
  <c r="AF359" i="17"/>
  <c r="AE359" i="17"/>
  <c r="AD359" i="17"/>
  <c r="AC359" i="17"/>
  <c r="AB359" i="17"/>
  <c r="AA359" i="17"/>
  <c r="Z359" i="17"/>
  <c r="Y359" i="17"/>
  <c r="X359" i="17"/>
  <c r="W359" i="17"/>
  <c r="V359" i="17"/>
  <c r="U359" i="17"/>
  <c r="T359" i="17"/>
  <c r="S359" i="17"/>
  <c r="R359" i="17"/>
  <c r="Q359" i="17"/>
  <c r="P359" i="17"/>
  <c r="O359" i="17"/>
  <c r="N359" i="17"/>
  <c r="M359" i="17"/>
  <c r="L359" i="17"/>
  <c r="K359" i="17"/>
  <c r="J359" i="17"/>
  <c r="I359" i="17"/>
  <c r="H359" i="17"/>
  <c r="G359" i="17"/>
  <c r="F359" i="17"/>
  <c r="E359" i="17"/>
  <c r="D359" i="17"/>
  <c r="C359" i="17"/>
  <c r="B359" i="17"/>
  <c r="A359" i="17"/>
  <c r="AM358" i="17"/>
  <c r="AL358" i="17"/>
  <c r="AK358" i="17"/>
  <c r="AJ358" i="17"/>
  <c r="AI358" i="17"/>
  <c r="AH358" i="17"/>
  <c r="AG358" i="17"/>
  <c r="AF358" i="17"/>
  <c r="AE358" i="17"/>
  <c r="AD358" i="17"/>
  <c r="AC358" i="17"/>
  <c r="AB358" i="17"/>
  <c r="AA358" i="17"/>
  <c r="Z358" i="17"/>
  <c r="Y358" i="17"/>
  <c r="X358" i="17"/>
  <c r="W358" i="17"/>
  <c r="V358" i="17"/>
  <c r="U358" i="17"/>
  <c r="T358" i="17"/>
  <c r="S358" i="17"/>
  <c r="R358" i="17"/>
  <c r="Q358" i="17"/>
  <c r="P358" i="17"/>
  <c r="O358" i="17"/>
  <c r="N358" i="17"/>
  <c r="M358" i="17"/>
  <c r="L358" i="17"/>
  <c r="K358" i="17"/>
  <c r="J358" i="17"/>
  <c r="I358" i="17"/>
  <c r="H358" i="17"/>
  <c r="G358" i="17"/>
  <c r="F358" i="17"/>
  <c r="E358" i="17"/>
  <c r="D358" i="17"/>
  <c r="C358" i="17"/>
  <c r="B358" i="17"/>
  <c r="A358" i="17"/>
  <c r="AM356" i="17"/>
  <c r="AL356" i="17"/>
  <c r="AK356" i="17"/>
  <c r="AJ356" i="17"/>
  <c r="AI356" i="17"/>
  <c r="AH356" i="17"/>
  <c r="AG356" i="17"/>
  <c r="AF356" i="17"/>
  <c r="AE356" i="17"/>
  <c r="AD356" i="17"/>
  <c r="AC356" i="17"/>
  <c r="AB356" i="17"/>
  <c r="AA356" i="17"/>
  <c r="Z356" i="17"/>
  <c r="Y356" i="17"/>
  <c r="X356" i="17"/>
  <c r="W356" i="17"/>
  <c r="V356" i="17"/>
  <c r="U356" i="17"/>
  <c r="T356" i="17"/>
  <c r="S356" i="17"/>
  <c r="R356" i="17"/>
  <c r="Q356" i="17"/>
  <c r="P356" i="17"/>
  <c r="O356" i="17"/>
  <c r="N356" i="17"/>
  <c r="M356" i="17"/>
  <c r="L356" i="17"/>
  <c r="K356" i="17"/>
  <c r="J356" i="17"/>
  <c r="I356" i="17"/>
  <c r="H356" i="17"/>
  <c r="G356" i="17"/>
  <c r="F356" i="17"/>
  <c r="E356" i="17"/>
  <c r="D356" i="17"/>
  <c r="C356" i="17"/>
  <c r="B356" i="17"/>
  <c r="A356" i="17"/>
  <c r="AM355" i="17"/>
  <c r="AL355" i="17"/>
  <c r="AK355" i="17"/>
  <c r="AJ355" i="17"/>
  <c r="AI355" i="17"/>
  <c r="AH355" i="17"/>
  <c r="AG355" i="17"/>
  <c r="AF355" i="17"/>
  <c r="AE355" i="17"/>
  <c r="AD355" i="17"/>
  <c r="AC355" i="17"/>
  <c r="AB355" i="17"/>
  <c r="AA355" i="17"/>
  <c r="Z355" i="17"/>
  <c r="Y355" i="17"/>
  <c r="X355" i="17"/>
  <c r="W355" i="17"/>
  <c r="V355" i="17"/>
  <c r="U355" i="17"/>
  <c r="T355" i="17"/>
  <c r="S355" i="17"/>
  <c r="R355" i="17"/>
  <c r="Q355" i="17"/>
  <c r="P355" i="17"/>
  <c r="O355" i="17"/>
  <c r="N355" i="17"/>
  <c r="M355" i="17"/>
  <c r="L355" i="17"/>
  <c r="K355" i="17"/>
  <c r="J355" i="17"/>
  <c r="I355" i="17"/>
  <c r="H355" i="17"/>
  <c r="G355" i="17"/>
  <c r="F355" i="17"/>
  <c r="E355" i="17"/>
  <c r="D355" i="17"/>
  <c r="C355" i="17"/>
  <c r="B355" i="17"/>
  <c r="A355" i="17"/>
  <c r="AM354" i="17"/>
  <c r="AL354" i="17"/>
  <c r="AK354" i="17"/>
  <c r="AJ354" i="17"/>
  <c r="AI354" i="17"/>
  <c r="AH354" i="17"/>
  <c r="AG354" i="17"/>
  <c r="AF354" i="17"/>
  <c r="AE354" i="17"/>
  <c r="AD354" i="17"/>
  <c r="AC354" i="17"/>
  <c r="AB354" i="17"/>
  <c r="AA354" i="17"/>
  <c r="Z354" i="17"/>
  <c r="Y354" i="17"/>
  <c r="X354" i="17"/>
  <c r="W354" i="17"/>
  <c r="V354" i="17"/>
  <c r="U354" i="17"/>
  <c r="T354" i="17"/>
  <c r="S354" i="17"/>
  <c r="R354" i="17"/>
  <c r="Q354" i="17"/>
  <c r="P354" i="17"/>
  <c r="O354" i="17"/>
  <c r="N354" i="17"/>
  <c r="M354" i="17"/>
  <c r="L354" i="17"/>
  <c r="K354" i="17"/>
  <c r="J354" i="17"/>
  <c r="I354" i="17"/>
  <c r="H354" i="17"/>
  <c r="G354" i="17"/>
  <c r="F354" i="17"/>
  <c r="E354" i="17"/>
  <c r="D354" i="17"/>
  <c r="C354" i="17"/>
  <c r="B354" i="17"/>
  <c r="A354" i="17"/>
  <c r="AM353" i="17"/>
  <c r="AL353" i="17"/>
  <c r="AK353" i="17"/>
  <c r="AJ353" i="17"/>
  <c r="AI353" i="17"/>
  <c r="AH353" i="17"/>
  <c r="AG353" i="17"/>
  <c r="AF353" i="17"/>
  <c r="AE353" i="17"/>
  <c r="AD353" i="17"/>
  <c r="AC353" i="17"/>
  <c r="AB353" i="17"/>
  <c r="AA353" i="17"/>
  <c r="Z353" i="17"/>
  <c r="Y353" i="17"/>
  <c r="X353" i="17"/>
  <c r="W353" i="17"/>
  <c r="V353" i="17"/>
  <c r="U353" i="17"/>
  <c r="T353" i="17"/>
  <c r="S353" i="17"/>
  <c r="R353" i="17"/>
  <c r="Q353" i="17"/>
  <c r="P353" i="17"/>
  <c r="O353" i="17"/>
  <c r="N353" i="17"/>
  <c r="M353" i="17"/>
  <c r="L353" i="17"/>
  <c r="K353" i="17"/>
  <c r="J353" i="17"/>
  <c r="I353" i="17"/>
  <c r="H353" i="17"/>
  <c r="G353" i="17"/>
  <c r="F353" i="17"/>
  <c r="E353" i="17"/>
  <c r="D353" i="17"/>
  <c r="C353" i="17"/>
  <c r="B353" i="17"/>
  <c r="A353" i="17"/>
  <c r="AM352" i="17"/>
  <c r="AL352" i="17"/>
  <c r="AK352" i="17"/>
  <c r="AJ352" i="17"/>
  <c r="AI352" i="17"/>
  <c r="AH352" i="17"/>
  <c r="AG352" i="17"/>
  <c r="AF352" i="17"/>
  <c r="AE352" i="17"/>
  <c r="AD352" i="17"/>
  <c r="AC352" i="17"/>
  <c r="AB352" i="17"/>
  <c r="AA352" i="17"/>
  <c r="Z352" i="17"/>
  <c r="Y352" i="17"/>
  <c r="X352" i="17"/>
  <c r="W352" i="17"/>
  <c r="V352" i="17"/>
  <c r="U352" i="17"/>
  <c r="T352" i="17"/>
  <c r="S352" i="17"/>
  <c r="R352" i="17"/>
  <c r="Q352" i="17"/>
  <c r="P352" i="17"/>
  <c r="O352" i="17"/>
  <c r="N352" i="17"/>
  <c r="M352" i="17"/>
  <c r="L352" i="17"/>
  <c r="K352" i="17"/>
  <c r="J352" i="17"/>
  <c r="I352" i="17"/>
  <c r="H352" i="17"/>
  <c r="G352" i="17"/>
  <c r="F352" i="17"/>
  <c r="E352" i="17"/>
  <c r="D352" i="17"/>
  <c r="C352" i="17"/>
  <c r="B352" i="17"/>
  <c r="A352" i="17"/>
  <c r="AM351" i="17"/>
  <c r="AL351" i="17"/>
  <c r="AK351" i="17"/>
  <c r="AJ351" i="17"/>
  <c r="AI351" i="17"/>
  <c r="AH351" i="17"/>
  <c r="AG351" i="17"/>
  <c r="AF351" i="17"/>
  <c r="AE351" i="17"/>
  <c r="AD351" i="17"/>
  <c r="AC351" i="17"/>
  <c r="AB351" i="17"/>
  <c r="AA351" i="17"/>
  <c r="Z351" i="17"/>
  <c r="Y351" i="17"/>
  <c r="X351" i="17"/>
  <c r="W351" i="17"/>
  <c r="V351" i="17"/>
  <c r="U351" i="17"/>
  <c r="T351" i="17"/>
  <c r="S351" i="17"/>
  <c r="R351" i="17"/>
  <c r="Q351" i="17"/>
  <c r="P351" i="17"/>
  <c r="O351" i="17"/>
  <c r="N351" i="17"/>
  <c r="M351" i="17"/>
  <c r="L351" i="17"/>
  <c r="K351" i="17"/>
  <c r="J351" i="17"/>
  <c r="I351" i="17"/>
  <c r="H351" i="17"/>
  <c r="G351" i="17"/>
  <c r="F351" i="17"/>
  <c r="E351" i="17"/>
  <c r="D351" i="17"/>
  <c r="C351" i="17"/>
  <c r="B351" i="17"/>
  <c r="A351" i="17"/>
  <c r="AM350" i="17"/>
  <c r="AL350" i="17"/>
  <c r="AK350" i="17"/>
  <c r="AJ350" i="17"/>
  <c r="AI350" i="17"/>
  <c r="AH350" i="17"/>
  <c r="AG350" i="17"/>
  <c r="AF350" i="17"/>
  <c r="AE350" i="17"/>
  <c r="AD350" i="17"/>
  <c r="AC350" i="17"/>
  <c r="AB350" i="17"/>
  <c r="AA350" i="17"/>
  <c r="Z350" i="17"/>
  <c r="Y350" i="17"/>
  <c r="X350" i="17"/>
  <c r="W350" i="17"/>
  <c r="V350" i="17"/>
  <c r="U350" i="17"/>
  <c r="T350" i="17"/>
  <c r="S350" i="17"/>
  <c r="R350" i="17"/>
  <c r="Q350" i="17"/>
  <c r="P350" i="17"/>
  <c r="O350" i="17"/>
  <c r="N350" i="17"/>
  <c r="M350" i="17"/>
  <c r="L350" i="17"/>
  <c r="K350" i="17"/>
  <c r="J350" i="17"/>
  <c r="I350" i="17"/>
  <c r="H350" i="17"/>
  <c r="G350" i="17"/>
  <c r="F350" i="17"/>
  <c r="E350" i="17"/>
  <c r="D350" i="17"/>
  <c r="C350" i="17"/>
  <c r="B350" i="17"/>
  <c r="A350" i="17"/>
  <c r="AM349" i="17"/>
  <c r="AL349" i="17"/>
  <c r="AK349" i="17"/>
  <c r="AJ349" i="17"/>
  <c r="AI349" i="17"/>
  <c r="AH349" i="17"/>
  <c r="AG349" i="17"/>
  <c r="AF349" i="17"/>
  <c r="AE349" i="17"/>
  <c r="AD349" i="17"/>
  <c r="AC349" i="17"/>
  <c r="AB349" i="17"/>
  <c r="AA349" i="17"/>
  <c r="Z349" i="17"/>
  <c r="Y349" i="17"/>
  <c r="X349" i="17"/>
  <c r="W349" i="17"/>
  <c r="V349" i="17"/>
  <c r="U349" i="17"/>
  <c r="T349" i="17"/>
  <c r="S349" i="17"/>
  <c r="R349" i="17"/>
  <c r="Q349" i="17"/>
  <c r="P349" i="17"/>
  <c r="O349" i="17"/>
  <c r="N349" i="17"/>
  <c r="M349" i="17"/>
  <c r="L349" i="17"/>
  <c r="K349" i="17"/>
  <c r="J349" i="17"/>
  <c r="I349" i="17"/>
  <c r="H349" i="17"/>
  <c r="G349" i="17"/>
  <c r="F349" i="17"/>
  <c r="E349" i="17"/>
  <c r="D349" i="17"/>
  <c r="C349" i="17"/>
  <c r="B349" i="17"/>
  <c r="A349" i="17"/>
  <c r="AM348" i="17"/>
  <c r="AL348" i="17"/>
  <c r="AK348" i="17"/>
  <c r="AJ348" i="17"/>
  <c r="AI348" i="17"/>
  <c r="AH348" i="17"/>
  <c r="AG348" i="17"/>
  <c r="AF348" i="17"/>
  <c r="AE348" i="17"/>
  <c r="AD348" i="17"/>
  <c r="AC348" i="17"/>
  <c r="AB348" i="17"/>
  <c r="AA348" i="17"/>
  <c r="Z348" i="17"/>
  <c r="Y348" i="17"/>
  <c r="X348" i="17"/>
  <c r="W348" i="17"/>
  <c r="V348" i="17"/>
  <c r="U348" i="17"/>
  <c r="T348" i="17"/>
  <c r="S348" i="17"/>
  <c r="R348" i="17"/>
  <c r="Q348" i="17"/>
  <c r="P348" i="17"/>
  <c r="O348" i="17"/>
  <c r="N348" i="17"/>
  <c r="M348" i="17"/>
  <c r="L348" i="17"/>
  <c r="K348" i="17"/>
  <c r="J348" i="17"/>
  <c r="I348" i="17"/>
  <c r="H348" i="17"/>
  <c r="G348" i="17"/>
  <c r="F348" i="17"/>
  <c r="E348" i="17"/>
  <c r="D348" i="17"/>
  <c r="C348" i="17"/>
  <c r="B348" i="17"/>
  <c r="A348" i="17"/>
  <c r="AM347" i="17"/>
  <c r="AL347" i="17"/>
  <c r="AK347" i="17"/>
  <c r="AJ347" i="17"/>
  <c r="AI347" i="17"/>
  <c r="AH347" i="17"/>
  <c r="AG347" i="17"/>
  <c r="AF347" i="17"/>
  <c r="AE347" i="17"/>
  <c r="AD347" i="17"/>
  <c r="AC347" i="17"/>
  <c r="AB347" i="17"/>
  <c r="AA347" i="17"/>
  <c r="Z347" i="17"/>
  <c r="Y347" i="17"/>
  <c r="X347" i="17"/>
  <c r="W347" i="17"/>
  <c r="V347" i="17"/>
  <c r="U347" i="17"/>
  <c r="T347" i="17"/>
  <c r="S347" i="17"/>
  <c r="R347" i="17"/>
  <c r="Q347" i="17"/>
  <c r="P347" i="17"/>
  <c r="O347" i="17"/>
  <c r="N347" i="17"/>
  <c r="M347" i="17"/>
  <c r="L347" i="17"/>
  <c r="K347" i="17"/>
  <c r="J347" i="17"/>
  <c r="I347" i="17"/>
  <c r="H347" i="17"/>
  <c r="G347" i="17"/>
  <c r="F347" i="17"/>
  <c r="E347" i="17"/>
  <c r="D347" i="17"/>
  <c r="C347" i="17"/>
  <c r="B347" i="17"/>
  <c r="A347" i="17"/>
  <c r="AM346" i="17"/>
  <c r="AL346" i="17"/>
  <c r="AK346" i="17"/>
  <c r="AJ346" i="17"/>
  <c r="AI346" i="17"/>
  <c r="AH346" i="17"/>
  <c r="AG346" i="17"/>
  <c r="AF346" i="17"/>
  <c r="AE346" i="17"/>
  <c r="AD346" i="17"/>
  <c r="AC346" i="17"/>
  <c r="AB346" i="17"/>
  <c r="AA346" i="17"/>
  <c r="Z346" i="17"/>
  <c r="Y346" i="17"/>
  <c r="X346" i="17"/>
  <c r="W346" i="17"/>
  <c r="V346" i="17"/>
  <c r="U346" i="17"/>
  <c r="T346" i="17"/>
  <c r="S346" i="17"/>
  <c r="R346" i="17"/>
  <c r="Q346" i="17"/>
  <c r="P346" i="17"/>
  <c r="O346" i="17"/>
  <c r="N346" i="17"/>
  <c r="M346" i="17"/>
  <c r="L346" i="17"/>
  <c r="K346" i="17"/>
  <c r="J346" i="17"/>
  <c r="I346" i="17"/>
  <c r="H346" i="17"/>
  <c r="G346" i="17"/>
  <c r="F346" i="17"/>
  <c r="E346" i="17"/>
  <c r="D346" i="17"/>
  <c r="C346" i="17"/>
  <c r="B346" i="17"/>
  <c r="A346" i="17"/>
  <c r="AM345" i="17"/>
  <c r="AL345" i="17"/>
  <c r="AK345" i="17"/>
  <c r="AJ345" i="17"/>
  <c r="AI345" i="17"/>
  <c r="AH345" i="17"/>
  <c r="AG345" i="17"/>
  <c r="AF345" i="17"/>
  <c r="AE345" i="17"/>
  <c r="AD345" i="17"/>
  <c r="AC345" i="17"/>
  <c r="AB345" i="17"/>
  <c r="AA345" i="17"/>
  <c r="Z345" i="17"/>
  <c r="Y345" i="17"/>
  <c r="X345" i="17"/>
  <c r="W345" i="17"/>
  <c r="V345" i="17"/>
  <c r="U345" i="17"/>
  <c r="T345" i="17"/>
  <c r="S345" i="17"/>
  <c r="R345" i="17"/>
  <c r="Q345" i="17"/>
  <c r="P345" i="17"/>
  <c r="O345" i="17"/>
  <c r="N345" i="17"/>
  <c r="M345" i="17"/>
  <c r="L345" i="17"/>
  <c r="K345" i="17"/>
  <c r="J345" i="17"/>
  <c r="I345" i="17"/>
  <c r="H345" i="17"/>
  <c r="G345" i="17"/>
  <c r="F345" i="17"/>
  <c r="E345" i="17"/>
  <c r="D345" i="17"/>
  <c r="C345" i="17"/>
  <c r="B345" i="17"/>
  <c r="A345" i="17"/>
  <c r="AM344" i="17"/>
  <c r="AL344" i="17"/>
  <c r="AK344" i="17"/>
  <c r="AJ344" i="17"/>
  <c r="AI344" i="17"/>
  <c r="AH344" i="17"/>
  <c r="AG344" i="17"/>
  <c r="AF344" i="17"/>
  <c r="AE344" i="17"/>
  <c r="AD344" i="17"/>
  <c r="AC344" i="17"/>
  <c r="AB344" i="17"/>
  <c r="AA344" i="17"/>
  <c r="Z344" i="17"/>
  <c r="Y344" i="17"/>
  <c r="X344" i="17"/>
  <c r="W344" i="17"/>
  <c r="V344" i="17"/>
  <c r="U344" i="17"/>
  <c r="T344" i="17"/>
  <c r="S344" i="17"/>
  <c r="R344" i="17"/>
  <c r="Q344" i="17"/>
  <c r="P344" i="17"/>
  <c r="O344" i="17"/>
  <c r="N344" i="17"/>
  <c r="M344" i="17"/>
  <c r="L344" i="17"/>
  <c r="K344" i="17"/>
  <c r="J344" i="17"/>
  <c r="I344" i="17"/>
  <c r="H344" i="17"/>
  <c r="G344" i="17"/>
  <c r="F344" i="17"/>
  <c r="E344" i="17"/>
  <c r="D344" i="17"/>
  <c r="C344" i="17"/>
  <c r="B344" i="17"/>
  <c r="A344" i="17"/>
  <c r="AM343" i="17"/>
  <c r="AL343" i="17"/>
  <c r="AK343" i="17"/>
  <c r="AJ343" i="17"/>
  <c r="AI343" i="17"/>
  <c r="AH343" i="17"/>
  <c r="AG343" i="17"/>
  <c r="AF343" i="17"/>
  <c r="AE343" i="17"/>
  <c r="AD343" i="17"/>
  <c r="AC343" i="17"/>
  <c r="AB343" i="17"/>
  <c r="AA343" i="17"/>
  <c r="Z343" i="17"/>
  <c r="Y343" i="17"/>
  <c r="X343" i="17"/>
  <c r="W343" i="17"/>
  <c r="V343" i="17"/>
  <c r="U343" i="17"/>
  <c r="T343" i="17"/>
  <c r="S343" i="17"/>
  <c r="R343" i="17"/>
  <c r="Q343" i="17"/>
  <c r="P343" i="17"/>
  <c r="O343" i="17"/>
  <c r="N343" i="17"/>
  <c r="M343" i="17"/>
  <c r="L343" i="17"/>
  <c r="K343" i="17"/>
  <c r="J343" i="17"/>
  <c r="I343" i="17"/>
  <c r="H343" i="17"/>
  <c r="G343" i="17"/>
  <c r="F343" i="17"/>
  <c r="E343" i="17"/>
  <c r="D343" i="17"/>
  <c r="C343" i="17"/>
  <c r="B343" i="17"/>
  <c r="A343" i="17"/>
  <c r="AM342" i="17"/>
  <c r="AL342" i="17"/>
  <c r="AK342" i="17"/>
  <c r="AJ342" i="17"/>
  <c r="AI342" i="17"/>
  <c r="AH342" i="17"/>
  <c r="AG342" i="17"/>
  <c r="AF342" i="17"/>
  <c r="AE342" i="17"/>
  <c r="AD342" i="17"/>
  <c r="AC342" i="17"/>
  <c r="AB342" i="17"/>
  <c r="AA342" i="17"/>
  <c r="Z342" i="17"/>
  <c r="Y342" i="17"/>
  <c r="X342" i="17"/>
  <c r="W342" i="17"/>
  <c r="V342" i="17"/>
  <c r="U342" i="17"/>
  <c r="T342" i="17"/>
  <c r="S342" i="17"/>
  <c r="R342" i="17"/>
  <c r="Q342" i="17"/>
  <c r="P342" i="17"/>
  <c r="O342" i="17"/>
  <c r="N342" i="17"/>
  <c r="M342" i="17"/>
  <c r="L342" i="17"/>
  <c r="K342" i="17"/>
  <c r="J342" i="17"/>
  <c r="I342" i="17"/>
  <c r="H342" i="17"/>
  <c r="G342" i="17"/>
  <c r="F342" i="17"/>
  <c r="E342" i="17"/>
  <c r="D342" i="17"/>
  <c r="C342" i="17"/>
  <c r="B342" i="17"/>
  <c r="A342" i="17"/>
  <c r="AM341" i="17"/>
  <c r="AL341" i="17"/>
  <c r="AK341" i="17"/>
  <c r="AJ341" i="17"/>
  <c r="AI341" i="17"/>
  <c r="AH341" i="17"/>
  <c r="AG341" i="17"/>
  <c r="AF341" i="17"/>
  <c r="AE341" i="17"/>
  <c r="AD341" i="17"/>
  <c r="AC341" i="17"/>
  <c r="AB341" i="17"/>
  <c r="AA341" i="17"/>
  <c r="Z341" i="17"/>
  <c r="Y341" i="17"/>
  <c r="X341" i="17"/>
  <c r="W341" i="17"/>
  <c r="V341" i="17"/>
  <c r="U341" i="17"/>
  <c r="T341" i="17"/>
  <c r="S341" i="17"/>
  <c r="R341" i="17"/>
  <c r="Q341" i="17"/>
  <c r="P341" i="17"/>
  <c r="O341" i="17"/>
  <c r="N341" i="17"/>
  <c r="M341" i="17"/>
  <c r="L341" i="17"/>
  <c r="K341" i="17"/>
  <c r="J341" i="17"/>
  <c r="I341" i="17"/>
  <c r="H341" i="17"/>
  <c r="G341" i="17"/>
  <c r="F341" i="17"/>
  <c r="E341" i="17"/>
  <c r="D341" i="17"/>
  <c r="C341" i="17"/>
  <c r="B341" i="17"/>
  <c r="A341" i="17"/>
  <c r="AM340" i="17"/>
  <c r="AL340" i="17"/>
  <c r="AK340" i="17"/>
  <c r="AJ340" i="17"/>
  <c r="AI340" i="17"/>
  <c r="AH340" i="17"/>
  <c r="AG340" i="17"/>
  <c r="AF340" i="17"/>
  <c r="AE340" i="17"/>
  <c r="AD340" i="17"/>
  <c r="AC340" i="17"/>
  <c r="AB340" i="17"/>
  <c r="AA340" i="17"/>
  <c r="Z340" i="17"/>
  <c r="Y340" i="17"/>
  <c r="X340" i="17"/>
  <c r="W340" i="17"/>
  <c r="V340" i="17"/>
  <c r="U340" i="17"/>
  <c r="T340" i="17"/>
  <c r="S340" i="17"/>
  <c r="R340" i="17"/>
  <c r="Q340" i="17"/>
  <c r="P340" i="17"/>
  <c r="O340" i="17"/>
  <c r="N340" i="17"/>
  <c r="M340" i="17"/>
  <c r="L340" i="17"/>
  <c r="K340" i="17"/>
  <c r="J340" i="17"/>
  <c r="I340" i="17"/>
  <c r="H340" i="17"/>
  <c r="G340" i="17"/>
  <c r="F340" i="17"/>
  <c r="E340" i="17"/>
  <c r="D340" i="17"/>
  <c r="C340" i="17"/>
  <c r="B340" i="17"/>
  <c r="A340" i="17"/>
  <c r="AM339" i="17"/>
  <c r="AL339" i="17"/>
  <c r="AK339" i="17"/>
  <c r="AJ339" i="17"/>
  <c r="AI339" i="17"/>
  <c r="AH339" i="17"/>
  <c r="AG339" i="17"/>
  <c r="AF339" i="17"/>
  <c r="AE339" i="17"/>
  <c r="AD339" i="17"/>
  <c r="AC339" i="17"/>
  <c r="AB339" i="17"/>
  <c r="AA339" i="17"/>
  <c r="Z339" i="17"/>
  <c r="Y339" i="17"/>
  <c r="X339" i="17"/>
  <c r="W339" i="17"/>
  <c r="V339" i="17"/>
  <c r="U339" i="17"/>
  <c r="T339" i="17"/>
  <c r="S339" i="17"/>
  <c r="R339" i="17"/>
  <c r="Q339" i="17"/>
  <c r="P339" i="17"/>
  <c r="O339" i="17"/>
  <c r="N339" i="17"/>
  <c r="M339" i="17"/>
  <c r="L339" i="17"/>
  <c r="K339" i="17"/>
  <c r="J339" i="17"/>
  <c r="I339" i="17"/>
  <c r="H339" i="17"/>
  <c r="G339" i="17"/>
  <c r="F339" i="17"/>
  <c r="E339" i="17"/>
  <c r="D339" i="17"/>
  <c r="C339" i="17"/>
  <c r="B339" i="17"/>
  <c r="A339" i="17"/>
  <c r="AM338" i="17"/>
  <c r="AL338" i="17"/>
  <c r="AK338" i="17"/>
  <c r="AJ338" i="17"/>
  <c r="AI338" i="17"/>
  <c r="AH338" i="17"/>
  <c r="AG338" i="17"/>
  <c r="AF338" i="17"/>
  <c r="AE338" i="17"/>
  <c r="AD338" i="17"/>
  <c r="AC338" i="17"/>
  <c r="AB338" i="17"/>
  <c r="AA338" i="17"/>
  <c r="Z338" i="17"/>
  <c r="Y338" i="17"/>
  <c r="X338" i="17"/>
  <c r="W338" i="17"/>
  <c r="V338" i="17"/>
  <c r="U338" i="17"/>
  <c r="T338" i="17"/>
  <c r="S338" i="17"/>
  <c r="R338" i="17"/>
  <c r="Q338" i="17"/>
  <c r="P338" i="17"/>
  <c r="O338" i="17"/>
  <c r="N338" i="17"/>
  <c r="M338" i="17"/>
  <c r="L338" i="17"/>
  <c r="K338" i="17"/>
  <c r="J338" i="17"/>
  <c r="I338" i="17"/>
  <c r="H338" i="17"/>
  <c r="G338" i="17"/>
  <c r="F338" i="17"/>
  <c r="E338" i="17"/>
  <c r="D338" i="17"/>
  <c r="C338" i="17"/>
  <c r="B338" i="17"/>
  <c r="A338" i="17"/>
  <c r="AM337" i="17"/>
  <c r="AL337" i="17"/>
  <c r="AK337" i="17"/>
  <c r="AJ337" i="17"/>
  <c r="AI337" i="17"/>
  <c r="AH337" i="17"/>
  <c r="AG337" i="17"/>
  <c r="AF337" i="17"/>
  <c r="AE337" i="17"/>
  <c r="AD337" i="17"/>
  <c r="AC337" i="17"/>
  <c r="AB337" i="17"/>
  <c r="AA337" i="17"/>
  <c r="Z337" i="17"/>
  <c r="Y337" i="17"/>
  <c r="X337" i="17"/>
  <c r="W337" i="17"/>
  <c r="V337" i="17"/>
  <c r="U337" i="17"/>
  <c r="T337" i="17"/>
  <c r="S337" i="17"/>
  <c r="R337" i="17"/>
  <c r="Q337" i="17"/>
  <c r="P337" i="17"/>
  <c r="O337" i="17"/>
  <c r="N337" i="17"/>
  <c r="M337" i="17"/>
  <c r="L337" i="17"/>
  <c r="K337" i="17"/>
  <c r="J337" i="17"/>
  <c r="I337" i="17"/>
  <c r="H337" i="17"/>
  <c r="G337" i="17"/>
  <c r="F337" i="17"/>
  <c r="E337" i="17"/>
  <c r="D337" i="17"/>
  <c r="C337" i="17"/>
  <c r="B337" i="17"/>
  <c r="A337" i="17"/>
  <c r="AM336" i="17"/>
  <c r="AL336" i="17"/>
  <c r="AK336" i="17"/>
  <c r="AJ336" i="17"/>
  <c r="AI336" i="17"/>
  <c r="AH336" i="17"/>
  <c r="AG336" i="17"/>
  <c r="AF336" i="17"/>
  <c r="AE336" i="17"/>
  <c r="AD336" i="17"/>
  <c r="AC336" i="17"/>
  <c r="AB336" i="17"/>
  <c r="AA336" i="17"/>
  <c r="Z336" i="17"/>
  <c r="Y336" i="17"/>
  <c r="X336" i="17"/>
  <c r="W336" i="17"/>
  <c r="V336" i="17"/>
  <c r="U336" i="17"/>
  <c r="T336" i="17"/>
  <c r="S336" i="17"/>
  <c r="R336" i="17"/>
  <c r="Q336" i="17"/>
  <c r="P336" i="17"/>
  <c r="O336" i="17"/>
  <c r="N336" i="17"/>
  <c r="M336" i="17"/>
  <c r="L336" i="17"/>
  <c r="K336" i="17"/>
  <c r="J336" i="17"/>
  <c r="I336" i="17"/>
  <c r="H336" i="17"/>
  <c r="G336" i="17"/>
  <c r="F336" i="17"/>
  <c r="E336" i="17"/>
  <c r="D336" i="17"/>
  <c r="C336" i="17"/>
  <c r="B336" i="17"/>
  <c r="A336" i="17"/>
  <c r="AM335" i="17"/>
  <c r="AL335" i="17"/>
  <c r="AK335" i="17"/>
  <c r="AJ335" i="17"/>
  <c r="AI335" i="17"/>
  <c r="AH335" i="17"/>
  <c r="AG335" i="17"/>
  <c r="AF335" i="17"/>
  <c r="AE335" i="17"/>
  <c r="AD335" i="17"/>
  <c r="AC335" i="17"/>
  <c r="AB335" i="17"/>
  <c r="AA335" i="17"/>
  <c r="Z335" i="17"/>
  <c r="Y335" i="17"/>
  <c r="X335" i="17"/>
  <c r="W335" i="17"/>
  <c r="V335" i="17"/>
  <c r="U335" i="17"/>
  <c r="T335" i="17"/>
  <c r="S335" i="17"/>
  <c r="R335" i="17"/>
  <c r="Q335" i="17"/>
  <c r="P335" i="17"/>
  <c r="O335" i="17"/>
  <c r="N335" i="17"/>
  <c r="M335" i="17"/>
  <c r="L335" i="17"/>
  <c r="K335" i="17"/>
  <c r="J335" i="17"/>
  <c r="I335" i="17"/>
  <c r="H335" i="17"/>
  <c r="G335" i="17"/>
  <c r="F335" i="17"/>
  <c r="E335" i="17"/>
  <c r="D335" i="17"/>
  <c r="C335" i="17"/>
  <c r="B335" i="17"/>
  <c r="A335" i="17"/>
  <c r="AM334" i="17"/>
  <c r="AL334" i="17"/>
  <c r="AK334" i="17"/>
  <c r="AJ334" i="17"/>
  <c r="AI334" i="17"/>
  <c r="AH334" i="17"/>
  <c r="AG334" i="17"/>
  <c r="AF334" i="17"/>
  <c r="AE334" i="17"/>
  <c r="AD334" i="17"/>
  <c r="AC334" i="17"/>
  <c r="AB334" i="17"/>
  <c r="AA334" i="17"/>
  <c r="Z334" i="17"/>
  <c r="Y334" i="17"/>
  <c r="X334" i="17"/>
  <c r="W334" i="17"/>
  <c r="V334" i="17"/>
  <c r="U334" i="17"/>
  <c r="T334" i="17"/>
  <c r="S334" i="17"/>
  <c r="R334" i="17"/>
  <c r="Q334" i="17"/>
  <c r="P334" i="17"/>
  <c r="O334" i="17"/>
  <c r="N334" i="17"/>
  <c r="M334" i="17"/>
  <c r="L334" i="17"/>
  <c r="K334" i="17"/>
  <c r="J334" i="17"/>
  <c r="I334" i="17"/>
  <c r="H334" i="17"/>
  <c r="G334" i="17"/>
  <c r="F334" i="17"/>
  <c r="E334" i="17"/>
  <c r="D334" i="17"/>
  <c r="C334" i="17"/>
  <c r="B334" i="17"/>
  <c r="A334" i="17"/>
  <c r="AM333" i="17"/>
  <c r="AL333" i="17"/>
  <c r="AK333" i="17"/>
  <c r="AJ333" i="17"/>
  <c r="AI333" i="17"/>
  <c r="AH333" i="17"/>
  <c r="AG333" i="17"/>
  <c r="AF333" i="17"/>
  <c r="AE333" i="17"/>
  <c r="AD333" i="17"/>
  <c r="AC333" i="17"/>
  <c r="AB333" i="17"/>
  <c r="AA333" i="17"/>
  <c r="Z333" i="17"/>
  <c r="Y333" i="17"/>
  <c r="X333" i="17"/>
  <c r="W333" i="17"/>
  <c r="V333" i="17"/>
  <c r="U333" i="17"/>
  <c r="T333" i="17"/>
  <c r="S333" i="17"/>
  <c r="R333" i="17"/>
  <c r="Q333" i="17"/>
  <c r="P333" i="17"/>
  <c r="O333" i="17"/>
  <c r="N333" i="17"/>
  <c r="M333" i="17"/>
  <c r="L333" i="17"/>
  <c r="K333" i="17"/>
  <c r="J333" i="17"/>
  <c r="I333" i="17"/>
  <c r="H333" i="17"/>
  <c r="G333" i="17"/>
  <c r="F333" i="17"/>
  <c r="E333" i="17"/>
  <c r="D333" i="17"/>
  <c r="C333" i="17"/>
  <c r="B333" i="17"/>
  <c r="A333" i="17"/>
  <c r="AM332" i="17"/>
  <c r="AL332" i="17"/>
  <c r="AK332" i="17"/>
  <c r="AJ332" i="17"/>
  <c r="AI332" i="17"/>
  <c r="AH332" i="17"/>
  <c r="AG332" i="17"/>
  <c r="AF332" i="17"/>
  <c r="AE332" i="17"/>
  <c r="AD332" i="17"/>
  <c r="AC332" i="17"/>
  <c r="AB332" i="17"/>
  <c r="AA332" i="17"/>
  <c r="Z332" i="17"/>
  <c r="Y332" i="17"/>
  <c r="X332" i="17"/>
  <c r="W332" i="17"/>
  <c r="V332" i="17"/>
  <c r="U332" i="17"/>
  <c r="T332" i="17"/>
  <c r="S332" i="17"/>
  <c r="R332" i="17"/>
  <c r="Q332" i="17"/>
  <c r="P332" i="17"/>
  <c r="O332" i="17"/>
  <c r="N332" i="17"/>
  <c r="M332" i="17"/>
  <c r="L332" i="17"/>
  <c r="K332" i="17"/>
  <c r="J332" i="17"/>
  <c r="I332" i="17"/>
  <c r="H332" i="17"/>
  <c r="G332" i="17"/>
  <c r="F332" i="17"/>
  <c r="E332" i="17"/>
  <c r="D332" i="17"/>
  <c r="C332" i="17"/>
  <c r="B332" i="17"/>
  <c r="A332" i="17"/>
  <c r="AM331" i="17"/>
  <c r="AL331" i="17"/>
  <c r="AK331" i="17"/>
  <c r="AJ331" i="17"/>
  <c r="AI331" i="17"/>
  <c r="AH331" i="17"/>
  <c r="AG331" i="17"/>
  <c r="AF331" i="17"/>
  <c r="AE331" i="17"/>
  <c r="AD331" i="17"/>
  <c r="AC331" i="17"/>
  <c r="AB331" i="17"/>
  <c r="AA331" i="17"/>
  <c r="Z331" i="17"/>
  <c r="Y331" i="17"/>
  <c r="X331" i="17"/>
  <c r="W331" i="17"/>
  <c r="V331" i="17"/>
  <c r="U331" i="17"/>
  <c r="T331" i="17"/>
  <c r="S331" i="17"/>
  <c r="R331" i="17"/>
  <c r="Q331" i="17"/>
  <c r="P331" i="17"/>
  <c r="O331" i="17"/>
  <c r="N331" i="17"/>
  <c r="M331" i="17"/>
  <c r="L331" i="17"/>
  <c r="K331" i="17"/>
  <c r="J331" i="17"/>
  <c r="I331" i="17"/>
  <c r="H331" i="17"/>
  <c r="G331" i="17"/>
  <c r="F331" i="17"/>
  <c r="E331" i="17"/>
  <c r="D331" i="17"/>
  <c r="C331" i="17"/>
  <c r="B331" i="17"/>
  <c r="A331" i="17"/>
  <c r="AM330" i="17"/>
  <c r="AL330" i="17"/>
  <c r="AK330" i="17"/>
  <c r="AJ330" i="17"/>
  <c r="AI330" i="17"/>
  <c r="AH330" i="17"/>
  <c r="AG330" i="17"/>
  <c r="AF330" i="17"/>
  <c r="AE330" i="17"/>
  <c r="AD330" i="17"/>
  <c r="AC330" i="17"/>
  <c r="AB330" i="17"/>
  <c r="AA330" i="17"/>
  <c r="Z330" i="17"/>
  <c r="Y330" i="17"/>
  <c r="X330" i="17"/>
  <c r="W330" i="17"/>
  <c r="V330" i="17"/>
  <c r="U330" i="17"/>
  <c r="T330" i="17"/>
  <c r="S330" i="17"/>
  <c r="R330" i="17"/>
  <c r="Q330" i="17"/>
  <c r="P330" i="17"/>
  <c r="O330" i="17"/>
  <c r="N330" i="17"/>
  <c r="M330" i="17"/>
  <c r="L330" i="17"/>
  <c r="K330" i="17"/>
  <c r="J330" i="17"/>
  <c r="I330" i="17"/>
  <c r="H330" i="17"/>
  <c r="G330" i="17"/>
  <c r="F330" i="17"/>
  <c r="E330" i="17"/>
  <c r="D330" i="17"/>
  <c r="C330" i="17"/>
  <c r="B330" i="17"/>
  <c r="A330" i="17"/>
  <c r="AM329" i="17"/>
  <c r="AL329" i="17"/>
  <c r="AK329" i="17"/>
  <c r="AJ329" i="17"/>
  <c r="AI329" i="17"/>
  <c r="AH329" i="17"/>
  <c r="AG329" i="17"/>
  <c r="AF329" i="17"/>
  <c r="AE329" i="17"/>
  <c r="AD329" i="17"/>
  <c r="AC329" i="17"/>
  <c r="AB329" i="17"/>
  <c r="AA329" i="17"/>
  <c r="Z329" i="17"/>
  <c r="Y329" i="17"/>
  <c r="X329" i="17"/>
  <c r="W329" i="17"/>
  <c r="V329" i="17"/>
  <c r="U329" i="17"/>
  <c r="T329" i="17"/>
  <c r="S329" i="17"/>
  <c r="R329" i="17"/>
  <c r="Q329" i="17"/>
  <c r="P329" i="17"/>
  <c r="O329" i="17"/>
  <c r="N329" i="17"/>
  <c r="M329" i="17"/>
  <c r="L329" i="17"/>
  <c r="K329" i="17"/>
  <c r="J329" i="17"/>
  <c r="I329" i="17"/>
  <c r="H329" i="17"/>
  <c r="G329" i="17"/>
  <c r="F329" i="17"/>
  <c r="E329" i="17"/>
  <c r="D329" i="17"/>
  <c r="C329" i="17"/>
  <c r="B329" i="17"/>
  <c r="A329" i="17"/>
  <c r="AM328" i="17"/>
  <c r="AL328" i="17"/>
  <c r="AK328" i="17"/>
  <c r="AJ328" i="17"/>
  <c r="AI328" i="17"/>
  <c r="AH328" i="17"/>
  <c r="AG328" i="17"/>
  <c r="AF328" i="17"/>
  <c r="AE328" i="17"/>
  <c r="AD328" i="17"/>
  <c r="AC328" i="17"/>
  <c r="AB328" i="17"/>
  <c r="AA328" i="17"/>
  <c r="Z328" i="17"/>
  <c r="Y328" i="17"/>
  <c r="X328" i="17"/>
  <c r="W328" i="17"/>
  <c r="V328" i="17"/>
  <c r="U328" i="17"/>
  <c r="T328" i="17"/>
  <c r="S328" i="17"/>
  <c r="R328" i="17"/>
  <c r="Q328" i="17"/>
  <c r="P328" i="17"/>
  <c r="O328" i="17"/>
  <c r="N328" i="17"/>
  <c r="M328" i="17"/>
  <c r="L328" i="17"/>
  <c r="K328" i="17"/>
  <c r="J328" i="17"/>
  <c r="I328" i="17"/>
  <c r="H328" i="17"/>
  <c r="G328" i="17"/>
  <c r="F328" i="17"/>
  <c r="E328" i="17"/>
  <c r="D328" i="17"/>
  <c r="C328" i="17"/>
  <c r="B328" i="17"/>
  <c r="A328" i="17"/>
  <c r="AM327" i="17"/>
  <c r="AL327" i="17"/>
  <c r="AK327" i="17"/>
  <c r="AJ327" i="17"/>
  <c r="AI327" i="17"/>
  <c r="AH327" i="17"/>
  <c r="AG327" i="17"/>
  <c r="AF327" i="17"/>
  <c r="AE327" i="17"/>
  <c r="AD327" i="17"/>
  <c r="AC327" i="17"/>
  <c r="AB327" i="17"/>
  <c r="AA327" i="17"/>
  <c r="Z327" i="17"/>
  <c r="Y327" i="17"/>
  <c r="X327" i="17"/>
  <c r="W327" i="17"/>
  <c r="V327" i="17"/>
  <c r="U327" i="17"/>
  <c r="T327" i="17"/>
  <c r="S327" i="17"/>
  <c r="R327" i="17"/>
  <c r="Q327" i="17"/>
  <c r="P327" i="17"/>
  <c r="O327" i="17"/>
  <c r="N327" i="17"/>
  <c r="M327" i="17"/>
  <c r="L327" i="17"/>
  <c r="K327" i="17"/>
  <c r="J327" i="17"/>
  <c r="I327" i="17"/>
  <c r="H327" i="17"/>
  <c r="G327" i="17"/>
  <c r="F327" i="17"/>
  <c r="E327" i="17"/>
  <c r="D327" i="17"/>
  <c r="C327" i="17"/>
  <c r="B327" i="17"/>
  <c r="A327" i="17"/>
  <c r="AM326" i="17"/>
  <c r="AL326" i="17"/>
  <c r="AK326" i="17"/>
  <c r="AJ326" i="17"/>
  <c r="AI326" i="17"/>
  <c r="AH326" i="17"/>
  <c r="AG326" i="17"/>
  <c r="AF326" i="17"/>
  <c r="AE326" i="17"/>
  <c r="AD326" i="17"/>
  <c r="AC326" i="17"/>
  <c r="AB326" i="17"/>
  <c r="AA326" i="17"/>
  <c r="Z326" i="17"/>
  <c r="Y326" i="17"/>
  <c r="X326" i="17"/>
  <c r="W326" i="17"/>
  <c r="V326" i="17"/>
  <c r="U326" i="17"/>
  <c r="T326" i="17"/>
  <c r="S326" i="17"/>
  <c r="R326" i="17"/>
  <c r="Q326" i="17"/>
  <c r="P326" i="17"/>
  <c r="O326" i="17"/>
  <c r="N326" i="17"/>
  <c r="M326" i="17"/>
  <c r="L326" i="17"/>
  <c r="K326" i="17"/>
  <c r="J326" i="17"/>
  <c r="I326" i="17"/>
  <c r="H326" i="17"/>
  <c r="G326" i="17"/>
  <c r="F326" i="17"/>
  <c r="E326" i="17"/>
  <c r="D326" i="17"/>
  <c r="C326" i="17"/>
  <c r="B326" i="17"/>
  <c r="A326" i="17"/>
  <c r="AM325" i="17"/>
  <c r="AL325" i="17"/>
  <c r="AK325" i="17"/>
  <c r="AJ325" i="17"/>
  <c r="AI325" i="17"/>
  <c r="AH325" i="17"/>
  <c r="AG325" i="17"/>
  <c r="AF325" i="17"/>
  <c r="AE325" i="17"/>
  <c r="AD325" i="17"/>
  <c r="AC325" i="17"/>
  <c r="AB325" i="17"/>
  <c r="AA325" i="17"/>
  <c r="Z325" i="17"/>
  <c r="Y325" i="17"/>
  <c r="X325" i="17"/>
  <c r="W325" i="17"/>
  <c r="V325" i="17"/>
  <c r="U325" i="17"/>
  <c r="T325" i="17"/>
  <c r="S325" i="17"/>
  <c r="R325" i="17"/>
  <c r="Q325" i="17"/>
  <c r="P325" i="17"/>
  <c r="O325" i="17"/>
  <c r="N325" i="17"/>
  <c r="M325" i="17"/>
  <c r="L325" i="17"/>
  <c r="K325" i="17"/>
  <c r="J325" i="17"/>
  <c r="I325" i="17"/>
  <c r="H325" i="17"/>
  <c r="G325" i="17"/>
  <c r="F325" i="17"/>
  <c r="E325" i="17"/>
  <c r="D325" i="17"/>
  <c r="C325" i="17"/>
  <c r="B325" i="17"/>
  <c r="A325" i="17"/>
  <c r="AM324" i="17"/>
  <c r="AL324" i="17"/>
  <c r="AK324" i="17"/>
  <c r="AJ324" i="17"/>
  <c r="AI324" i="17"/>
  <c r="AH324" i="17"/>
  <c r="AG324" i="17"/>
  <c r="AF324" i="17"/>
  <c r="AE324" i="17"/>
  <c r="AD324" i="17"/>
  <c r="AC324" i="17"/>
  <c r="AB324" i="17"/>
  <c r="AA324" i="17"/>
  <c r="Z324" i="17"/>
  <c r="Y324" i="17"/>
  <c r="X324" i="17"/>
  <c r="W324" i="17"/>
  <c r="V324" i="17"/>
  <c r="U324" i="17"/>
  <c r="T324" i="17"/>
  <c r="S324" i="17"/>
  <c r="R324" i="17"/>
  <c r="Q324" i="17"/>
  <c r="P324" i="17"/>
  <c r="O324" i="17"/>
  <c r="N324" i="17"/>
  <c r="M324" i="17"/>
  <c r="L324" i="17"/>
  <c r="K324" i="17"/>
  <c r="J324" i="17"/>
  <c r="I324" i="17"/>
  <c r="H324" i="17"/>
  <c r="G324" i="17"/>
  <c r="F324" i="17"/>
  <c r="E324" i="17"/>
  <c r="D324" i="17"/>
  <c r="C324" i="17"/>
  <c r="B324" i="17"/>
  <c r="A324" i="17"/>
  <c r="AM323" i="17"/>
  <c r="AL323" i="17"/>
  <c r="AK323" i="17"/>
  <c r="AJ323" i="17"/>
  <c r="AI323" i="17"/>
  <c r="AH323" i="17"/>
  <c r="AG323" i="17"/>
  <c r="AF323" i="17"/>
  <c r="AE323" i="17"/>
  <c r="AD323" i="17"/>
  <c r="AC323" i="17"/>
  <c r="AB323" i="17"/>
  <c r="AA323" i="17"/>
  <c r="Z323" i="17"/>
  <c r="Y323" i="17"/>
  <c r="X323" i="17"/>
  <c r="W323" i="17"/>
  <c r="V323" i="17"/>
  <c r="U323" i="17"/>
  <c r="T323" i="17"/>
  <c r="S323" i="17"/>
  <c r="R323" i="17"/>
  <c r="Q323" i="17"/>
  <c r="P323" i="17"/>
  <c r="O323" i="17"/>
  <c r="N323" i="17"/>
  <c r="M323" i="17"/>
  <c r="L323" i="17"/>
  <c r="K323" i="17"/>
  <c r="J323" i="17"/>
  <c r="I323" i="17"/>
  <c r="H323" i="17"/>
  <c r="G323" i="17"/>
  <c r="F323" i="17"/>
  <c r="E323" i="17"/>
  <c r="D323" i="17"/>
  <c r="C323" i="17"/>
  <c r="B323" i="17"/>
  <c r="A323" i="17"/>
  <c r="AM322" i="17"/>
  <c r="AL322" i="17"/>
  <c r="AK322" i="17"/>
  <c r="AJ322" i="17"/>
  <c r="AI322" i="17"/>
  <c r="AH322" i="17"/>
  <c r="AG322" i="17"/>
  <c r="AF322" i="17"/>
  <c r="AE322" i="17"/>
  <c r="AD322" i="17"/>
  <c r="AC322" i="17"/>
  <c r="AB322" i="17"/>
  <c r="AA322" i="17"/>
  <c r="Z322" i="17"/>
  <c r="Y322" i="17"/>
  <c r="X322" i="17"/>
  <c r="W322" i="17"/>
  <c r="V322" i="17"/>
  <c r="U322" i="17"/>
  <c r="T322" i="17"/>
  <c r="S322" i="17"/>
  <c r="R322" i="17"/>
  <c r="Q322" i="17"/>
  <c r="P322" i="17"/>
  <c r="O322" i="17"/>
  <c r="N322" i="17"/>
  <c r="M322" i="17"/>
  <c r="L322" i="17"/>
  <c r="K322" i="17"/>
  <c r="J322" i="17"/>
  <c r="I322" i="17"/>
  <c r="H322" i="17"/>
  <c r="G322" i="17"/>
  <c r="F322" i="17"/>
  <c r="E322" i="17"/>
  <c r="D322" i="17"/>
  <c r="C322" i="17"/>
  <c r="B322" i="17"/>
  <c r="A322" i="17"/>
  <c r="AM321" i="17"/>
  <c r="AL321" i="17"/>
  <c r="AK321" i="17"/>
  <c r="AJ321" i="17"/>
  <c r="AI321" i="17"/>
  <c r="AH321" i="17"/>
  <c r="AG321" i="17"/>
  <c r="AF321" i="17"/>
  <c r="AE321" i="17"/>
  <c r="AD321" i="17"/>
  <c r="AC321" i="17"/>
  <c r="AB321" i="17"/>
  <c r="AA321" i="17"/>
  <c r="Z321" i="17"/>
  <c r="Y321" i="17"/>
  <c r="X321" i="17"/>
  <c r="W321" i="17"/>
  <c r="V321" i="17"/>
  <c r="U321" i="17"/>
  <c r="T321" i="17"/>
  <c r="S321" i="17"/>
  <c r="R321" i="17"/>
  <c r="Q321" i="17"/>
  <c r="P321" i="17"/>
  <c r="O321" i="17"/>
  <c r="N321" i="17"/>
  <c r="M321" i="17"/>
  <c r="L321" i="17"/>
  <c r="K321" i="17"/>
  <c r="J321" i="17"/>
  <c r="I321" i="17"/>
  <c r="H321" i="17"/>
  <c r="G321" i="17"/>
  <c r="F321" i="17"/>
  <c r="E321" i="17"/>
  <c r="D321" i="17"/>
  <c r="C321" i="17"/>
  <c r="B321" i="17"/>
  <c r="A321" i="17"/>
  <c r="AM320" i="17"/>
  <c r="AL320" i="17"/>
  <c r="AK320" i="17"/>
  <c r="AJ320" i="17"/>
  <c r="AI320" i="17"/>
  <c r="AH320" i="17"/>
  <c r="AG320" i="17"/>
  <c r="AF320" i="17"/>
  <c r="AE320" i="17"/>
  <c r="AD320" i="17"/>
  <c r="AC320" i="17"/>
  <c r="AB320" i="17"/>
  <c r="AA320" i="17"/>
  <c r="Z320" i="17"/>
  <c r="Y320" i="17"/>
  <c r="X320" i="17"/>
  <c r="W320" i="17"/>
  <c r="V320" i="17"/>
  <c r="U320" i="17"/>
  <c r="T320" i="17"/>
  <c r="S320" i="17"/>
  <c r="R320" i="17"/>
  <c r="Q320" i="17"/>
  <c r="P320" i="17"/>
  <c r="O320" i="17"/>
  <c r="N320" i="17"/>
  <c r="M320" i="17"/>
  <c r="L320" i="17"/>
  <c r="K320" i="17"/>
  <c r="J320" i="17"/>
  <c r="I320" i="17"/>
  <c r="H320" i="17"/>
  <c r="G320" i="17"/>
  <c r="F320" i="17"/>
  <c r="E320" i="17"/>
  <c r="D320" i="17"/>
  <c r="C320" i="17"/>
  <c r="B320" i="17"/>
  <c r="A320" i="17"/>
  <c r="AM319" i="17"/>
  <c r="AL319" i="17"/>
  <c r="AK319" i="17"/>
  <c r="AJ319" i="17"/>
  <c r="AI319" i="17"/>
  <c r="AH319" i="17"/>
  <c r="AG319" i="17"/>
  <c r="AF319" i="17"/>
  <c r="AE319" i="17"/>
  <c r="AD319" i="17"/>
  <c r="AC319" i="17"/>
  <c r="AB319" i="17"/>
  <c r="AA319" i="17"/>
  <c r="Z319" i="17"/>
  <c r="Y319" i="17"/>
  <c r="X319" i="17"/>
  <c r="W319" i="17"/>
  <c r="V319" i="17"/>
  <c r="U319" i="17"/>
  <c r="T319" i="17"/>
  <c r="S319" i="17"/>
  <c r="R319" i="17"/>
  <c r="Q319" i="17"/>
  <c r="P319" i="17"/>
  <c r="O319" i="17"/>
  <c r="N319" i="17"/>
  <c r="M319" i="17"/>
  <c r="L319" i="17"/>
  <c r="K319" i="17"/>
  <c r="J319" i="17"/>
  <c r="I319" i="17"/>
  <c r="H319" i="17"/>
  <c r="G319" i="17"/>
  <c r="F319" i="17"/>
  <c r="E319" i="17"/>
  <c r="D319" i="17"/>
  <c r="C319" i="17"/>
  <c r="B319" i="17"/>
  <c r="A319" i="17"/>
  <c r="AM318" i="17"/>
  <c r="AL318" i="17"/>
  <c r="AK318" i="17"/>
  <c r="AJ318" i="17"/>
  <c r="AI318" i="17"/>
  <c r="AH318" i="17"/>
  <c r="AG318" i="17"/>
  <c r="AF318" i="17"/>
  <c r="AE318" i="17"/>
  <c r="AD318" i="17"/>
  <c r="AC318" i="17"/>
  <c r="AB318" i="17"/>
  <c r="AA318" i="17"/>
  <c r="Z318" i="17"/>
  <c r="Y318" i="17"/>
  <c r="X318" i="17"/>
  <c r="W318" i="17"/>
  <c r="V318" i="17"/>
  <c r="U318" i="17"/>
  <c r="T318" i="17"/>
  <c r="S318" i="17"/>
  <c r="R318" i="17"/>
  <c r="Q318" i="17"/>
  <c r="P318" i="17"/>
  <c r="O318" i="17"/>
  <c r="N318" i="17"/>
  <c r="M318" i="17"/>
  <c r="L318" i="17"/>
  <c r="K318" i="17"/>
  <c r="J318" i="17"/>
  <c r="I318" i="17"/>
  <c r="H318" i="17"/>
  <c r="G318" i="17"/>
  <c r="F318" i="17"/>
  <c r="E318" i="17"/>
  <c r="D318" i="17"/>
  <c r="C318" i="17"/>
  <c r="B318" i="17"/>
  <c r="A318" i="17"/>
  <c r="AM317" i="17"/>
  <c r="AL317" i="17"/>
  <c r="AK317" i="17"/>
  <c r="AJ317" i="17"/>
  <c r="AI317" i="17"/>
  <c r="AH317" i="17"/>
  <c r="AG317" i="17"/>
  <c r="AF317" i="17"/>
  <c r="AE317" i="17"/>
  <c r="AD317" i="17"/>
  <c r="AC317" i="17"/>
  <c r="AB317" i="17"/>
  <c r="AA317" i="17"/>
  <c r="Z317" i="17"/>
  <c r="Y317" i="17"/>
  <c r="X317" i="17"/>
  <c r="W317" i="17"/>
  <c r="V317" i="17"/>
  <c r="U317" i="17"/>
  <c r="T317" i="17"/>
  <c r="S317" i="17"/>
  <c r="R317" i="17"/>
  <c r="Q317" i="17"/>
  <c r="P317" i="17"/>
  <c r="O317" i="17"/>
  <c r="N317" i="17"/>
  <c r="M317" i="17"/>
  <c r="L317" i="17"/>
  <c r="K317" i="17"/>
  <c r="J317" i="17"/>
  <c r="I317" i="17"/>
  <c r="H317" i="17"/>
  <c r="G317" i="17"/>
  <c r="F317" i="17"/>
  <c r="E317" i="17"/>
  <c r="D317" i="17"/>
  <c r="C317" i="17"/>
  <c r="B317" i="17"/>
  <c r="A317" i="17"/>
  <c r="AM316" i="17"/>
  <c r="AL316" i="17"/>
  <c r="AK316" i="17"/>
  <c r="AJ316" i="17"/>
  <c r="AI316" i="17"/>
  <c r="AH316" i="17"/>
  <c r="AG316" i="17"/>
  <c r="AF316" i="17"/>
  <c r="AE316" i="17"/>
  <c r="AD316" i="17"/>
  <c r="AC316" i="17"/>
  <c r="AB316" i="17"/>
  <c r="AA316" i="17"/>
  <c r="Z316" i="17"/>
  <c r="Y316" i="17"/>
  <c r="X316" i="17"/>
  <c r="W316" i="17"/>
  <c r="V316" i="17"/>
  <c r="U316" i="17"/>
  <c r="T316" i="17"/>
  <c r="S316" i="17"/>
  <c r="R316" i="17"/>
  <c r="Q316" i="17"/>
  <c r="P316" i="17"/>
  <c r="O316" i="17"/>
  <c r="N316" i="17"/>
  <c r="M316" i="17"/>
  <c r="L316" i="17"/>
  <c r="K316" i="17"/>
  <c r="J316" i="17"/>
  <c r="I316" i="17"/>
  <c r="H316" i="17"/>
  <c r="G316" i="17"/>
  <c r="F316" i="17"/>
  <c r="E316" i="17"/>
  <c r="D316" i="17"/>
  <c r="C316" i="17"/>
  <c r="B316" i="17"/>
  <c r="A316" i="17"/>
  <c r="AM315" i="17"/>
  <c r="AL315" i="17"/>
  <c r="AK315" i="17"/>
  <c r="AJ315" i="17"/>
  <c r="AI315" i="17"/>
  <c r="AH315" i="17"/>
  <c r="AG315" i="17"/>
  <c r="AF315" i="17"/>
  <c r="AE315" i="17"/>
  <c r="AD315" i="17"/>
  <c r="AC315" i="17"/>
  <c r="AB315" i="17"/>
  <c r="AA315" i="17"/>
  <c r="Z315" i="17"/>
  <c r="Y315" i="17"/>
  <c r="X315" i="17"/>
  <c r="W315" i="17"/>
  <c r="V315" i="17"/>
  <c r="U315" i="17"/>
  <c r="T315" i="17"/>
  <c r="S315" i="17"/>
  <c r="R315" i="17"/>
  <c r="Q315" i="17"/>
  <c r="P315" i="17"/>
  <c r="O315" i="17"/>
  <c r="N315" i="17"/>
  <c r="M315" i="17"/>
  <c r="L315" i="17"/>
  <c r="K315" i="17"/>
  <c r="J315" i="17"/>
  <c r="I315" i="17"/>
  <c r="H315" i="17"/>
  <c r="G315" i="17"/>
  <c r="F315" i="17"/>
  <c r="E315" i="17"/>
  <c r="D315" i="17"/>
  <c r="C315" i="17"/>
  <c r="B315" i="17"/>
  <c r="A315" i="17"/>
  <c r="AM314" i="17"/>
  <c r="AL314" i="17"/>
  <c r="AK314" i="17"/>
  <c r="AJ314" i="17"/>
  <c r="AI314" i="17"/>
  <c r="AH314" i="17"/>
  <c r="AG314" i="17"/>
  <c r="AF314" i="17"/>
  <c r="AE314" i="17"/>
  <c r="AD314" i="17"/>
  <c r="AC314" i="17"/>
  <c r="AB314" i="17"/>
  <c r="AA314" i="17"/>
  <c r="Z314" i="17"/>
  <c r="Y314" i="17"/>
  <c r="X314" i="17"/>
  <c r="W314" i="17"/>
  <c r="V314" i="17"/>
  <c r="U314" i="17"/>
  <c r="T314" i="17"/>
  <c r="S314" i="17"/>
  <c r="R314" i="17"/>
  <c r="Q314" i="17"/>
  <c r="P314" i="17"/>
  <c r="O314" i="17"/>
  <c r="N314" i="17"/>
  <c r="M314" i="17"/>
  <c r="L314" i="17"/>
  <c r="K314" i="17"/>
  <c r="J314" i="17"/>
  <c r="I314" i="17"/>
  <c r="H314" i="17"/>
  <c r="G314" i="17"/>
  <c r="F314" i="17"/>
  <c r="E314" i="17"/>
  <c r="D314" i="17"/>
  <c r="C314" i="17"/>
  <c r="B314" i="17"/>
  <c r="A314" i="17"/>
  <c r="AM313" i="17"/>
  <c r="AL313" i="17"/>
  <c r="AK313" i="17"/>
  <c r="AJ313" i="17"/>
  <c r="AI313" i="17"/>
  <c r="AH313" i="17"/>
  <c r="AG313" i="17"/>
  <c r="AF313" i="17"/>
  <c r="AE313" i="17"/>
  <c r="AD313" i="17"/>
  <c r="AC313" i="17"/>
  <c r="AB313" i="17"/>
  <c r="AA313" i="17"/>
  <c r="Z313" i="17"/>
  <c r="Y313" i="17"/>
  <c r="X313" i="17"/>
  <c r="W313" i="17"/>
  <c r="V313" i="17"/>
  <c r="U313" i="17"/>
  <c r="T313" i="17"/>
  <c r="S313" i="17"/>
  <c r="R313" i="17"/>
  <c r="Q313" i="17"/>
  <c r="P313" i="17"/>
  <c r="O313" i="17"/>
  <c r="N313" i="17"/>
  <c r="M313" i="17"/>
  <c r="L313" i="17"/>
  <c r="K313" i="17"/>
  <c r="J313" i="17"/>
  <c r="I313" i="17"/>
  <c r="H313" i="17"/>
  <c r="G313" i="17"/>
  <c r="F313" i="17"/>
  <c r="E313" i="17"/>
  <c r="D313" i="17"/>
  <c r="C313" i="17"/>
  <c r="B313" i="17"/>
  <c r="A313" i="17"/>
  <c r="AM312" i="17"/>
  <c r="AL312" i="17"/>
  <c r="AK312" i="17"/>
  <c r="AJ312" i="17"/>
  <c r="AI312" i="17"/>
  <c r="AH312" i="17"/>
  <c r="AG312" i="17"/>
  <c r="AF312" i="17"/>
  <c r="AE312" i="17"/>
  <c r="AD312" i="17"/>
  <c r="AC312" i="17"/>
  <c r="AB312" i="17"/>
  <c r="AA312" i="17"/>
  <c r="Z312" i="17"/>
  <c r="Y312" i="17"/>
  <c r="X312" i="17"/>
  <c r="W312" i="17"/>
  <c r="V312" i="17"/>
  <c r="U312" i="17"/>
  <c r="T312" i="17"/>
  <c r="S312" i="17"/>
  <c r="R312" i="17"/>
  <c r="Q312" i="17"/>
  <c r="P312" i="17"/>
  <c r="O312" i="17"/>
  <c r="N312" i="17"/>
  <c r="M312" i="17"/>
  <c r="L312" i="17"/>
  <c r="K312" i="17"/>
  <c r="J312" i="17"/>
  <c r="I312" i="17"/>
  <c r="H312" i="17"/>
  <c r="G312" i="17"/>
  <c r="F312" i="17"/>
  <c r="E312" i="17"/>
  <c r="D312" i="17"/>
  <c r="C312" i="17"/>
  <c r="B312" i="17"/>
  <c r="A312" i="17"/>
  <c r="AM311" i="17"/>
  <c r="AL311" i="17"/>
  <c r="AK311" i="17"/>
  <c r="AJ311" i="17"/>
  <c r="AI311" i="17"/>
  <c r="AH311" i="17"/>
  <c r="AG311" i="17"/>
  <c r="AF311" i="17"/>
  <c r="AE311" i="17"/>
  <c r="AD311" i="17"/>
  <c r="AC311" i="17"/>
  <c r="AB311" i="17"/>
  <c r="AA311" i="17"/>
  <c r="Z311" i="17"/>
  <c r="Y311" i="17"/>
  <c r="X311" i="17"/>
  <c r="W311" i="17"/>
  <c r="V311" i="17"/>
  <c r="U311" i="17"/>
  <c r="T311" i="17"/>
  <c r="S311" i="17"/>
  <c r="R311" i="17"/>
  <c r="Q311" i="17"/>
  <c r="P311" i="17"/>
  <c r="O311" i="17"/>
  <c r="N311" i="17"/>
  <c r="M311" i="17"/>
  <c r="L311" i="17"/>
  <c r="K311" i="17"/>
  <c r="J311" i="17"/>
  <c r="I311" i="17"/>
  <c r="H311" i="17"/>
  <c r="G311" i="17"/>
  <c r="F311" i="17"/>
  <c r="E311" i="17"/>
  <c r="D311" i="17"/>
  <c r="C311" i="17"/>
  <c r="B311" i="17"/>
  <c r="A311" i="17"/>
  <c r="AM310" i="17"/>
  <c r="AL310" i="17"/>
  <c r="AK310" i="17"/>
  <c r="AJ310" i="17"/>
  <c r="AI310" i="17"/>
  <c r="AH310" i="17"/>
  <c r="AG310" i="17"/>
  <c r="AF310" i="17"/>
  <c r="AE310" i="17"/>
  <c r="AD310" i="17"/>
  <c r="AC310" i="17"/>
  <c r="AB310" i="17"/>
  <c r="AA310" i="17"/>
  <c r="Z310" i="17"/>
  <c r="Y310" i="17"/>
  <c r="X310" i="17"/>
  <c r="W310" i="17"/>
  <c r="V310" i="17"/>
  <c r="U310" i="17"/>
  <c r="T310" i="17"/>
  <c r="S310" i="17"/>
  <c r="R310" i="17"/>
  <c r="Q310" i="17"/>
  <c r="P310" i="17"/>
  <c r="O310" i="17"/>
  <c r="N310" i="17"/>
  <c r="M310" i="17"/>
  <c r="L310" i="17"/>
  <c r="K310" i="17"/>
  <c r="J310" i="17"/>
  <c r="I310" i="17"/>
  <c r="H310" i="17"/>
  <c r="G310" i="17"/>
  <c r="F310" i="17"/>
  <c r="E310" i="17"/>
  <c r="D310" i="17"/>
  <c r="C310" i="17"/>
  <c r="B310" i="17"/>
  <c r="A310" i="17"/>
  <c r="AM309" i="17"/>
  <c r="AL309" i="17"/>
  <c r="AK309" i="17"/>
  <c r="AJ309" i="17"/>
  <c r="AI309" i="17"/>
  <c r="AH309" i="17"/>
  <c r="AG309" i="17"/>
  <c r="AF309" i="17"/>
  <c r="AE309" i="17"/>
  <c r="AD309" i="17"/>
  <c r="AC309" i="17"/>
  <c r="AB309" i="17"/>
  <c r="AA309" i="17"/>
  <c r="Z309" i="17"/>
  <c r="Y309" i="17"/>
  <c r="X309" i="17"/>
  <c r="W309" i="17"/>
  <c r="V309" i="17"/>
  <c r="U309" i="17"/>
  <c r="T309" i="17"/>
  <c r="S309" i="17"/>
  <c r="R309" i="17"/>
  <c r="Q309" i="17"/>
  <c r="P309" i="17"/>
  <c r="O309" i="17"/>
  <c r="N309" i="17"/>
  <c r="M309" i="17"/>
  <c r="L309" i="17"/>
  <c r="K309" i="17"/>
  <c r="J309" i="17"/>
  <c r="I309" i="17"/>
  <c r="H309" i="17"/>
  <c r="G309" i="17"/>
  <c r="F309" i="17"/>
  <c r="E309" i="17"/>
  <c r="D309" i="17"/>
  <c r="C309" i="17"/>
  <c r="B309" i="17"/>
  <c r="A309" i="17"/>
  <c r="AM308" i="17"/>
  <c r="AL308" i="17"/>
  <c r="AK308" i="17"/>
  <c r="AJ308" i="17"/>
  <c r="AI308" i="17"/>
  <c r="AH308" i="17"/>
  <c r="AG308" i="17"/>
  <c r="AF308" i="17"/>
  <c r="AE308" i="17"/>
  <c r="AD308" i="17"/>
  <c r="AC308" i="17"/>
  <c r="AB308" i="17"/>
  <c r="AA308" i="17"/>
  <c r="Z308" i="17"/>
  <c r="Y308" i="17"/>
  <c r="X308" i="17"/>
  <c r="W308" i="17"/>
  <c r="V308" i="17"/>
  <c r="U308" i="17"/>
  <c r="T308" i="17"/>
  <c r="S308" i="17"/>
  <c r="R308" i="17"/>
  <c r="Q308" i="17"/>
  <c r="P308" i="17"/>
  <c r="O308" i="17"/>
  <c r="N308" i="17"/>
  <c r="M308" i="17"/>
  <c r="L308" i="17"/>
  <c r="K308" i="17"/>
  <c r="J308" i="17"/>
  <c r="I308" i="17"/>
  <c r="H308" i="17"/>
  <c r="G308" i="17"/>
  <c r="F308" i="17"/>
  <c r="E308" i="17"/>
  <c r="D308" i="17"/>
  <c r="C308" i="17"/>
  <c r="B308" i="17"/>
  <c r="A308" i="17"/>
  <c r="AM306" i="17"/>
  <c r="AL306" i="17"/>
  <c r="AK306" i="17"/>
  <c r="AJ306" i="17"/>
  <c r="AI306" i="17"/>
  <c r="AH306" i="17"/>
  <c r="AG306" i="17"/>
  <c r="AF306" i="17"/>
  <c r="AE306" i="17"/>
  <c r="AD306" i="17"/>
  <c r="AC306" i="17"/>
  <c r="AB306" i="17"/>
  <c r="AA306" i="17"/>
  <c r="Z306" i="17"/>
  <c r="Y306" i="17"/>
  <c r="X306" i="17"/>
  <c r="W306" i="17"/>
  <c r="V306" i="17"/>
  <c r="U306" i="17"/>
  <c r="T306" i="17"/>
  <c r="S306" i="17"/>
  <c r="R306" i="17"/>
  <c r="Q306" i="17"/>
  <c r="P306" i="17"/>
  <c r="O306" i="17"/>
  <c r="N306" i="17"/>
  <c r="M306" i="17"/>
  <c r="L306" i="17"/>
  <c r="K306" i="17"/>
  <c r="J306" i="17"/>
  <c r="I306" i="17"/>
  <c r="H306" i="17"/>
  <c r="G306" i="17"/>
  <c r="F306" i="17"/>
  <c r="E306" i="17"/>
  <c r="D306" i="17"/>
  <c r="C306" i="17"/>
  <c r="B306" i="17"/>
  <c r="A306" i="17"/>
  <c r="AM305" i="17"/>
  <c r="AL305" i="17"/>
  <c r="AK305" i="17"/>
  <c r="AJ305" i="17"/>
  <c r="AI305" i="17"/>
  <c r="AH305" i="17"/>
  <c r="AG305" i="17"/>
  <c r="AF305" i="17"/>
  <c r="AE305" i="17"/>
  <c r="AD305" i="17"/>
  <c r="AC305" i="17"/>
  <c r="AB305" i="17"/>
  <c r="AA305" i="17"/>
  <c r="Z305" i="17"/>
  <c r="Y305" i="17"/>
  <c r="X305" i="17"/>
  <c r="W305" i="17"/>
  <c r="V305" i="17"/>
  <c r="U305" i="17"/>
  <c r="T305" i="17"/>
  <c r="S305" i="17"/>
  <c r="R305" i="17"/>
  <c r="Q305" i="17"/>
  <c r="P305" i="17"/>
  <c r="O305" i="17"/>
  <c r="N305" i="17"/>
  <c r="M305" i="17"/>
  <c r="L305" i="17"/>
  <c r="K305" i="17"/>
  <c r="J305" i="17"/>
  <c r="I305" i="17"/>
  <c r="H305" i="17"/>
  <c r="G305" i="17"/>
  <c r="F305" i="17"/>
  <c r="E305" i="17"/>
  <c r="D305" i="17"/>
  <c r="C305" i="17"/>
  <c r="B305" i="17"/>
  <c r="A305" i="17"/>
  <c r="AM304" i="17"/>
  <c r="AL304" i="17"/>
  <c r="AK304" i="17"/>
  <c r="AJ304" i="17"/>
  <c r="AI304" i="17"/>
  <c r="AH304" i="17"/>
  <c r="AG304" i="17"/>
  <c r="AF304" i="17"/>
  <c r="AE304" i="17"/>
  <c r="AD304" i="17"/>
  <c r="AC304" i="17"/>
  <c r="AB304" i="17"/>
  <c r="AA304" i="17"/>
  <c r="Z304" i="17"/>
  <c r="Y304" i="17"/>
  <c r="X304" i="17"/>
  <c r="W304" i="17"/>
  <c r="V304" i="17"/>
  <c r="U304" i="17"/>
  <c r="T304" i="17"/>
  <c r="S304" i="17"/>
  <c r="R304" i="17"/>
  <c r="Q304" i="17"/>
  <c r="P304" i="17"/>
  <c r="O304" i="17"/>
  <c r="N304" i="17"/>
  <c r="M304" i="17"/>
  <c r="L304" i="17"/>
  <c r="K304" i="17"/>
  <c r="J304" i="17"/>
  <c r="I304" i="17"/>
  <c r="H304" i="17"/>
  <c r="G304" i="17"/>
  <c r="F304" i="17"/>
  <c r="E304" i="17"/>
  <c r="D304" i="17"/>
  <c r="C304" i="17"/>
  <c r="B304" i="17"/>
  <c r="A304" i="17"/>
  <c r="AM303" i="17"/>
  <c r="AL303" i="17"/>
  <c r="AK303" i="17"/>
  <c r="AJ303" i="17"/>
  <c r="AI303" i="17"/>
  <c r="AH303" i="17"/>
  <c r="AG303" i="17"/>
  <c r="AF303" i="17"/>
  <c r="AE303" i="17"/>
  <c r="AD303" i="17"/>
  <c r="AC303" i="17"/>
  <c r="AB303" i="17"/>
  <c r="AA303" i="17"/>
  <c r="Z303" i="17"/>
  <c r="Y303" i="17"/>
  <c r="X303" i="17"/>
  <c r="W303" i="17"/>
  <c r="V303" i="17"/>
  <c r="U303" i="17"/>
  <c r="T303" i="17"/>
  <c r="S303" i="17"/>
  <c r="R303" i="17"/>
  <c r="Q303" i="17"/>
  <c r="P303" i="17"/>
  <c r="O303" i="17"/>
  <c r="N303" i="17"/>
  <c r="M303" i="17"/>
  <c r="L303" i="17"/>
  <c r="K303" i="17"/>
  <c r="J303" i="17"/>
  <c r="I303" i="17"/>
  <c r="H303" i="17"/>
  <c r="G303" i="17"/>
  <c r="F303" i="17"/>
  <c r="E303" i="17"/>
  <c r="D303" i="17"/>
  <c r="C303" i="17"/>
  <c r="B303" i="17"/>
  <c r="A303" i="17"/>
  <c r="AM302" i="17"/>
  <c r="AL302" i="17"/>
  <c r="AK302" i="17"/>
  <c r="AJ302" i="17"/>
  <c r="AI302" i="17"/>
  <c r="AH302" i="17"/>
  <c r="AG302" i="17"/>
  <c r="AF302" i="17"/>
  <c r="AE302" i="17"/>
  <c r="AD302" i="17"/>
  <c r="AC302" i="17"/>
  <c r="AB302" i="17"/>
  <c r="AA302" i="17"/>
  <c r="Z302" i="17"/>
  <c r="Y302" i="17"/>
  <c r="X302" i="17"/>
  <c r="W302" i="17"/>
  <c r="V302" i="17"/>
  <c r="U302" i="17"/>
  <c r="T302" i="17"/>
  <c r="S302" i="17"/>
  <c r="R302" i="17"/>
  <c r="Q302" i="17"/>
  <c r="P302" i="17"/>
  <c r="O302" i="17"/>
  <c r="N302" i="17"/>
  <c r="M302" i="17"/>
  <c r="L302" i="17"/>
  <c r="K302" i="17"/>
  <c r="J302" i="17"/>
  <c r="I302" i="17"/>
  <c r="H302" i="17"/>
  <c r="G302" i="17"/>
  <c r="F302" i="17"/>
  <c r="E302" i="17"/>
  <c r="D302" i="17"/>
  <c r="C302" i="17"/>
  <c r="B302" i="17"/>
  <c r="A302" i="17"/>
  <c r="AM301" i="17"/>
  <c r="AL301" i="17"/>
  <c r="AK301" i="17"/>
  <c r="AJ301" i="17"/>
  <c r="AI301" i="17"/>
  <c r="AH301" i="17"/>
  <c r="AG301" i="17"/>
  <c r="AF301" i="17"/>
  <c r="AE301" i="17"/>
  <c r="AD301" i="17"/>
  <c r="AC301" i="17"/>
  <c r="AB301" i="17"/>
  <c r="AA301" i="17"/>
  <c r="Z301" i="17"/>
  <c r="Y301" i="17"/>
  <c r="X301" i="17"/>
  <c r="W301" i="17"/>
  <c r="V301" i="17"/>
  <c r="U301" i="17"/>
  <c r="T301" i="17"/>
  <c r="S301" i="17"/>
  <c r="R301" i="17"/>
  <c r="Q301" i="17"/>
  <c r="P301" i="17"/>
  <c r="O301" i="17"/>
  <c r="N301" i="17"/>
  <c r="M301" i="17"/>
  <c r="L301" i="17"/>
  <c r="K301" i="17"/>
  <c r="J301" i="17"/>
  <c r="I301" i="17"/>
  <c r="H301" i="17"/>
  <c r="G301" i="17"/>
  <c r="F301" i="17"/>
  <c r="E301" i="17"/>
  <c r="D301" i="17"/>
  <c r="C301" i="17"/>
  <c r="B301" i="17"/>
  <c r="A301" i="17"/>
  <c r="AM300" i="17"/>
  <c r="AL300" i="17"/>
  <c r="AK300" i="17"/>
  <c r="AJ300" i="17"/>
  <c r="AI300" i="17"/>
  <c r="AH300" i="17"/>
  <c r="AG300" i="17"/>
  <c r="AF300" i="17"/>
  <c r="AE300" i="17"/>
  <c r="AD300" i="17"/>
  <c r="AC300" i="17"/>
  <c r="AB300" i="17"/>
  <c r="AA300" i="17"/>
  <c r="Z300" i="17"/>
  <c r="Y300" i="17"/>
  <c r="X300" i="17"/>
  <c r="W300" i="17"/>
  <c r="V300" i="17"/>
  <c r="U300" i="17"/>
  <c r="T300" i="17"/>
  <c r="S300" i="17"/>
  <c r="R300" i="17"/>
  <c r="Q300" i="17"/>
  <c r="P300" i="17"/>
  <c r="O300" i="17"/>
  <c r="N300" i="17"/>
  <c r="M300" i="17"/>
  <c r="L300" i="17"/>
  <c r="K300" i="17"/>
  <c r="J300" i="17"/>
  <c r="I300" i="17"/>
  <c r="H300" i="17"/>
  <c r="G300" i="17"/>
  <c r="F300" i="17"/>
  <c r="E300" i="17"/>
  <c r="D300" i="17"/>
  <c r="C300" i="17"/>
  <c r="B300" i="17"/>
  <c r="A300" i="17"/>
  <c r="AM299" i="17"/>
  <c r="AL299" i="17"/>
  <c r="AK299" i="17"/>
  <c r="AJ299" i="17"/>
  <c r="AI299" i="17"/>
  <c r="AH299" i="17"/>
  <c r="AG299" i="17"/>
  <c r="AF299" i="17"/>
  <c r="AE299" i="17"/>
  <c r="AD299" i="17"/>
  <c r="AC299" i="17"/>
  <c r="AB299" i="17"/>
  <c r="AA299" i="17"/>
  <c r="Z299" i="17"/>
  <c r="Y299" i="17"/>
  <c r="X299" i="17"/>
  <c r="W299" i="17"/>
  <c r="V299" i="17"/>
  <c r="U299" i="17"/>
  <c r="T299" i="17"/>
  <c r="S299" i="17"/>
  <c r="R299" i="17"/>
  <c r="Q299" i="17"/>
  <c r="P299" i="17"/>
  <c r="O299" i="17"/>
  <c r="N299" i="17"/>
  <c r="M299" i="17"/>
  <c r="L299" i="17"/>
  <c r="K299" i="17"/>
  <c r="J299" i="17"/>
  <c r="I299" i="17"/>
  <c r="H299" i="17"/>
  <c r="G299" i="17"/>
  <c r="F299" i="17"/>
  <c r="E299" i="17"/>
  <c r="D299" i="17"/>
  <c r="C299" i="17"/>
  <c r="B299" i="17"/>
  <c r="A299" i="17"/>
  <c r="AM298" i="17"/>
  <c r="AL298" i="17"/>
  <c r="AK298" i="17"/>
  <c r="AJ298" i="17"/>
  <c r="AI298" i="17"/>
  <c r="AH298" i="17"/>
  <c r="AG298" i="17"/>
  <c r="AF298" i="17"/>
  <c r="AE298" i="17"/>
  <c r="AD298" i="17"/>
  <c r="AC298" i="17"/>
  <c r="AB298" i="17"/>
  <c r="AA298" i="17"/>
  <c r="Z298" i="17"/>
  <c r="Y298" i="17"/>
  <c r="X298" i="17"/>
  <c r="W298" i="17"/>
  <c r="V298" i="17"/>
  <c r="U298" i="17"/>
  <c r="T298" i="17"/>
  <c r="S298" i="17"/>
  <c r="R298" i="17"/>
  <c r="Q298" i="17"/>
  <c r="P298" i="17"/>
  <c r="O298" i="17"/>
  <c r="N298" i="17"/>
  <c r="M298" i="17"/>
  <c r="L298" i="17"/>
  <c r="K298" i="17"/>
  <c r="J298" i="17"/>
  <c r="I298" i="17"/>
  <c r="H298" i="17"/>
  <c r="G298" i="17"/>
  <c r="F298" i="17"/>
  <c r="E298" i="17"/>
  <c r="D298" i="17"/>
  <c r="C298" i="17"/>
  <c r="B298" i="17"/>
  <c r="A298" i="17"/>
  <c r="AM297" i="17"/>
  <c r="AL297" i="17"/>
  <c r="AK297" i="17"/>
  <c r="AJ297" i="17"/>
  <c r="AI297" i="17"/>
  <c r="AH297" i="17"/>
  <c r="AG297" i="17"/>
  <c r="AF297" i="17"/>
  <c r="AE297" i="17"/>
  <c r="AD297" i="17"/>
  <c r="AC297" i="17"/>
  <c r="AB297" i="17"/>
  <c r="AA297" i="17"/>
  <c r="Z297" i="17"/>
  <c r="Y297" i="17"/>
  <c r="X297" i="17"/>
  <c r="W297" i="17"/>
  <c r="V297" i="17"/>
  <c r="U297" i="17"/>
  <c r="T297" i="17"/>
  <c r="S297" i="17"/>
  <c r="R297" i="17"/>
  <c r="Q297" i="17"/>
  <c r="P297" i="17"/>
  <c r="O297" i="17"/>
  <c r="N297" i="17"/>
  <c r="M297" i="17"/>
  <c r="L297" i="17"/>
  <c r="K297" i="17"/>
  <c r="J297" i="17"/>
  <c r="I297" i="17"/>
  <c r="H297" i="17"/>
  <c r="G297" i="17"/>
  <c r="F297" i="17"/>
  <c r="E297" i="17"/>
  <c r="D297" i="17"/>
  <c r="C297" i="17"/>
  <c r="B297" i="17"/>
  <c r="A297" i="17"/>
  <c r="AM296" i="17"/>
  <c r="AL296" i="17"/>
  <c r="AK296" i="17"/>
  <c r="AJ296" i="17"/>
  <c r="AI296" i="17"/>
  <c r="AH296" i="17"/>
  <c r="AG296" i="17"/>
  <c r="AF296" i="17"/>
  <c r="AE296" i="17"/>
  <c r="AD296" i="17"/>
  <c r="AC296" i="17"/>
  <c r="AB296" i="17"/>
  <c r="AA296" i="17"/>
  <c r="Z296" i="17"/>
  <c r="Y296" i="17"/>
  <c r="X296" i="17"/>
  <c r="W296" i="17"/>
  <c r="V296" i="17"/>
  <c r="U296" i="17"/>
  <c r="T296" i="17"/>
  <c r="S296" i="17"/>
  <c r="R296" i="17"/>
  <c r="Q296" i="17"/>
  <c r="P296" i="17"/>
  <c r="O296" i="17"/>
  <c r="N296" i="17"/>
  <c r="M296" i="17"/>
  <c r="L296" i="17"/>
  <c r="K296" i="17"/>
  <c r="J296" i="17"/>
  <c r="I296" i="17"/>
  <c r="H296" i="17"/>
  <c r="G296" i="17"/>
  <c r="F296" i="17"/>
  <c r="E296" i="17"/>
  <c r="D296" i="17"/>
  <c r="C296" i="17"/>
  <c r="B296" i="17"/>
  <c r="A296" i="17"/>
  <c r="AM295" i="17"/>
  <c r="AL295" i="17"/>
  <c r="AK295" i="17"/>
  <c r="AJ295" i="17"/>
  <c r="AI295" i="17"/>
  <c r="AH295" i="17"/>
  <c r="AG295" i="17"/>
  <c r="AF295" i="17"/>
  <c r="AE295" i="17"/>
  <c r="AD295" i="17"/>
  <c r="AC295" i="17"/>
  <c r="AB295" i="17"/>
  <c r="AA295" i="17"/>
  <c r="Z295" i="17"/>
  <c r="Y295" i="17"/>
  <c r="X295" i="17"/>
  <c r="W295" i="17"/>
  <c r="V295" i="17"/>
  <c r="U295" i="17"/>
  <c r="T295" i="17"/>
  <c r="S295" i="17"/>
  <c r="R295" i="17"/>
  <c r="Q295" i="17"/>
  <c r="P295" i="17"/>
  <c r="O295" i="17"/>
  <c r="N295" i="17"/>
  <c r="M295" i="17"/>
  <c r="L295" i="17"/>
  <c r="K295" i="17"/>
  <c r="J295" i="17"/>
  <c r="I295" i="17"/>
  <c r="H295" i="17"/>
  <c r="G295" i="17"/>
  <c r="F295" i="17"/>
  <c r="E295" i="17"/>
  <c r="D295" i="17"/>
  <c r="C295" i="17"/>
  <c r="B295" i="17"/>
  <c r="A295" i="17"/>
  <c r="AM294" i="17"/>
  <c r="AL294" i="17"/>
  <c r="AK294" i="17"/>
  <c r="AJ294" i="17"/>
  <c r="AI294" i="17"/>
  <c r="AH294" i="17"/>
  <c r="AG294" i="17"/>
  <c r="AF294" i="17"/>
  <c r="AE294" i="17"/>
  <c r="AD294" i="17"/>
  <c r="AC294" i="17"/>
  <c r="AB294" i="17"/>
  <c r="AA294" i="17"/>
  <c r="Z294" i="17"/>
  <c r="Y294" i="17"/>
  <c r="X294" i="17"/>
  <c r="W294" i="17"/>
  <c r="V294" i="17"/>
  <c r="U294" i="17"/>
  <c r="T294" i="17"/>
  <c r="S294" i="17"/>
  <c r="R294" i="17"/>
  <c r="Q294" i="17"/>
  <c r="P294" i="17"/>
  <c r="O294" i="17"/>
  <c r="N294" i="17"/>
  <c r="M294" i="17"/>
  <c r="L294" i="17"/>
  <c r="K294" i="17"/>
  <c r="J294" i="17"/>
  <c r="I294" i="17"/>
  <c r="H294" i="17"/>
  <c r="G294" i="17"/>
  <c r="F294" i="17"/>
  <c r="E294" i="17"/>
  <c r="D294" i="17"/>
  <c r="C294" i="17"/>
  <c r="B294" i="17"/>
  <c r="A294" i="17"/>
  <c r="AM293" i="17"/>
  <c r="AL293" i="17"/>
  <c r="AK293" i="17"/>
  <c r="AJ293" i="17"/>
  <c r="AI293" i="17"/>
  <c r="AH293" i="17"/>
  <c r="AG293" i="17"/>
  <c r="AF293" i="17"/>
  <c r="AE293" i="17"/>
  <c r="AD293" i="17"/>
  <c r="AC293" i="17"/>
  <c r="AB293" i="17"/>
  <c r="AA293" i="17"/>
  <c r="Z293" i="17"/>
  <c r="Y293" i="17"/>
  <c r="X293" i="17"/>
  <c r="W293" i="17"/>
  <c r="V293" i="17"/>
  <c r="U293" i="17"/>
  <c r="T293" i="17"/>
  <c r="S293" i="17"/>
  <c r="R293" i="17"/>
  <c r="Q293" i="17"/>
  <c r="P293" i="17"/>
  <c r="O293" i="17"/>
  <c r="N293" i="17"/>
  <c r="M293" i="17"/>
  <c r="L293" i="17"/>
  <c r="K293" i="17"/>
  <c r="J293" i="17"/>
  <c r="I293" i="17"/>
  <c r="H293" i="17"/>
  <c r="G293" i="17"/>
  <c r="F293" i="17"/>
  <c r="E293" i="17"/>
  <c r="D293" i="17"/>
  <c r="C293" i="17"/>
  <c r="B293" i="17"/>
  <c r="A293" i="17"/>
  <c r="AM292" i="17"/>
  <c r="AL292" i="17"/>
  <c r="AK292" i="17"/>
  <c r="AJ292" i="17"/>
  <c r="AI292" i="17"/>
  <c r="AH292" i="17"/>
  <c r="AG292" i="17"/>
  <c r="AF292" i="17"/>
  <c r="AE292" i="17"/>
  <c r="AD292" i="17"/>
  <c r="AC292" i="17"/>
  <c r="AB292" i="17"/>
  <c r="AA292" i="17"/>
  <c r="Z292" i="17"/>
  <c r="Y292" i="17"/>
  <c r="X292" i="17"/>
  <c r="W292" i="17"/>
  <c r="V292" i="17"/>
  <c r="U292" i="17"/>
  <c r="T292" i="17"/>
  <c r="S292" i="17"/>
  <c r="R292" i="17"/>
  <c r="Q292" i="17"/>
  <c r="P292" i="17"/>
  <c r="O292" i="17"/>
  <c r="N292" i="17"/>
  <c r="M292" i="17"/>
  <c r="L292" i="17"/>
  <c r="K292" i="17"/>
  <c r="J292" i="17"/>
  <c r="I292" i="17"/>
  <c r="H292" i="17"/>
  <c r="G292" i="17"/>
  <c r="F292" i="17"/>
  <c r="E292" i="17"/>
  <c r="D292" i="17"/>
  <c r="C292" i="17"/>
  <c r="B292" i="17"/>
  <c r="A292" i="17"/>
  <c r="AM291" i="17"/>
  <c r="AL291" i="17"/>
  <c r="AK291" i="17"/>
  <c r="AJ291" i="17"/>
  <c r="AI291" i="17"/>
  <c r="AH291" i="17"/>
  <c r="AG291" i="17"/>
  <c r="AF291" i="17"/>
  <c r="AE291" i="17"/>
  <c r="AD291" i="17"/>
  <c r="AC291" i="17"/>
  <c r="AB291" i="17"/>
  <c r="AA291" i="17"/>
  <c r="Z291" i="17"/>
  <c r="Y291" i="17"/>
  <c r="X291" i="17"/>
  <c r="W291" i="17"/>
  <c r="V291" i="17"/>
  <c r="U291" i="17"/>
  <c r="T291" i="17"/>
  <c r="S291" i="17"/>
  <c r="R291" i="17"/>
  <c r="Q291" i="17"/>
  <c r="P291" i="17"/>
  <c r="O291" i="17"/>
  <c r="N291" i="17"/>
  <c r="M291" i="17"/>
  <c r="L291" i="17"/>
  <c r="K291" i="17"/>
  <c r="J291" i="17"/>
  <c r="I291" i="17"/>
  <c r="H291" i="17"/>
  <c r="G291" i="17"/>
  <c r="F291" i="17"/>
  <c r="E291" i="17"/>
  <c r="D291" i="17"/>
  <c r="C291" i="17"/>
  <c r="B291" i="17"/>
  <c r="A291" i="17"/>
  <c r="AM290" i="17"/>
  <c r="AL290" i="17"/>
  <c r="AK290" i="17"/>
  <c r="AJ290" i="17"/>
  <c r="AI290" i="17"/>
  <c r="AH290" i="17"/>
  <c r="AG290" i="17"/>
  <c r="AF290" i="17"/>
  <c r="AE290" i="17"/>
  <c r="AD290" i="17"/>
  <c r="AC290" i="17"/>
  <c r="AB290" i="17"/>
  <c r="AA290" i="17"/>
  <c r="Z290" i="17"/>
  <c r="Y290" i="17"/>
  <c r="X290" i="17"/>
  <c r="W290" i="17"/>
  <c r="V290" i="17"/>
  <c r="U290" i="17"/>
  <c r="T290" i="17"/>
  <c r="S290" i="17"/>
  <c r="R290" i="17"/>
  <c r="Q290" i="17"/>
  <c r="P290" i="17"/>
  <c r="O290" i="17"/>
  <c r="N290" i="17"/>
  <c r="M290" i="17"/>
  <c r="L290" i="17"/>
  <c r="K290" i="17"/>
  <c r="J290" i="17"/>
  <c r="I290" i="17"/>
  <c r="H290" i="17"/>
  <c r="G290" i="17"/>
  <c r="F290" i="17"/>
  <c r="E290" i="17"/>
  <c r="D290" i="17"/>
  <c r="C290" i="17"/>
  <c r="B290" i="17"/>
  <c r="A290" i="17"/>
  <c r="AM289" i="17"/>
  <c r="AL289" i="17"/>
  <c r="AK289" i="17"/>
  <c r="AJ289" i="17"/>
  <c r="AI289" i="17"/>
  <c r="AH289" i="17"/>
  <c r="AG289" i="17"/>
  <c r="AF289" i="17"/>
  <c r="AE289" i="17"/>
  <c r="AD289" i="17"/>
  <c r="AC289" i="17"/>
  <c r="AB289" i="17"/>
  <c r="AA289" i="17"/>
  <c r="Z289" i="17"/>
  <c r="Y289" i="17"/>
  <c r="X289" i="17"/>
  <c r="W289" i="17"/>
  <c r="V289" i="17"/>
  <c r="U289" i="17"/>
  <c r="T289" i="17"/>
  <c r="S289" i="17"/>
  <c r="R289" i="17"/>
  <c r="Q289" i="17"/>
  <c r="P289" i="17"/>
  <c r="O289" i="17"/>
  <c r="N289" i="17"/>
  <c r="M289" i="17"/>
  <c r="L289" i="17"/>
  <c r="K289" i="17"/>
  <c r="J289" i="17"/>
  <c r="I289" i="17"/>
  <c r="H289" i="17"/>
  <c r="G289" i="17"/>
  <c r="F289" i="17"/>
  <c r="E289" i="17"/>
  <c r="D289" i="17"/>
  <c r="C289" i="17"/>
  <c r="B289" i="17"/>
  <c r="A289" i="17"/>
  <c r="AM288" i="17"/>
  <c r="AL288" i="17"/>
  <c r="AK288" i="17"/>
  <c r="AJ288" i="17"/>
  <c r="AI288" i="17"/>
  <c r="AH288" i="17"/>
  <c r="AG288" i="17"/>
  <c r="AF288" i="17"/>
  <c r="AE288" i="17"/>
  <c r="AD288" i="17"/>
  <c r="AC288" i="17"/>
  <c r="AB288" i="17"/>
  <c r="AA288" i="17"/>
  <c r="Z288" i="17"/>
  <c r="Y288" i="17"/>
  <c r="X288" i="17"/>
  <c r="W288" i="17"/>
  <c r="V288" i="17"/>
  <c r="U288" i="17"/>
  <c r="T288" i="17"/>
  <c r="S288" i="17"/>
  <c r="R288" i="17"/>
  <c r="Q288" i="17"/>
  <c r="P288" i="17"/>
  <c r="O288" i="17"/>
  <c r="N288" i="17"/>
  <c r="M288" i="17"/>
  <c r="L288" i="17"/>
  <c r="K288" i="17"/>
  <c r="J288" i="17"/>
  <c r="I288" i="17"/>
  <c r="H288" i="17"/>
  <c r="G288" i="17"/>
  <c r="F288" i="17"/>
  <c r="E288" i="17"/>
  <c r="D288" i="17"/>
  <c r="C288" i="17"/>
  <c r="B288" i="17"/>
  <c r="A288" i="17"/>
  <c r="AM287" i="17"/>
  <c r="AL287" i="17"/>
  <c r="AK287" i="17"/>
  <c r="AJ287" i="17"/>
  <c r="AI287" i="17"/>
  <c r="AH287" i="17"/>
  <c r="AG287" i="17"/>
  <c r="AF287" i="17"/>
  <c r="AE287" i="17"/>
  <c r="AD287" i="17"/>
  <c r="AC287" i="17"/>
  <c r="AB287" i="17"/>
  <c r="AA287" i="17"/>
  <c r="Z287" i="17"/>
  <c r="Y287" i="17"/>
  <c r="X287" i="17"/>
  <c r="W287" i="17"/>
  <c r="V287" i="17"/>
  <c r="U287" i="17"/>
  <c r="T287" i="17"/>
  <c r="S287" i="17"/>
  <c r="R287" i="17"/>
  <c r="Q287" i="17"/>
  <c r="P287" i="17"/>
  <c r="O287" i="17"/>
  <c r="N287" i="17"/>
  <c r="M287" i="17"/>
  <c r="L287" i="17"/>
  <c r="K287" i="17"/>
  <c r="J287" i="17"/>
  <c r="I287" i="17"/>
  <c r="H287" i="17"/>
  <c r="G287" i="17"/>
  <c r="F287" i="17"/>
  <c r="E287" i="17"/>
  <c r="D287" i="17"/>
  <c r="C287" i="17"/>
  <c r="B287" i="17"/>
  <c r="A287" i="17"/>
  <c r="AM286" i="17"/>
  <c r="AL286" i="17"/>
  <c r="AK286" i="17"/>
  <c r="AJ286" i="17"/>
  <c r="AI286" i="17"/>
  <c r="AH286" i="17"/>
  <c r="AG286" i="17"/>
  <c r="AF286" i="17"/>
  <c r="AE286" i="17"/>
  <c r="AD286" i="17"/>
  <c r="AC286" i="17"/>
  <c r="AB286" i="17"/>
  <c r="AA286" i="17"/>
  <c r="Z286" i="17"/>
  <c r="Y286" i="17"/>
  <c r="X286" i="17"/>
  <c r="W286" i="17"/>
  <c r="V286" i="17"/>
  <c r="U286" i="17"/>
  <c r="T286" i="17"/>
  <c r="S286" i="17"/>
  <c r="R286" i="17"/>
  <c r="Q286" i="17"/>
  <c r="P286" i="17"/>
  <c r="O286" i="17"/>
  <c r="N286" i="17"/>
  <c r="M286" i="17"/>
  <c r="L286" i="17"/>
  <c r="K286" i="17"/>
  <c r="J286" i="17"/>
  <c r="I286" i="17"/>
  <c r="H286" i="17"/>
  <c r="G286" i="17"/>
  <c r="F286" i="17"/>
  <c r="E286" i="17"/>
  <c r="D286" i="17"/>
  <c r="C286" i="17"/>
  <c r="B286" i="17"/>
  <c r="A286" i="17"/>
  <c r="AM285" i="17"/>
  <c r="AL285" i="17"/>
  <c r="AK285" i="17"/>
  <c r="AJ285" i="17"/>
  <c r="AI285" i="17"/>
  <c r="AH285" i="17"/>
  <c r="AG285" i="17"/>
  <c r="AF285" i="17"/>
  <c r="AE285" i="17"/>
  <c r="AD285" i="17"/>
  <c r="AC285" i="17"/>
  <c r="AB285" i="17"/>
  <c r="AA285" i="17"/>
  <c r="Z285" i="17"/>
  <c r="Y285" i="17"/>
  <c r="X285" i="17"/>
  <c r="W285" i="17"/>
  <c r="V285" i="17"/>
  <c r="U285" i="17"/>
  <c r="T285" i="17"/>
  <c r="S285" i="17"/>
  <c r="R285" i="17"/>
  <c r="Q285" i="17"/>
  <c r="P285" i="17"/>
  <c r="O285" i="17"/>
  <c r="N285" i="17"/>
  <c r="M285" i="17"/>
  <c r="L285" i="17"/>
  <c r="K285" i="17"/>
  <c r="J285" i="17"/>
  <c r="I285" i="17"/>
  <c r="H285" i="17"/>
  <c r="G285" i="17"/>
  <c r="F285" i="17"/>
  <c r="E285" i="17"/>
  <c r="D285" i="17"/>
  <c r="C285" i="17"/>
  <c r="B285" i="17"/>
  <c r="A285" i="17"/>
  <c r="AM284" i="17"/>
  <c r="AL284" i="17"/>
  <c r="AK284" i="17"/>
  <c r="AJ284" i="17"/>
  <c r="AI284" i="17"/>
  <c r="AH284" i="17"/>
  <c r="AG284" i="17"/>
  <c r="AF284" i="17"/>
  <c r="AE284" i="17"/>
  <c r="AD284" i="17"/>
  <c r="AC284" i="17"/>
  <c r="AB284" i="17"/>
  <c r="AA284" i="17"/>
  <c r="Z284" i="17"/>
  <c r="Y284" i="17"/>
  <c r="X284" i="17"/>
  <c r="W284" i="17"/>
  <c r="V284" i="17"/>
  <c r="U284" i="17"/>
  <c r="T284" i="17"/>
  <c r="S284" i="17"/>
  <c r="R284" i="17"/>
  <c r="Q284" i="17"/>
  <c r="P284" i="17"/>
  <c r="O284" i="17"/>
  <c r="N284" i="17"/>
  <c r="M284" i="17"/>
  <c r="L284" i="17"/>
  <c r="K284" i="17"/>
  <c r="J284" i="17"/>
  <c r="I284" i="17"/>
  <c r="H284" i="17"/>
  <c r="G284" i="17"/>
  <c r="F284" i="17"/>
  <c r="E284" i="17"/>
  <c r="D284" i="17"/>
  <c r="C284" i="17"/>
  <c r="B284" i="17"/>
  <c r="A284" i="17"/>
  <c r="AM283" i="17"/>
  <c r="AL283" i="17"/>
  <c r="AK283" i="17"/>
  <c r="AJ283" i="17"/>
  <c r="AI283" i="17"/>
  <c r="AH283" i="17"/>
  <c r="AG283" i="17"/>
  <c r="AF283" i="17"/>
  <c r="AE283" i="17"/>
  <c r="AD283" i="17"/>
  <c r="AC283" i="17"/>
  <c r="AB283" i="17"/>
  <c r="AA283" i="17"/>
  <c r="Z283" i="17"/>
  <c r="Y283" i="17"/>
  <c r="X283" i="17"/>
  <c r="W283" i="17"/>
  <c r="V283" i="17"/>
  <c r="U283" i="17"/>
  <c r="T283" i="17"/>
  <c r="S283" i="17"/>
  <c r="R283" i="17"/>
  <c r="Q283" i="17"/>
  <c r="P283" i="17"/>
  <c r="O283" i="17"/>
  <c r="N283" i="17"/>
  <c r="M283" i="17"/>
  <c r="L283" i="17"/>
  <c r="K283" i="17"/>
  <c r="J283" i="17"/>
  <c r="I283" i="17"/>
  <c r="H283" i="17"/>
  <c r="G283" i="17"/>
  <c r="F283" i="17"/>
  <c r="E283" i="17"/>
  <c r="D283" i="17"/>
  <c r="C283" i="17"/>
  <c r="B283" i="17"/>
  <c r="A283" i="17"/>
  <c r="AM282" i="17"/>
  <c r="AL282" i="17"/>
  <c r="AK282" i="17"/>
  <c r="AJ282" i="17"/>
  <c r="AI282" i="17"/>
  <c r="AH282" i="17"/>
  <c r="AG282" i="17"/>
  <c r="AF282" i="17"/>
  <c r="AE282" i="17"/>
  <c r="AD282" i="17"/>
  <c r="AC282" i="17"/>
  <c r="AB282" i="17"/>
  <c r="AA282" i="17"/>
  <c r="Z282" i="17"/>
  <c r="Y282" i="17"/>
  <c r="X282" i="17"/>
  <c r="W282" i="17"/>
  <c r="V282" i="17"/>
  <c r="U282" i="17"/>
  <c r="T282" i="17"/>
  <c r="S282" i="17"/>
  <c r="R282" i="17"/>
  <c r="Q282" i="17"/>
  <c r="P282" i="17"/>
  <c r="O282" i="17"/>
  <c r="N282" i="17"/>
  <c r="M282" i="17"/>
  <c r="L282" i="17"/>
  <c r="K282" i="17"/>
  <c r="J282" i="17"/>
  <c r="I282" i="17"/>
  <c r="H282" i="17"/>
  <c r="G282" i="17"/>
  <c r="F282" i="17"/>
  <c r="E282" i="17"/>
  <c r="D282" i="17"/>
  <c r="C282" i="17"/>
  <c r="B282" i="17"/>
  <c r="A282" i="17"/>
  <c r="AM281" i="17"/>
  <c r="AL281" i="17"/>
  <c r="AK281" i="17"/>
  <c r="AJ281" i="17"/>
  <c r="AI281" i="17"/>
  <c r="AH281" i="17"/>
  <c r="AG281" i="17"/>
  <c r="AF281" i="17"/>
  <c r="AE281" i="17"/>
  <c r="AD281" i="17"/>
  <c r="AC281" i="17"/>
  <c r="AB281" i="17"/>
  <c r="AA281" i="17"/>
  <c r="Z281" i="17"/>
  <c r="Y281" i="17"/>
  <c r="X281" i="17"/>
  <c r="W281" i="17"/>
  <c r="V281" i="17"/>
  <c r="U281" i="17"/>
  <c r="T281" i="17"/>
  <c r="S281" i="17"/>
  <c r="R281" i="17"/>
  <c r="Q281" i="17"/>
  <c r="P281" i="17"/>
  <c r="O281" i="17"/>
  <c r="N281" i="17"/>
  <c r="M281" i="17"/>
  <c r="L281" i="17"/>
  <c r="K281" i="17"/>
  <c r="J281" i="17"/>
  <c r="I281" i="17"/>
  <c r="H281" i="17"/>
  <c r="G281" i="17"/>
  <c r="F281" i="17"/>
  <c r="E281" i="17"/>
  <c r="D281" i="17"/>
  <c r="C281" i="17"/>
  <c r="B281" i="17"/>
  <c r="A281" i="17"/>
  <c r="AM280" i="17"/>
  <c r="AL280" i="17"/>
  <c r="AK280" i="17"/>
  <c r="AJ280" i="17"/>
  <c r="AI280" i="17"/>
  <c r="AH280" i="17"/>
  <c r="AG280" i="17"/>
  <c r="AF280" i="17"/>
  <c r="AE280" i="17"/>
  <c r="AD280" i="17"/>
  <c r="AC280" i="17"/>
  <c r="AB280" i="17"/>
  <c r="AA280" i="17"/>
  <c r="Z280" i="17"/>
  <c r="Y280" i="17"/>
  <c r="X280" i="17"/>
  <c r="W280" i="17"/>
  <c r="V280" i="17"/>
  <c r="U280" i="17"/>
  <c r="T280" i="17"/>
  <c r="S280" i="17"/>
  <c r="R280" i="17"/>
  <c r="Q280" i="17"/>
  <c r="P280" i="17"/>
  <c r="O280" i="17"/>
  <c r="N280" i="17"/>
  <c r="M280" i="17"/>
  <c r="L280" i="17"/>
  <c r="K280" i="17"/>
  <c r="J280" i="17"/>
  <c r="I280" i="17"/>
  <c r="H280" i="17"/>
  <c r="G280" i="17"/>
  <c r="F280" i="17"/>
  <c r="E280" i="17"/>
  <c r="D280" i="17"/>
  <c r="C280" i="17"/>
  <c r="B280" i="17"/>
  <c r="A280" i="17"/>
  <c r="AM279" i="17"/>
  <c r="AL279" i="17"/>
  <c r="AK279" i="17"/>
  <c r="AJ279" i="17"/>
  <c r="AI279" i="17"/>
  <c r="AH279" i="17"/>
  <c r="AG279" i="17"/>
  <c r="AF279" i="17"/>
  <c r="AE279" i="17"/>
  <c r="AD279" i="17"/>
  <c r="AC279" i="17"/>
  <c r="AB279" i="17"/>
  <c r="AA279" i="17"/>
  <c r="Z279" i="17"/>
  <c r="Y279" i="17"/>
  <c r="X279" i="17"/>
  <c r="W279" i="17"/>
  <c r="V279" i="17"/>
  <c r="U279" i="17"/>
  <c r="T279" i="17"/>
  <c r="S279" i="17"/>
  <c r="R279" i="17"/>
  <c r="Q279" i="17"/>
  <c r="P279" i="17"/>
  <c r="O279" i="17"/>
  <c r="N279" i="17"/>
  <c r="M279" i="17"/>
  <c r="L279" i="17"/>
  <c r="K279" i="17"/>
  <c r="J279" i="17"/>
  <c r="I279" i="17"/>
  <c r="H279" i="17"/>
  <c r="G279" i="17"/>
  <c r="F279" i="17"/>
  <c r="E279" i="17"/>
  <c r="D279" i="17"/>
  <c r="C279" i="17"/>
  <c r="B279" i="17"/>
  <c r="A279" i="17"/>
  <c r="AM278" i="17"/>
  <c r="AL278" i="17"/>
  <c r="AK278" i="17"/>
  <c r="AJ278" i="17"/>
  <c r="AI278" i="17"/>
  <c r="AH278" i="17"/>
  <c r="AG278" i="17"/>
  <c r="AF278" i="17"/>
  <c r="AE278" i="17"/>
  <c r="AD278" i="17"/>
  <c r="AC278" i="17"/>
  <c r="AB278" i="17"/>
  <c r="AA278" i="17"/>
  <c r="Z278" i="17"/>
  <c r="Y278" i="17"/>
  <c r="X278" i="17"/>
  <c r="W278" i="17"/>
  <c r="V278" i="17"/>
  <c r="U278" i="17"/>
  <c r="T278" i="17"/>
  <c r="S278" i="17"/>
  <c r="R278" i="17"/>
  <c r="Q278" i="17"/>
  <c r="P278" i="17"/>
  <c r="O278" i="17"/>
  <c r="N278" i="17"/>
  <c r="M278" i="17"/>
  <c r="L278" i="17"/>
  <c r="K278" i="17"/>
  <c r="J278" i="17"/>
  <c r="I278" i="17"/>
  <c r="H278" i="17"/>
  <c r="G278" i="17"/>
  <c r="F278" i="17"/>
  <c r="E278" i="17"/>
  <c r="D278" i="17"/>
  <c r="C278" i="17"/>
  <c r="B278" i="17"/>
  <c r="A278" i="17"/>
  <c r="AM277" i="17"/>
  <c r="AL277" i="17"/>
  <c r="AK277" i="17"/>
  <c r="AJ277" i="17"/>
  <c r="AI277" i="17"/>
  <c r="AH277" i="17"/>
  <c r="AG277" i="17"/>
  <c r="AF277" i="17"/>
  <c r="AE277" i="17"/>
  <c r="AD277" i="17"/>
  <c r="AC277" i="17"/>
  <c r="AB277" i="17"/>
  <c r="AA277" i="17"/>
  <c r="Z277" i="17"/>
  <c r="Y277" i="17"/>
  <c r="X277" i="17"/>
  <c r="W277" i="17"/>
  <c r="V277" i="17"/>
  <c r="U277" i="17"/>
  <c r="T277" i="17"/>
  <c r="S277" i="17"/>
  <c r="R277" i="17"/>
  <c r="Q277" i="17"/>
  <c r="P277" i="17"/>
  <c r="O277" i="17"/>
  <c r="N277" i="17"/>
  <c r="M277" i="17"/>
  <c r="L277" i="17"/>
  <c r="K277" i="17"/>
  <c r="J277" i="17"/>
  <c r="I277" i="17"/>
  <c r="H277" i="17"/>
  <c r="G277" i="17"/>
  <c r="F277" i="17"/>
  <c r="E277" i="17"/>
  <c r="D277" i="17"/>
  <c r="C277" i="17"/>
  <c r="B277" i="17"/>
  <c r="A277" i="17"/>
  <c r="AM276" i="17"/>
  <c r="AL276" i="17"/>
  <c r="AK276" i="17"/>
  <c r="AJ276" i="17"/>
  <c r="AI276" i="17"/>
  <c r="AH276" i="17"/>
  <c r="AG276" i="17"/>
  <c r="AF276" i="17"/>
  <c r="AE276" i="17"/>
  <c r="AD276" i="17"/>
  <c r="AC276" i="17"/>
  <c r="AB276" i="17"/>
  <c r="AA276" i="17"/>
  <c r="Z276" i="17"/>
  <c r="Y276" i="17"/>
  <c r="X276" i="17"/>
  <c r="W276" i="17"/>
  <c r="V276" i="17"/>
  <c r="U276" i="17"/>
  <c r="T276" i="17"/>
  <c r="S276" i="17"/>
  <c r="R276" i="17"/>
  <c r="Q276" i="17"/>
  <c r="P276" i="17"/>
  <c r="O276" i="17"/>
  <c r="N276" i="17"/>
  <c r="M276" i="17"/>
  <c r="L276" i="17"/>
  <c r="K276" i="17"/>
  <c r="J276" i="17"/>
  <c r="I276" i="17"/>
  <c r="H276" i="17"/>
  <c r="G276" i="17"/>
  <c r="F276" i="17"/>
  <c r="E276" i="17"/>
  <c r="D276" i="17"/>
  <c r="C276" i="17"/>
  <c r="B276" i="17"/>
  <c r="A276" i="17"/>
  <c r="AM275" i="17"/>
  <c r="AL275" i="17"/>
  <c r="AK275" i="17"/>
  <c r="AJ275" i="17"/>
  <c r="AI275" i="17"/>
  <c r="AH275" i="17"/>
  <c r="AG275" i="17"/>
  <c r="AF275" i="17"/>
  <c r="AE275" i="17"/>
  <c r="AD275" i="17"/>
  <c r="AC275" i="17"/>
  <c r="AB275" i="17"/>
  <c r="AA275" i="17"/>
  <c r="Z275" i="17"/>
  <c r="Y275" i="17"/>
  <c r="X275" i="17"/>
  <c r="W275" i="17"/>
  <c r="V275" i="17"/>
  <c r="U275" i="17"/>
  <c r="T275" i="17"/>
  <c r="S275" i="17"/>
  <c r="R275" i="17"/>
  <c r="Q275" i="17"/>
  <c r="P275" i="17"/>
  <c r="O275" i="17"/>
  <c r="N275" i="17"/>
  <c r="M275" i="17"/>
  <c r="L275" i="17"/>
  <c r="K275" i="17"/>
  <c r="J275" i="17"/>
  <c r="I275" i="17"/>
  <c r="H275" i="17"/>
  <c r="G275" i="17"/>
  <c r="F275" i="17"/>
  <c r="E275" i="17"/>
  <c r="D275" i="17"/>
  <c r="C275" i="17"/>
  <c r="B275" i="17"/>
  <c r="A275" i="17"/>
  <c r="AM274" i="17"/>
  <c r="AL274" i="17"/>
  <c r="AK274" i="17"/>
  <c r="AJ274" i="17"/>
  <c r="AI274" i="17"/>
  <c r="AH274" i="17"/>
  <c r="AG274" i="17"/>
  <c r="AF274" i="17"/>
  <c r="AE274" i="17"/>
  <c r="AD274" i="17"/>
  <c r="AC274" i="17"/>
  <c r="AB274" i="17"/>
  <c r="AA274" i="17"/>
  <c r="Z274" i="17"/>
  <c r="Y274" i="17"/>
  <c r="X274" i="17"/>
  <c r="W274" i="17"/>
  <c r="V274" i="17"/>
  <c r="U274" i="17"/>
  <c r="T274" i="17"/>
  <c r="S274" i="17"/>
  <c r="R274" i="17"/>
  <c r="Q274" i="17"/>
  <c r="P274" i="17"/>
  <c r="O274" i="17"/>
  <c r="N274" i="17"/>
  <c r="M274" i="17"/>
  <c r="L274" i="17"/>
  <c r="K274" i="17"/>
  <c r="J274" i="17"/>
  <c r="I274" i="17"/>
  <c r="H274" i="17"/>
  <c r="G274" i="17"/>
  <c r="F274" i="17"/>
  <c r="E274" i="17"/>
  <c r="D274" i="17"/>
  <c r="C274" i="17"/>
  <c r="B274" i="17"/>
  <c r="A274" i="17"/>
  <c r="AM273" i="17"/>
  <c r="AL273" i="17"/>
  <c r="AK273" i="17"/>
  <c r="AJ273" i="17"/>
  <c r="AI273" i="17"/>
  <c r="AH273" i="17"/>
  <c r="AG273" i="17"/>
  <c r="AF273" i="17"/>
  <c r="AE273" i="17"/>
  <c r="AD273" i="17"/>
  <c r="AC273" i="17"/>
  <c r="AB273" i="17"/>
  <c r="AA273" i="17"/>
  <c r="Z273" i="17"/>
  <c r="Y273" i="17"/>
  <c r="X273" i="17"/>
  <c r="W273" i="17"/>
  <c r="V273" i="17"/>
  <c r="U273" i="17"/>
  <c r="T273" i="17"/>
  <c r="S273" i="17"/>
  <c r="R273" i="17"/>
  <c r="Q273" i="17"/>
  <c r="P273" i="17"/>
  <c r="O273" i="17"/>
  <c r="N273" i="17"/>
  <c r="M273" i="17"/>
  <c r="L273" i="17"/>
  <c r="K273" i="17"/>
  <c r="J273" i="17"/>
  <c r="I273" i="17"/>
  <c r="H273" i="17"/>
  <c r="G273" i="17"/>
  <c r="F273" i="17"/>
  <c r="E273" i="17"/>
  <c r="D273" i="17"/>
  <c r="C273" i="17"/>
  <c r="B273" i="17"/>
  <c r="A273" i="17"/>
  <c r="AM272" i="17"/>
  <c r="AL272" i="17"/>
  <c r="AK272" i="17"/>
  <c r="AJ272" i="17"/>
  <c r="AI272" i="17"/>
  <c r="AH272" i="17"/>
  <c r="AG272" i="17"/>
  <c r="AF272" i="17"/>
  <c r="AE272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E272" i="17"/>
  <c r="D272" i="17"/>
  <c r="C272" i="17"/>
  <c r="B272" i="17"/>
  <c r="A272" i="17"/>
  <c r="AM271" i="17"/>
  <c r="AL271" i="17"/>
  <c r="AK271" i="17"/>
  <c r="AJ271" i="17"/>
  <c r="AI271" i="17"/>
  <c r="AH271" i="17"/>
  <c r="AG271" i="17"/>
  <c r="AF271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M270" i="17"/>
  <c r="AL270" i="17"/>
  <c r="AK270" i="17"/>
  <c r="AJ270" i="17"/>
  <c r="AI270" i="17"/>
  <c r="AH270" i="17"/>
  <c r="AG270" i="17"/>
  <c r="AF270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B270" i="17"/>
  <c r="A270" i="17"/>
  <c r="AM269" i="17"/>
  <c r="AL269" i="17"/>
  <c r="AK269" i="17"/>
  <c r="AJ269" i="17"/>
  <c r="AI269" i="17"/>
  <c r="AH269" i="17"/>
  <c r="AG269" i="17"/>
  <c r="AF269" i="17"/>
  <c r="AE269" i="17"/>
  <c r="AD269" i="17"/>
  <c r="AC269" i="17"/>
  <c r="AB269" i="17"/>
  <c r="AA269" i="17"/>
  <c r="Z269" i="17"/>
  <c r="Y269" i="17"/>
  <c r="X269" i="17"/>
  <c r="W269" i="17"/>
  <c r="V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B269" i="17"/>
  <c r="A269" i="17"/>
  <c r="AM268" i="17"/>
  <c r="AL268" i="17"/>
  <c r="AK268" i="17"/>
  <c r="AJ268" i="17"/>
  <c r="AI268" i="17"/>
  <c r="AH268" i="17"/>
  <c r="AG268" i="17"/>
  <c r="AF268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B268" i="17"/>
  <c r="A268" i="17"/>
  <c r="AM267" i="17"/>
  <c r="AL267" i="17"/>
  <c r="AK267" i="17"/>
  <c r="AJ267" i="17"/>
  <c r="AI267" i="17"/>
  <c r="AH267" i="17"/>
  <c r="AG267" i="17"/>
  <c r="AF267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F267" i="17"/>
  <c r="E267" i="17"/>
  <c r="D267" i="17"/>
  <c r="C267" i="17"/>
  <c r="B267" i="17"/>
  <c r="A267" i="17"/>
  <c r="AM266" i="17"/>
  <c r="AL266" i="17"/>
  <c r="AK266" i="17"/>
  <c r="AJ266" i="17"/>
  <c r="AI266" i="17"/>
  <c r="AH266" i="17"/>
  <c r="AG266" i="17"/>
  <c r="AF266" i="17"/>
  <c r="AE266" i="17"/>
  <c r="AD266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E266" i="17"/>
  <c r="D266" i="17"/>
  <c r="C266" i="17"/>
  <c r="B266" i="17"/>
  <c r="A266" i="17"/>
  <c r="AM265" i="17"/>
  <c r="AL265" i="17"/>
  <c r="AK265" i="17"/>
  <c r="AJ265" i="17"/>
  <c r="AI265" i="17"/>
  <c r="AH265" i="17"/>
  <c r="AG265" i="17"/>
  <c r="AF265" i="17"/>
  <c r="AE265" i="17"/>
  <c r="AD265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B265" i="17"/>
  <c r="A265" i="17"/>
  <c r="AM264" i="17"/>
  <c r="AL264" i="17"/>
  <c r="AK264" i="17"/>
  <c r="AJ264" i="17"/>
  <c r="AI264" i="17"/>
  <c r="AH264" i="17"/>
  <c r="AG264" i="17"/>
  <c r="AF264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A264" i="17"/>
  <c r="AM263" i="17"/>
  <c r="AL263" i="17"/>
  <c r="AK263" i="17"/>
  <c r="AJ263" i="17"/>
  <c r="AI263" i="17"/>
  <c r="AH263" i="17"/>
  <c r="AG263" i="17"/>
  <c r="AF263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B263" i="17"/>
  <c r="A263" i="17"/>
  <c r="AM262" i="17"/>
  <c r="AL262" i="17"/>
  <c r="AK262" i="17"/>
  <c r="AJ262" i="17"/>
  <c r="AI262" i="17"/>
  <c r="AH262" i="17"/>
  <c r="AG262" i="17"/>
  <c r="AF262" i="17"/>
  <c r="AE262" i="17"/>
  <c r="AD262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F262" i="17"/>
  <c r="E262" i="17"/>
  <c r="D262" i="17"/>
  <c r="C262" i="17"/>
  <c r="B262" i="17"/>
  <c r="A262" i="17"/>
  <c r="AM261" i="17"/>
  <c r="AL261" i="17"/>
  <c r="AK261" i="17"/>
  <c r="AJ261" i="17"/>
  <c r="AI261" i="17"/>
  <c r="AH261" i="17"/>
  <c r="AG261" i="17"/>
  <c r="AF261" i="17"/>
  <c r="AE261" i="17"/>
  <c r="AD261" i="17"/>
  <c r="AC261" i="17"/>
  <c r="AB261" i="17"/>
  <c r="AA261" i="17"/>
  <c r="Z261" i="17"/>
  <c r="Y261" i="17"/>
  <c r="X261" i="17"/>
  <c r="W261" i="17"/>
  <c r="V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F261" i="17"/>
  <c r="E261" i="17"/>
  <c r="D261" i="17"/>
  <c r="C261" i="17"/>
  <c r="B261" i="17"/>
  <c r="A261" i="17"/>
  <c r="AM260" i="17"/>
  <c r="AL260" i="17"/>
  <c r="AK260" i="17"/>
  <c r="AJ260" i="17"/>
  <c r="AI260" i="17"/>
  <c r="AH260" i="17"/>
  <c r="AG260" i="17"/>
  <c r="AF260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B260" i="17"/>
  <c r="A260" i="17"/>
  <c r="AM259" i="17"/>
  <c r="AL259" i="17"/>
  <c r="AK259" i="17"/>
  <c r="AJ259" i="17"/>
  <c r="AI259" i="17"/>
  <c r="AH259" i="17"/>
  <c r="AG259" i="17"/>
  <c r="AF259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D259" i="17"/>
  <c r="C259" i="17"/>
  <c r="B259" i="17"/>
  <c r="A259" i="17"/>
  <c r="AM258" i="17"/>
  <c r="AL258" i="17"/>
  <c r="AK258" i="17"/>
  <c r="AJ258" i="17"/>
  <c r="AI258" i="17"/>
  <c r="AH258" i="17"/>
  <c r="AG258" i="17"/>
  <c r="AF258" i="17"/>
  <c r="AE258" i="17"/>
  <c r="AD258" i="17"/>
  <c r="AC258" i="17"/>
  <c r="AB258" i="17"/>
  <c r="AA258" i="17"/>
  <c r="Z258" i="17"/>
  <c r="Y258" i="17"/>
  <c r="X258" i="17"/>
  <c r="W258" i="17"/>
  <c r="V258" i="17"/>
  <c r="U258" i="17"/>
  <c r="T258" i="17"/>
  <c r="S258" i="17"/>
  <c r="R258" i="17"/>
  <c r="Q258" i="17"/>
  <c r="P258" i="17"/>
  <c r="O258" i="17"/>
  <c r="N258" i="17"/>
  <c r="M258" i="17"/>
  <c r="L258" i="17"/>
  <c r="K258" i="17"/>
  <c r="J258" i="17"/>
  <c r="I258" i="17"/>
  <c r="H258" i="17"/>
  <c r="G258" i="17"/>
  <c r="F258" i="17"/>
  <c r="E258" i="17"/>
  <c r="D258" i="17"/>
  <c r="C258" i="17"/>
  <c r="B258" i="17"/>
  <c r="A258" i="17"/>
  <c r="AM256" i="17"/>
  <c r="AL256" i="17"/>
  <c r="AK256" i="17"/>
  <c r="AJ256" i="17"/>
  <c r="AI256" i="17"/>
  <c r="AH256" i="17"/>
  <c r="AG256" i="17"/>
  <c r="AF256" i="17"/>
  <c r="AE256" i="17"/>
  <c r="AD256" i="17"/>
  <c r="AC256" i="17"/>
  <c r="AB256" i="17"/>
  <c r="AA256" i="17"/>
  <c r="Z256" i="17"/>
  <c r="Y256" i="17"/>
  <c r="X256" i="17"/>
  <c r="W256" i="17"/>
  <c r="V256" i="17"/>
  <c r="U256" i="17"/>
  <c r="T256" i="17"/>
  <c r="S256" i="17"/>
  <c r="R256" i="17"/>
  <c r="Q256" i="17"/>
  <c r="P256" i="17"/>
  <c r="O256" i="17"/>
  <c r="N256" i="17"/>
  <c r="M256" i="17"/>
  <c r="L256" i="17"/>
  <c r="K256" i="17"/>
  <c r="J256" i="17"/>
  <c r="I256" i="17"/>
  <c r="H256" i="17"/>
  <c r="G256" i="17"/>
  <c r="F256" i="17"/>
  <c r="E256" i="17"/>
  <c r="D256" i="17"/>
  <c r="C256" i="17"/>
  <c r="B256" i="17"/>
  <c r="A256" i="17"/>
  <c r="AM255" i="17"/>
  <c r="AL255" i="17"/>
  <c r="AK255" i="17"/>
  <c r="AJ255" i="17"/>
  <c r="AI255" i="17"/>
  <c r="AH255" i="17"/>
  <c r="AG255" i="17"/>
  <c r="AF255" i="17"/>
  <c r="AE255" i="17"/>
  <c r="AD255" i="17"/>
  <c r="AC255" i="17"/>
  <c r="AB255" i="17"/>
  <c r="AA255" i="17"/>
  <c r="Z255" i="17"/>
  <c r="Y255" i="17"/>
  <c r="X255" i="17"/>
  <c r="W255" i="17"/>
  <c r="V255" i="17"/>
  <c r="U255" i="17"/>
  <c r="T255" i="17"/>
  <c r="S255" i="17"/>
  <c r="R255" i="17"/>
  <c r="Q255" i="17"/>
  <c r="P255" i="17"/>
  <c r="O255" i="17"/>
  <c r="N255" i="17"/>
  <c r="M255" i="17"/>
  <c r="L255" i="17"/>
  <c r="K255" i="17"/>
  <c r="J255" i="17"/>
  <c r="I255" i="17"/>
  <c r="H255" i="17"/>
  <c r="G255" i="17"/>
  <c r="F255" i="17"/>
  <c r="E255" i="17"/>
  <c r="D255" i="17"/>
  <c r="C255" i="17"/>
  <c r="B255" i="17"/>
  <c r="A255" i="17"/>
  <c r="AM254" i="17"/>
  <c r="AL254" i="17"/>
  <c r="AK254" i="17"/>
  <c r="AJ254" i="17"/>
  <c r="AI254" i="17"/>
  <c r="AH254" i="17"/>
  <c r="AG254" i="17"/>
  <c r="AF254" i="17"/>
  <c r="AE254" i="17"/>
  <c r="AD254" i="17"/>
  <c r="AC254" i="17"/>
  <c r="AB254" i="17"/>
  <c r="AA254" i="17"/>
  <c r="Z254" i="17"/>
  <c r="Y254" i="17"/>
  <c r="X254" i="17"/>
  <c r="W254" i="17"/>
  <c r="V254" i="17"/>
  <c r="U254" i="17"/>
  <c r="T254" i="17"/>
  <c r="S254" i="17"/>
  <c r="R254" i="17"/>
  <c r="Q254" i="17"/>
  <c r="P254" i="17"/>
  <c r="O254" i="17"/>
  <c r="N254" i="17"/>
  <c r="M254" i="17"/>
  <c r="L254" i="17"/>
  <c r="K254" i="17"/>
  <c r="J254" i="17"/>
  <c r="I254" i="17"/>
  <c r="H254" i="17"/>
  <c r="G254" i="17"/>
  <c r="F254" i="17"/>
  <c r="E254" i="17"/>
  <c r="D254" i="17"/>
  <c r="C254" i="17"/>
  <c r="B254" i="17"/>
  <c r="A254" i="17"/>
  <c r="AM253" i="17"/>
  <c r="AL253" i="17"/>
  <c r="AK253" i="17"/>
  <c r="AJ253" i="17"/>
  <c r="AI253" i="17"/>
  <c r="AH253" i="17"/>
  <c r="AG253" i="17"/>
  <c r="AF253" i="17"/>
  <c r="AE253" i="17"/>
  <c r="AD253" i="17"/>
  <c r="AC253" i="17"/>
  <c r="AB253" i="17"/>
  <c r="AA253" i="17"/>
  <c r="Z253" i="17"/>
  <c r="Y253" i="17"/>
  <c r="X253" i="17"/>
  <c r="W253" i="17"/>
  <c r="V253" i="17"/>
  <c r="U253" i="17"/>
  <c r="T253" i="17"/>
  <c r="S253" i="17"/>
  <c r="R253" i="17"/>
  <c r="Q253" i="17"/>
  <c r="P253" i="17"/>
  <c r="O253" i="17"/>
  <c r="N253" i="17"/>
  <c r="M253" i="17"/>
  <c r="L253" i="17"/>
  <c r="K253" i="17"/>
  <c r="J253" i="17"/>
  <c r="I253" i="17"/>
  <c r="H253" i="17"/>
  <c r="G253" i="17"/>
  <c r="F253" i="17"/>
  <c r="E253" i="17"/>
  <c r="D253" i="17"/>
  <c r="C253" i="17"/>
  <c r="B253" i="17"/>
  <c r="A253" i="17"/>
  <c r="AM252" i="17"/>
  <c r="AL252" i="17"/>
  <c r="AK252" i="17"/>
  <c r="AJ252" i="17"/>
  <c r="AI252" i="17"/>
  <c r="AH252" i="17"/>
  <c r="AG252" i="17"/>
  <c r="AF252" i="17"/>
  <c r="AE252" i="17"/>
  <c r="AD252" i="17"/>
  <c r="AC252" i="17"/>
  <c r="AB252" i="17"/>
  <c r="AA252" i="17"/>
  <c r="Z252" i="17"/>
  <c r="Y252" i="17"/>
  <c r="X252" i="17"/>
  <c r="W252" i="17"/>
  <c r="V252" i="17"/>
  <c r="U252" i="17"/>
  <c r="T252" i="17"/>
  <c r="S252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F252" i="17"/>
  <c r="E252" i="17"/>
  <c r="D252" i="17"/>
  <c r="C252" i="17"/>
  <c r="B252" i="17"/>
  <c r="A252" i="17"/>
  <c r="AM251" i="17"/>
  <c r="AL251" i="17"/>
  <c r="AK251" i="17"/>
  <c r="AJ251" i="17"/>
  <c r="AI251" i="17"/>
  <c r="AH251" i="17"/>
  <c r="AG251" i="17"/>
  <c r="AF251" i="17"/>
  <c r="AE251" i="17"/>
  <c r="AD251" i="17"/>
  <c r="AC251" i="17"/>
  <c r="AB251" i="17"/>
  <c r="AA251" i="17"/>
  <c r="Z251" i="17"/>
  <c r="Y251" i="17"/>
  <c r="X251" i="17"/>
  <c r="W251" i="17"/>
  <c r="V251" i="17"/>
  <c r="U251" i="17"/>
  <c r="T251" i="17"/>
  <c r="S251" i="17"/>
  <c r="R251" i="17"/>
  <c r="Q251" i="17"/>
  <c r="P251" i="17"/>
  <c r="O251" i="17"/>
  <c r="N251" i="17"/>
  <c r="M251" i="17"/>
  <c r="L251" i="17"/>
  <c r="K251" i="17"/>
  <c r="J251" i="17"/>
  <c r="I251" i="17"/>
  <c r="H251" i="17"/>
  <c r="G251" i="17"/>
  <c r="F251" i="17"/>
  <c r="E251" i="17"/>
  <c r="D251" i="17"/>
  <c r="C251" i="17"/>
  <c r="B251" i="17"/>
  <c r="A251" i="17"/>
  <c r="AM250" i="17"/>
  <c r="AL250" i="17"/>
  <c r="AK250" i="17"/>
  <c r="AJ250" i="17"/>
  <c r="AI250" i="17"/>
  <c r="AH250" i="17"/>
  <c r="AG250" i="17"/>
  <c r="AF250" i="17"/>
  <c r="AE250" i="17"/>
  <c r="AD250" i="17"/>
  <c r="AC250" i="17"/>
  <c r="AB250" i="17"/>
  <c r="AA250" i="17"/>
  <c r="Z250" i="17"/>
  <c r="Y250" i="17"/>
  <c r="X250" i="17"/>
  <c r="W250" i="17"/>
  <c r="V250" i="17"/>
  <c r="U250" i="17"/>
  <c r="T250" i="17"/>
  <c r="S250" i="17"/>
  <c r="R250" i="17"/>
  <c r="Q250" i="17"/>
  <c r="P250" i="17"/>
  <c r="O250" i="17"/>
  <c r="N250" i="17"/>
  <c r="M250" i="17"/>
  <c r="L250" i="17"/>
  <c r="K250" i="17"/>
  <c r="J250" i="17"/>
  <c r="I250" i="17"/>
  <c r="H250" i="17"/>
  <c r="G250" i="17"/>
  <c r="F250" i="17"/>
  <c r="E250" i="17"/>
  <c r="D250" i="17"/>
  <c r="C250" i="17"/>
  <c r="B250" i="17"/>
  <c r="A250" i="17"/>
  <c r="AM249" i="17"/>
  <c r="AL249" i="17"/>
  <c r="AK249" i="17"/>
  <c r="AJ249" i="17"/>
  <c r="AI249" i="17"/>
  <c r="AH249" i="17"/>
  <c r="AG249" i="17"/>
  <c r="AF249" i="17"/>
  <c r="AE249" i="17"/>
  <c r="AD249" i="17"/>
  <c r="AC249" i="17"/>
  <c r="AB249" i="17"/>
  <c r="AA249" i="17"/>
  <c r="Z249" i="17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A249" i="17"/>
  <c r="AM248" i="17"/>
  <c r="AL248" i="17"/>
  <c r="AK248" i="17"/>
  <c r="AJ248" i="17"/>
  <c r="AI248" i="17"/>
  <c r="AH248" i="17"/>
  <c r="AG248" i="17"/>
  <c r="AF248" i="17"/>
  <c r="AE248" i="17"/>
  <c r="AD248" i="17"/>
  <c r="AC248" i="17"/>
  <c r="AB248" i="17"/>
  <c r="AA248" i="17"/>
  <c r="Z248" i="17"/>
  <c r="Y248" i="17"/>
  <c r="X248" i="17"/>
  <c r="W248" i="17"/>
  <c r="V248" i="17"/>
  <c r="U248" i="17"/>
  <c r="T248" i="17"/>
  <c r="S248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F248" i="17"/>
  <c r="E248" i="17"/>
  <c r="D248" i="17"/>
  <c r="C248" i="17"/>
  <c r="B248" i="17"/>
  <c r="A248" i="17"/>
  <c r="AM247" i="17"/>
  <c r="AL247" i="17"/>
  <c r="AK247" i="17"/>
  <c r="AJ247" i="17"/>
  <c r="AI247" i="17"/>
  <c r="AH247" i="17"/>
  <c r="AG247" i="17"/>
  <c r="AF247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A247" i="17"/>
  <c r="AM246" i="17"/>
  <c r="AL246" i="17"/>
  <c r="AK246" i="17"/>
  <c r="AJ246" i="17"/>
  <c r="AI246" i="17"/>
  <c r="AH246" i="17"/>
  <c r="AG246" i="17"/>
  <c r="AF246" i="17"/>
  <c r="AE246" i="17"/>
  <c r="AD246" i="17"/>
  <c r="AC246" i="17"/>
  <c r="AB246" i="17"/>
  <c r="AA246" i="17"/>
  <c r="Z246" i="17"/>
  <c r="Y246" i="17"/>
  <c r="X246" i="17"/>
  <c r="W246" i="17"/>
  <c r="V246" i="17"/>
  <c r="U246" i="17"/>
  <c r="T246" i="17"/>
  <c r="S246" i="17"/>
  <c r="R246" i="17"/>
  <c r="Q246" i="17"/>
  <c r="P246" i="17"/>
  <c r="O246" i="17"/>
  <c r="N246" i="17"/>
  <c r="M246" i="17"/>
  <c r="L246" i="17"/>
  <c r="K246" i="17"/>
  <c r="J246" i="17"/>
  <c r="I246" i="17"/>
  <c r="H246" i="17"/>
  <c r="G246" i="17"/>
  <c r="F246" i="17"/>
  <c r="E246" i="17"/>
  <c r="D246" i="17"/>
  <c r="C246" i="17"/>
  <c r="B246" i="17"/>
  <c r="A246" i="17"/>
  <c r="AM245" i="17"/>
  <c r="AL245" i="17"/>
  <c r="AK245" i="17"/>
  <c r="AJ245" i="17"/>
  <c r="AI245" i="17"/>
  <c r="AH245" i="17"/>
  <c r="AG245" i="17"/>
  <c r="AF245" i="17"/>
  <c r="AE245" i="17"/>
  <c r="AD245" i="17"/>
  <c r="AC245" i="17"/>
  <c r="AB245" i="17"/>
  <c r="AA245" i="17"/>
  <c r="Z245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A245" i="17"/>
  <c r="AM244" i="17"/>
  <c r="AL244" i="17"/>
  <c r="AK244" i="17"/>
  <c r="AJ244" i="17"/>
  <c r="AI244" i="17"/>
  <c r="AH244" i="17"/>
  <c r="AG244" i="17"/>
  <c r="AF244" i="17"/>
  <c r="AE244" i="17"/>
  <c r="AD244" i="17"/>
  <c r="AC244" i="17"/>
  <c r="AB244" i="17"/>
  <c r="AA244" i="17"/>
  <c r="Z244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244" i="17"/>
  <c r="AM243" i="17"/>
  <c r="AL243" i="17"/>
  <c r="AK243" i="17"/>
  <c r="AJ243" i="17"/>
  <c r="AI243" i="17"/>
  <c r="AH243" i="17"/>
  <c r="AG243" i="17"/>
  <c r="AF243" i="17"/>
  <c r="AE243" i="17"/>
  <c r="AD243" i="17"/>
  <c r="AC243" i="17"/>
  <c r="AB243" i="17"/>
  <c r="AA243" i="17"/>
  <c r="Z243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A243" i="17"/>
  <c r="AM242" i="17"/>
  <c r="AL242" i="17"/>
  <c r="AK242" i="17"/>
  <c r="AJ242" i="17"/>
  <c r="AI242" i="17"/>
  <c r="AH242" i="17"/>
  <c r="AG242" i="17"/>
  <c r="AF242" i="17"/>
  <c r="AE242" i="17"/>
  <c r="AD242" i="17"/>
  <c r="AC242" i="17"/>
  <c r="AB242" i="17"/>
  <c r="AA242" i="17"/>
  <c r="Z242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A242" i="17"/>
  <c r="AM241" i="17"/>
  <c r="AL241" i="17"/>
  <c r="AK241" i="17"/>
  <c r="AJ241" i="17"/>
  <c r="AI241" i="17"/>
  <c r="AH241" i="17"/>
  <c r="AG241" i="17"/>
  <c r="AF241" i="17"/>
  <c r="AE241" i="17"/>
  <c r="AD241" i="17"/>
  <c r="AC241" i="17"/>
  <c r="AB241" i="17"/>
  <c r="AA241" i="17"/>
  <c r="Z241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A241" i="17"/>
  <c r="AM240" i="17"/>
  <c r="AL240" i="17"/>
  <c r="AK240" i="17"/>
  <c r="AJ240" i="17"/>
  <c r="AI240" i="17"/>
  <c r="AH240" i="17"/>
  <c r="AG240" i="17"/>
  <c r="AF240" i="17"/>
  <c r="AE240" i="17"/>
  <c r="AD240" i="17"/>
  <c r="AC240" i="17"/>
  <c r="AB240" i="17"/>
  <c r="AA240" i="17"/>
  <c r="Z240" i="17"/>
  <c r="Y240" i="17"/>
  <c r="X240" i="17"/>
  <c r="W240" i="17"/>
  <c r="V240" i="17"/>
  <c r="U240" i="17"/>
  <c r="T240" i="17"/>
  <c r="S240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F240" i="17"/>
  <c r="E240" i="17"/>
  <c r="D240" i="17"/>
  <c r="C240" i="17"/>
  <c r="B240" i="17"/>
  <c r="A240" i="17"/>
  <c r="AM239" i="17"/>
  <c r="AL239" i="17"/>
  <c r="AK239" i="17"/>
  <c r="AJ239" i="17"/>
  <c r="AI239" i="17"/>
  <c r="AH239" i="17"/>
  <c r="AG239" i="17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B239" i="17"/>
  <c r="A239" i="17"/>
  <c r="AM238" i="17"/>
  <c r="AL238" i="17"/>
  <c r="AK238" i="17"/>
  <c r="AJ238" i="17"/>
  <c r="AI238" i="17"/>
  <c r="AH238" i="17"/>
  <c r="AG238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M237" i="17"/>
  <c r="AL237" i="17"/>
  <c r="AK237" i="17"/>
  <c r="AJ237" i="17"/>
  <c r="AI237" i="17"/>
  <c r="AH237" i="17"/>
  <c r="AG237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M236" i="17"/>
  <c r="AL236" i="17"/>
  <c r="AK236" i="17"/>
  <c r="AJ236" i="17"/>
  <c r="AI236" i="17"/>
  <c r="AH236" i="17"/>
  <c r="AG236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M235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AM234" i="17"/>
  <c r="AL234" i="17"/>
  <c r="AK234" i="17"/>
  <c r="AJ234" i="17"/>
  <c r="AI234" i="17"/>
  <c r="AH234" i="17"/>
  <c r="AG234" i="17"/>
  <c r="AF234" i="17"/>
  <c r="AE234" i="17"/>
  <c r="AD234" i="17"/>
  <c r="AC234" i="17"/>
  <c r="AB234" i="17"/>
  <c r="AA234" i="17"/>
  <c r="Z234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A234" i="17"/>
  <c r="AM233" i="17"/>
  <c r="AL233" i="17"/>
  <c r="AK233" i="17"/>
  <c r="AJ233" i="17"/>
  <c r="AI233" i="17"/>
  <c r="AH233" i="17"/>
  <c r="AG233" i="17"/>
  <c r="AF233" i="17"/>
  <c r="AE233" i="17"/>
  <c r="AD233" i="17"/>
  <c r="AC233" i="17"/>
  <c r="AB233" i="17"/>
  <c r="AA233" i="17"/>
  <c r="Z233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A233" i="17"/>
  <c r="AM232" i="17"/>
  <c r="AL232" i="17"/>
  <c r="AK232" i="17"/>
  <c r="AJ232" i="17"/>
  <c r="AI232" i="17"/>
  <c r="AH23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A232" i="17"/>
  <c r="AM231" i="17"/>
  <c r="AL231" i="17"/>
  <c r="AK231" i="17"/>
  <c r="AJ231" i="17"/>
  <c r="AI231" i="17"/>
  <c r="AH231" i="17"/>
  <c r="AG231" i="17"/>
  <c r="AF231" i="17"/>
  <c r="AE231" i="17"/>
  <c r="AD231" i="17"/>
  <c r="AC231" i="17"/>
  <c r="AB231" i="17"/>
  <c r="AA231" i="17"/>
  <c r="Z231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A231" i="17"/>
  <c r="AM230" i="17"/>
  <c r="AL230" i="17"/>
  <c r="AK230" i="17"/>
  <c r="AJ230" i="17"/>
  <c r="AI230" i="17"/>
  <c r="AH230" i="17"/>
  <c r="AG230" i="17"/>
  <c r="AF230" i="17"/>
  <c r="AE230" i="17"/>
  <c r="AD230" i="17"/>
  <c r="AC230" i="17"/>
  <c r="AB230" i="17"/>
  <c r="AA230" i="17"/>
  <c r="Z230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A230" i="17"/>
  <c r="AM229" i="17"/>
  <c r="AL229" i="17"/>
  <c r="AK229" i="17"/>
  <c r="AJ229" i="17"/>
  <c r="AI229" i="17"/>
  <c r="AH229" i="17"/>
  <c r="AG229" i="17"/>
  <c r="AF229" i="17"/>
  <c r="AE229" i="17"/>
  <c r="AD229" i="17"/>
  <c r="AC229" i="17"/>
  <c r="AB229" i="17"/>
  <c r="AA229" i="17"/>
  <c r="Z229" i="17"/>
  <c r="Y229" i="17"/>
  <c r="X229" i="17"/>
  <c r="W229" i="17"/>
  <c r="V229" i="17"/>
  <c r="U229" i="17"/>
  <c r="T229" i="17"/>
  <c r="S229" i="17"/>
  <c r="R229" i="17"/>
  <c r="Q229" i="17"/>
  <c r="P229" i="17"/>
  <c r="O229" i="17"/>
  <c r="N229" i="17"/>
  <c r="M229" i="17"/>
  <c r="L229" i="17"/>
  <c r="K229" i="17"/>
  <c r="J229" i="17"/>
  <c r="I229" i="17"/>
  <c r="H229" i="17"/>
  <c r="G229" i="17"/>
  <c r="F229" i="17"/>
  <c r="E229" i="17"/>
  <c r="D229" i="17"/>
  <c r="C229" i="17"/>
  <c r="B229" i="17"/>
  <c r="A229" i="17"/>
  <c r="AM228" i="17"/>
  <c r="AL228" i="17"/>
  <c r="AK228" i="17"/>
  <c r="AJ228" i="17"/>
  <c r="AI228" i="17"/>
  <c r="AH228" i="17"/>
  <c r="AG228" i="17"/>
  <c r="AF228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F228" i="17"/>
  <c r="E228" i="17"/>
  <c r="D228" i="17"/>
  <c r="C228" i="17"/>
  <c r="B228" i="17"/>
  <c r="A228" i="17"/>
  <c r="AM227" i="17"/>
  <c r="AL227" i="17"/>
  <c r="AK227" i="17"/>
  <c r="AJ227" i="17"/>
  <c r="AI227" i="17"/>
  <c r="AH227" i="17"/>
  <c r="AG227" i="17"/>
  <c r="AF227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A227" i="17"/>
  <c r="AM226" i="17"/>
  <c r="AL226" i="17"/>
  <c r="AK226" i="17"/>
  <c r="AJ226" i="17"/>
  <c r="AI226" i="17"/>
  <c r="AH226" i="17"/>
  <c r="AG226" i="17"/>
  <c r="AF226" i="17"/>
  <c r="AE226" i="17"/>
  <c r="AD226" i="17"/>
  <c r="AC226" i="17"/>
  <c r="AB226" i="17"/>
  <c r="AA226" i="17"/>
  <c r="Z226" i="17"/>
  <c r="Y226" i="17"/>
  <c r="X226" i="17"/>
  <c r="W226" i="17"/>
  <c r="V226" i="17"/>
  <c r="U226" i="17"/>
  <c r="T226" i="17"/>
  <c r="S226" i="17"/>
  <c r="R226" i="17"/>
  <c r="Q226" i="17"/>
  <c r="P226" i="17"/>
  <c r="O226" i="17"/>
  <c r="N226" i="17"/>
  <c r="M226" i="17"/>
  <c r="L226" i="17"/>
  <c r="K226" i="17"/>
  <c r="J226" i="17"/>
  <c r="I226" i="17"/>
  <c r="H226" i="17"/>
  <c r="G226" i="17"/>
  <c r="F226" i="17"/>
  <c r="E226" i="17"/>
  <c r="D226" i="17"/>
  <c r="C226" i="17"/>
  <c r="B226" i="17"/>
  <c r="A226" i="17"/>
  <c r="AM225" i="17"/>
  <c r="AL225" i="17"/>
  <c r="AK225" i="17"/>
  <c r="AJ225" i="17"/>
  <c r="AI225" i="17"/>
  <c r="AH225" i="17"/>
  <c r="AG225" i="17"/>
  <c r="AF225" i="17"/>
  <c r="AE225" i="17"/>
  <c r="AD225" i="17"/>
  <c r="AC225" i="17"/>
  <c r="AB225" i="17"/>
  <c r="AA225" i="17"/>
  <c r="Z225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A225" i="17"/>
  <c r="AM224" i="17"/>
  <c r="AL224" i="17"/>
  <c r="AK224" i="17"/>
  <c r="AJ224" i="17"/>
  <c r="AI224" i="17"/>
  <c r="AH224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A224" i="17"/>
  <c r="AM223" i="17"/>
  <c r="AL223" i="17"/>
  <c r="AK223" i="17"/>
  <c r="AJ223" i="17"/>
  <c r="AI223" i="17"/>
  <c r="AH223" i="17"/>
  <c r="AG223" i="17"/>
  <c r="AF223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A223" i="17"/>
  <c r="AM222" i="17"/>
  <c r="AL222" i="17"/>
  <c r="AK222" i="17"/>
  <c r="AJ222" i="17"/>
  <c r="AI222" i="17"/>
  <c r="AH222" i="17"/>
  <c r="AG222" i="17"/>
  <c r="AF222" i="17"/>
  <c r="AE222" i="17"/>
  <c r="AD222" i="17"/>
  <c r="AC222" i="17"/>
  <c r="AB222" i="17"/>
  <c r="AA222" i="17"/>
  <c r="Z222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A222" i="17"/>
  <c r="AM221" i="17"/>
  <c r="AL221" i="17"/>
  <c r="AK221" i="17"/>
  <c r="AJ221" i="17"/>
  <c r="AI221" i="17"/>
  <c r="AH221" i="17"/>
  <c r="AG221" i="17"/>
  <c r="AF221" i="17"/>
  <c r="AE221" i="17"/>
  <c r="AD221" i="17"/>
  <c r="AC221" i="17"/>
  <c r="AB221" i="17"/>
  <c r="AA221" i="17"/>
  <c r="Z221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A221" i="17"/>
  <c r="AM220" i="17"/>
  <c r="AL220" i="17"/>
  <c r="AK220" i="17"/>
  <c r="AJ220" i="17"/>
  <c r="AI220" i="17"/>
  <c r="AH220" i="17"/>
  <c r="AG220" i="17"/>
  <c r="AF220" i="17"/>
  <c r="AE220" i="17"/>
  <c r="AD220" i="17"/>
  <c r="AC220" i="17"/>
  <c r="AB220" i="17"/>
  <c r="AA220" i="17"/>
  <c r="Z220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A220" i="17"/>
  <c r="AM219" i="17"/>
  <c r="AL219" i="17"/>
  <c r="AK219" i="17"/>
  <c r="AJ219" i="17"/>
  <c r="AI219" i="17"/>
  <c r="AH219" i="17"/>
  <c r="AG219" i="17"/>
  <c r="AF219" i="17"/>
  <c r="AE219" i="17"/>
  <c r="AD219" i="17"/>
  <c r="AC219" i="17"/>
  <c r="AB219" i="17"/>
  <c r="AA219" i="17"/>
  <c r="Z219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A219" i="17"/>
  <c r="AM218" i="17"/>
  <c r="AL218" i="17"/>
  <c r="AK218" i="17"/>
  <c r="AJ218" i="17"/>
  <c r="AI218" i="17"/>
  <c r="AH218" i="17"/>
  <c r="AG218" i="17"/>
  <c r="AF218" i="17"/>
  <c r="AE218" i="17"/>
  <c r="AD218" i="17"/>
  <c r="AC218" i="17"/>
  <c r="AB218" i="17"/>
  <c r="AA218" i="17"/>
  <c r="Z218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A218" i="17"/>
  <c r="AM217" i="17"/>
  <c r="AL217" i="17"/>
  <c r="AK217" i="17"/>
  <c r="AJ217" i="17"/>
  <c r="AI217" i="17"/>
  <c r="AH217" i="17"/>
  <c r="AG217" i="17"/>
  <c r="AF217" i="17"/>
  <c r="AE217" i="17"/>
  <c r="AD217" i="17"/>
  <c r="AC217" i="17"/>
  <c r="AB217" i="17"/>
  <c r="AA217" i="17"/>
  <c r="Z217" i="17"/>
  <c r="Y217" i="17"/>
  <c r="X217" i="17"/>
  <c r="W217" i="17"/>
  <c r="V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B217" i="17"/>
  <c r="A217" i="17"/>
  <c r="AM216" i="17"/>
  <c r="AL216" i="17"/>
  <c r="AK216" i="17"/>
  <c r="AJ216" i="17"/>
  <c r="AI216" i="17"/>
  <c r="AH216" i="17"/>
  <c r="AG216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216" i="17"/>
  <c r="AM215" i="17"/>
  <c r="AL215" i="17"/>
  <c r="AK215" i="17"/>
  <c r="AJ215" i="17"/>
  <c r="AI215" i="17"/>
  <c r="AH215" i="17"/>
  <c r="AG215" i="17"/>
  <c r="AF215" i="17"/>
  <c r="AE215" i="17"/>
  <c r="AD215" i="17"/>
  <c r="AC215" i="17"/>
  <c r="AB215" i="17"/>
  <c r="AA215" i="17"/>
  <c r="Z215" i="17"/>
  <c r="Y215" i="17"/>
  <c r="X215" i="17"/>
  <c r="W215" i="17"/>
  <c r="V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D215" i="17"/>
  <c r="C215" i="17"/>
  <c r="B215" i="17"/>
  <c r="A215" i="17"/>
  <c r="AM214" i="17"/>
  <c r="AL214" i="17"/>
  <c r="AK214" i="17"/>
  <c r="AJ214" i="17"/>
  <c r="AI214" i="17"/>
  <c r="AH214" i="17"/>
  <c r="AG214" i="17"/>
  <c r="AF214" i="17"/>
  <c r="AE214" i="17"/>
  <c r="AD214" i="17"/>
  <c r="AC214" i="17"/>
  <c r="AB214" i="17"/>
  <c r="AA214" i="17"/>
  <c r="Z214" i="17"/>
  <c r="Y214" i="17"/>
  <c r="X214" i="17"/>
  <c r="W214" i="17"/>
  <c r="V214" i="17"/>
  <c r="U214" i="17"/>
  <c r="T214" i="17"/>
  <c r="S214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F214" i="17"/>
  <c r="E214" i="17"/>
  <c r="D214" i="17"/>
  <c r="C214" i="17"/>
  <c r="B214" i="17"/>
  <c r="A214" i="17"/>
  <c r="AM213" i="17"/>
  <c r="AL213" i="17"/>
  <c r="AK213" i="17"/>
  <c r="AJ213" i="17"/>
  <c r="AI213" i="17"/>
  <c r="AH213" i="17"/>
  <c r="AG213" i="17"/>
  <c r="AF213" i="17"/>
  <c r="AE213" i="17"/>
  <c r="AD213" i="17"/>
  <c r="AC213" i="17"/>
  <c r="AB213" i="17"/>
  <c r="AA213" i="17"/>
  <c r="Z213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A213" i="17"/>
  <c r="AM212" i="17"/>
  <c r="AL212" i="17"/>
  <c r="AK212" i="17"/>
  <c r="AJ212" i="17"/>
  <c r="AI212" i="17"/>
  <c r="AH212" i="17"/>
  <c r="AG212" i="17"/>
  <c r="AF212" i="17"/>
  <c r="AE212" i="17"/>
  <c r="AD212" i="17"/>
  <c r="AC212" i="17"/>
  <c r="AB212" i="17"/>
  <c r="AA212" i="17"/>
  <c r="Z212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A212" i="17"/>
  <c r="AM211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A211" i="17"/>
  <c r="AM210" i="17"/>
  <c r="AL210" i="17"/>
  <c r="AK210" i="17"/>
  <c r="AJ210" i="17"/>
  <c r="AI210" i="17"/>
  <c r="AH210" i="17"/>
  <c r="AG210" i="17"/>
  <c r="AF210" i="17"/>
  <c r="AE210" i="17"/>
  <c r="AD210" i="17"/>
  <c r="AC210" i="17"/>
  <c r="AB210" i="17"/>
  <c r="AA210" i="17"/>
  <c r="Z210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A210" i="17"/>
  <c r="AM209" i="17"/>
  <c r="AL209" i="17"/>
  <c r="AK209" i="17"/>
  <c r="AJ209" i="17"/>
  <c r="AI209" i="17"/>
  <c r="AH209" i="17"/>
  <c r="AG209" i="17"/>
  <c r="AF209" i="17"/>
  <c r="AE209" i="17"/>
  <c r="AD209" i="17"/>
  <c r="AC209" i="17"/>
  <c r="AB209" i="17"/>
  <c r="AA209" i="17"/>
  <c r="Z209" i="17"/>
  <c r="Y209" i="17"/>
  <c r="X209" i="17"/>
  <c r="W209" i="17"/>
  <c r="V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C209" i="17"/>
  <c r="B209" i="17"/>
  <c r="A209" i="17"/>
  <c r="AM208" i="17"/>
  <c r="AL208" i="17"/>
  <c r="AK208" i="17"/>
  <c r="AJ208" i="17"/>
  <c r="AI208" i="17"/>
  <c r="AH208" i="17"/>
  <c r="AG208" i="17"/>
  <c r="AF208" i="17"/>
  <c r="AE208" i="17"/>
  <c r="AD208" i="17"/>
  <c r="AC208" i="17"/>
  <c r="AB208" i="17"/>
  <c r="AA208" i="17"/>
  <c r="Z208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A208" i="17"/>
  <c r="AM206" i="17"/>
  <c r="AL206" i="17"/>
  <c r="AK206" i="17"/>
  <c r="AJ206" i="17"/>
  <c r="AI206" i="17"/>
  <c r="AH206" i="17"/>
  <c r="AG206" i="17"/>
  <c r="AF206" i="17"/>
  <c r="AE206" i="17"/>
  <c r="AD206" i="17"/>
  <c r="AC206" i="17"/>
  <c r="AB206" i="17"/>
  <c r="AA206" i="17"/>
  <c r="Z206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A206" i="17"/>
  <c r="AM205" i="17"/>
  <c r="AL205" i="17"/>
  <c r="AK205" i="17"/>
  <c r="AJ205" i="17"/>
  <c r="AI205" i="17"/>
  <c r="AH205" i="17"/>
  <c r="AG205" i="17"/>
  <c r="AF205" i="17"/>
  <c r="AE205" i="17"/>
  <c r="AD205" i="17"/>
  <c r="AC205" i="17"/>
  <c r="AB205" i="17"/>
  <c r="AA205" i="17"/>
  <c r="Z205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A205" i="17"/>
  <c r="AM204" i="17"/>
  <c r="AL204" i="17"/>
  <c r="AK204" i="17"/>
  <c r="AJ204" i="17"/>
  <c r="AI204" i="17"/>
  <c r="AH204" i="17"/>
  <c r="AG204" i="17"/>
  <c r="AF204" i="17"/>
  <c r="AE204" i="17"/>
  <c r="AD204" i="17"/>
  <c r="AC204" i="17"/>
  <c r="AB204" i="17"/>
  <c r="AA204" i="17"/>
  <c r="Z204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A204" i="17"/>
  <c r="AM203" i="17"/>
  <c r="AL203" i="17"/>
  <c r="AK203" i="17"/>
  <c r="AJ203" i="17"/>
  <c r="AI203" i="17"/>
  <c r="AH203" i="17"/>
  <c r="AG203" i="17"/>
  <c r="AF203" i="17"/>
  <c r="AE203" i="17"/>
  <c r="AD203" i="17"/>
  <c r="AC203" i="17"/>
  <c r="AB203" i="17"/>
  <c r="AA203" i="17"/>
  <c r="Z203" i="17"/>
  <c r="Y203" i="17"/>
  <c r="X203" i="17"/>
  <c r="W203" i="17"/>
  <c r="V203" i="17"/>
  <c r="U203" i="17"/>
  <c r="T203" i="17"/>
  <c r="S203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C203" i="17"/>
  <c r="B203" i="17"/>
  <c r="A203" i="17"/>
  <c r="AM202" i="17"/>
  <c r="AL202" i="17"/>
  <c r="AK202" i="17"/>
  <c r="AJ202" i="17"/>
  <c r="AI202" i="17"/>
  <c r="AH202" i="17"/>
  <c r="AG202" i="17"/>
  <c r="AF202" i="17"/>
  <c r="AE202" i="17"/>
  <c r="AD202" i="17"/>
  <c r="AC202" i="17"/>
  <c r="AB202" i="17"/>
  <c r="AA202" i="17"/>
  <c r="Z202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A202" i="17"/>
  <c r="AM201" i="17"/>
  <c r="AL201" i="17"/>
  <c r="AK201" i="17"/>
  <c r="AJ201" i="17"/>
  <c r="AI201" i="17"/>
  <c r="AH201" i="17"/>
  <c r="AG201" i="17"/>
  <c r="AF201" i="17"/>
  <c r="AE201" i="17"/>
  <c r="AD201" i="17"/>
  <c r="AC201" i="17"/>
  <c r="AB201" i="17"/>
  <c r="AA201" i="17"/>
  <c r="Z201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A201" i="17"/>
  <c r="AM200" i="17"/>
  <c r="AL200" i="17"/>
  <c r="AK200" i="17"/>
  <c r="AJ200" i="17"/>
  <c r="AI200" i="17"/>
  <c r="AH200" i="17"/>
  <c r="AG200" i="17"/>
  <c r="AF200" i="17"/>
  <c r="AE200" i="17"/>
  <c r="AD200" i="17"/>
  <c r="AC200" i="17"/>
  <c r="AB200" i="17"/>
  <c r="AA200" i="17"/>
  <c r="Z200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A200" i="17"/>
  <c r="AM199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A199" i="17"/>
  <c r="AM198" i="17"/>
  <c r="AL198" i="17"/>
  <c r="AK198" i="17"/>
  <c r="AJ198" i="17"/>
  <c r="AI198" i="17"/>
  <c r="AH198" i="17"/>
  <c r="AG198" i="17"/>
  <c r="AF198" i="17"/>
  <c r="AE198" i="17"/>
  <c r="AD198" i="17"/>
  <c r="AC198" i="17"/>
  <c r="AB198" i="17"/>
  <c r="AA198" i="17"/>
  <c r="Z198" i="17"/>
  <c r="Y198" i="17"/>
  <c r="X198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A198" i="17"/>
  <c r="AM197" i="17"/>
  <c r="AL197" i="17"/>
  <c r="AK197" i="17"/>
  <c r="AJ197" i="17"/>
  <c r="AI197" i="17"/>
  <c r="AH197" i="17"/>
  <c r="AG197" i="17"/>
  <c r="AF197" i="17"/>
  <c r="AE197" i="17"/>
  <c r="AD197" i="17"/>
  <c r="AC197" i="17"/>
  <c r="AB197" i="17"/>
  <c r="AA197" i="17"/>
  <c r="Z197" i="17"/>
  <c r="Y197" i="17"/>
  <c r="X197" i="17"/>
  <c r="W197" i="17"/>
  <c r="V197" i="17"/>
  <c r="U197" i="17"/>
  <c r="T197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E197" i="17"/>
  <c r="D197" i="17"/>
  <c r="C197" i="17"/>
  <c r="B197" i="17"/>
  <c r="A197" i="17"/>
  <c r="AM196" i="17"/>
  <c r="AL196" i="17"/>
  <c r="AK196" i="17"/>
  <c r="AJ196" i="17"/>
  <c r="AI196" i="17"/>
  <c r="AH196" i="17"/>
  <c r="AG196" i="17"/>
  <c r="AF196" i="17"/>
  <c r="AE196" i="17"/>
  <c r="AD196" i="17"/>
  <c r="AC196" i="17"/>
  <c r="AB196" i="17"/>
  <c r="AA196" i="17"/>
  <c r="Z196" i="17"/>
  <c r="Y196" i="17"/>
  <c r="X196" i="17"/>
  <c r="W196" i="17"/>
  <c r="V196" i="17"/>
  <c r="U196" i="17"/>
  <c r="T196" i="17"/>
  <c r="S196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B196" i="17"/>
  <c r="A196" i="17"/>
  <c r="AM195" i="17"/>
  <c r="AL195" i="17"/>
  <c r="AK195" i="17"/>
  <c r="AJ195" i="17"/>
  <c r="AI195" i="17"/>
  <c r="AH195" i="17"/>
  <c r="AG195" i="17"/>
  <c r="AF195" i="17"/>
  <c r="AE195" i="17"/>
  <c r="AD195" i="17"/>
  <c r="AC195" i="17"/>
  <c r="AB195" i="17"/>
  <c r="AA195" i="17"/>
  <c r="Z195" i="17"/>
  <c r="Y195" i="17"/>
  <c r="X195" i="17"/>
  <c r="W195" i="17"/>
  <c r="V195" i="17"/>
  <c r="U195" i="17"/>
  <c r="T195" i="17"/>
  <c r="S195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B195" i="17"/>
  <c r="A195" i="17"/>
  <c r="AM194" i="17"/>
  <c r="AL194" i="17"/>
  <c r="AK194" i="17"/>
  <c r="AJ194" i="17"/>
  <c r="AI194" i="17"/>
  <c r="AH194" i="17"/>
  <c r="AG194" i="17"/>
  <c r="AF194" i="17"/>
  <c r="AE194" i="17"/>
  <c r="AD194" i="17"/>
  <c r="AC194" i="17"/>
  <c r="AB194" i="17"/>
  <c r="AA194" i="17"/>
  <c r="Z194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A194" i="17"/>
  <c r="AM193" i="17"/>
  <c r="AL193" i="17"/>
  <c r="AK193" i="17"/>
  <c r="AJ193" i="17"/>
  <c r="AI193" i="17"/>
  <c r="AH193" i="17"/>
  <c r="AG193" i="17"/>
  <c r="AF193" i="17"/>
  <c r="AE193" i="17"/>
  <c r="AD193" i="17"/>
  <c r="AC193" i="17"/>
  <c r="AB193" i="17"/>
  <c r="AA193" i="17"/>
  <c r="Z193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A193" i="17"/>
  <c r="AM192" i="17"/>
  <c r="AL192" i="17"/>
  <c r="AK192" i="17"/>
  <c r="AJ192" i="17"/>
  <c r="AI192" i="17"/>
  <c r="AH192" i="17"/>
  <c r="AG192" i="17"/>
  <c r="AF192" i="17"/>
  <c r="AE192" i="17"/>
  <c r="AD192" i="17"/>
  <c r="AC192" i="17"/>
  <c r="AB192" i="17"/>
  <c r="AA192" i="17"/>
  <c r="Z192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A192" i="17"/>
  <c r="AM191" i="17"/>
  <c r="AL191" i="17"/>
  <c r="AK191" i="17"/>
  <c r="AJ191" i="17"/>
  <c r="AI191" i="17"/>
  <c r="AH191" i="17"/>
  <c r="AG191" i="17"/>
  <c r="AF191" i="17"/>
  <c r="AE191" i="17"/>
  <c r="AD191" i="17"/>
  <c r="AC191" i="17"/>
  <c r="AB191" i="17"/>
  <c r="AA191" i="17"/>
  <c r="Z191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A191" i="17"/>
  <c r="AM190" i="17"/>
  <c r="AL190" i="17"/>
  <c r="AK190" i="17"/>
  <c r="AJ190" i="17"/>
  <c r="AI190" i="17"/>
  <c r="AH190" i="17"/>
  <c r="AG190" i="17"/>
  <c r="AF190" i="17"/>
  <c r="AE190" i="17"/>
  <c r="AD190" i="17"/>
  <c r="AC190" i="17"/>
  <c r="AB190" i="17"/>
  <c r="AA190" i="17"/>
  <c r="Z190" i="17"/>
  <c r="Y190" i="17"/>
  <c r="X190" i="17"/>
  <c r="W190" i="17"/>
  <c r="V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B190" i="17"/>
  <c r="A190" i="17"/>
  <c r="AM189" i="17"/>
  <c r="AL189" i="17"/>
  <c r="AK189" i="17"/>
  <c r="AJ189" i="17"/>
  <c r="AI189" i="17"/>
  <c r="AH189" i="17"/>
  <c r="AG189" i="17"/>
  <c r="AF189" i="17"/>
  <c r="AE189" i="17"/>
  <c r="AD189" i="17"/>
  <c r="AC189" i="17"/>
  <c r="AB189" i="17"/>
  <c r="AA189" i="17"/>
  <c r="Z189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A189" i="17"/>
  <c r="AM188" i="17"/>
  <c r="AL188" i="17"/>
  <c r="AK188" i="17"/>
  <c r="AJ188" i="17"/>
  <c r="AI188" i="17"/>
  <c r="AH188" i="17"/>
  <c r="AG188" i="17"/>
  <c r="AF188" i="17"/>
  <c r="AE188" i="17"/>
  <c r="AD188" i="17"/>
  <c r="AC188" i="17"/>
  <c r="AB188" i="17"/>
  <c r="AA188" i="17"/>
  <c r="Z188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A188" i="17"/>
  <c r="AM187" i="17"/>
  <c r="AL187" i="17"/>
  <c r="AK187" i="17"/>
  <c r="AJ187" i="17"/>
  <c r="AI187" i="17"/>
  <c r="AH187" i="17"/>
  <c r="AG187" i="17"/>
  <c r="AF187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A187" i="17"/>
  <c r="AM186" i="17"/>
  <c r="AL186" i="17"/>
  <c r="AK186" i="17"/>
  <c r="AJ186" i="17"/>
  <c r="AI186" i="17"/>
  <c r="AH186" i="17"/>
  <c r="AG186" i="17"/>
  <c r="AF186" i="17"/>
  <c r="AE186" i="17"/>
  <c r="AD186" i="17"/>
  <c r="AC186" i="17"/>
  <c r="AB186" i="17"/>
  <c r="AA186" i="17"/>
  <c r="Z186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A186" i="17"/>
  <c r="AM185" i="17"/>
  <c r="AL185" i="17"/>
  <c r="AK185" i="17"/>
  <c r="AJ185" i="17"/>
  <c r="AI185" i="17"/>
  <c r="AH185" i="17"/>
  <c r="AG185" i="17"/>
  <c r="AF185" i="17"/>
  <c r="AE185" i="17"/>
  <c r="AD185" i="17"/>
  <c r="AC185" i="17"/>
  <c r="AB185" i="17"/>
  <c r="AA185" i="17"/>
  <c r="Z185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A185" i="17"/>
  <c r="AM184" i="17"/>
  <c r="AL184" i="17"/>
  <c r="AK184" i="17"/>
  <c r="AJ184" i="17"/>
  <c r="AI184" i="17"/>
  <c r="AH184" i="17"/>
  <c r="AG184" i="17"/>
  <c r="AF184" i="17"/>
  <c r="AE184" i="17"/>
  <c r="AD184" i="17"/>
  <c r="AC184" i="17"/>
  <c r="AB184" i="17"/>
  <c r="AA184" i="17"/>
  <c r="Z184" i="17"/>
  <c r="Y184" i="17"/>
  <c r="X184" i="17"/>
  <c r="W184" i="17"/>
  <c r="V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B184" i="17"/>
  <c r="A184" i="17"/>
  <c r="AM183" i="17"/>
  <c r="AL183" i="17"/>
  <c r="AK183" i="17"/>
  <c r="AJ183" i="17"/>
  <c r="AI183" i="17"/>
  <c r="AH183" i="17"/>
  <c r="AG183" i="17"/>
  <c r="AF183" i="17"/>
  <c r="AE183" i="17"/>
  <c r="AD183" i="17"/>
  <c r="AC183" i="17"/>
  <c r="AB183" i="17"/>
  <c r="AA183" i="17"/>
  <c r="Z183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A183" i="17"/>
  <c r="AM182" i="17"/>
  <c r="AL182" i="17"/>
  <c r="AK182" i="17"/>
  <c r="AJ182" i="17"/>
  <c r="AI182" i="17"/>
  <c r="AH182" i="17"/>
  <c r="AG182" i="17"/>
  <c r="AF182" i="17"/>
  <c r="AE182" i="17"/>
  <c r="AD182" i="17"/>
  <c r="AC182" i="17"/>
  <c r="AB182" i="17"/>
  <c r="AA182" i="17"/>
  <c r="Z182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A182" i="17"/>
  <c r="AM181" i="17"/>
  <c r="AL181" i="17"/>
  <c r="AK181" i="17"/>
  <c r="AJ181" i="17"/>
  <c r="AI181" i="17"/>
  <c r="AH181" i="17"/>
  <c r="AG181" i="17"/>
  <c r="AF181" i="17"/>
  <c r="AE181" i="17"/>
  <c r="AD181" i="17"/>
  <c r="AC181" i="17"/>
  <c r="AB181" i="17"/>
  <c r="AA181" i="17"/>
  <c r="Z181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A181" i="17"/>
  <c r="AM180" i="17"/>
  <c r="AL180" i="17"/>
  <c r="AK180" i="17"/>
  <c r="AJ180" i="17"/>
  <c r="AI180" i="17"/>
  <c r="AH180" i="17"/>
  <c r="AG180" i="17"/>
  <c r="AF180" i="17"/>
  <c r="AE180" i="17"/>
  <c r="AD180" i="17"/>
  <c r="AC180" i="17"/>
  <c r="AB180" i="17"/>
  <c r="AA180" i="17"/>
  <c r="Z180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A180" i="17"/>
  <c r="AM179" i="17"/>
  <c r="AL179" i="17"/>
  <c r="AK179" i="17"/>
  <c r="AJ179" i="17"/>
  <c r="AI179" i="17"/>
  <c r="AH179" i="17"/>
  <c r="AG179" i="17"/>
  <c r="AF179" i="17"/>
  <c r="AE179" i="17"/>
  <c r="AD179" i="17"/>
  <c r="AC179" i="17"/>
  <c r="AB179" i="17"/>
  <c r="AA179" i="17"/>
  <c r="Z179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A179" i="17"/>
  <c r="AM178" i="17"/>
  <c r="AL178" i="17"/>
  <c r="AK178" i="17"/>
  <c r="AJ178" i="17"/>
  <c r="AI178" i="17"/>
  <c r="AH178" i="17"/>
  <c r="AG178" i="17"/>
  <c r="AF178" i="17"/>
  <c r="AE178" i="17"/>
  <c r="AD178" i="17"/>
  <c r="AC178" i="17"/>
  <c r="AB178" i="17"/>
  <c r="AA178" i="17"/>
  <c r="Z178" i="17"/>
  <c r="Y178" i="17"/>
  <c r="X178" i="17"/>
  <c r="W178" i="17"/>
  <c r="V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B178" i="17"/>
  <c r="A178" i="17"/>
  <c r="AM177" i="17"/>
  <c r="AL177" i="17"/>
  <c r="AK177" i="17"/>
  <c r="AJ177" i="17"/>
  <c r="AI177" i="17"/>
  <c r="AH177" i="17"/>
  <c r="AG177" i="17"/>
  <c r="AF177" i="17"/>
  <c r="AE177" i="17"/>
  <c r="AD177" i="17"/>
  <c r="AC177" i="17"/>
  <c r="AB177" i="17"/>
  <c r="AA177" i="17"/>
  <c r="Z177" i="17"/>
  <c r="Y177" i="17"/>
  <c r="X177" i="17"/>
  <c r="W177" i="17"/>
  <c r="V177" i="17"/>
  <c r="U177" i="17"/>
  <c r="T177" i="17"/>
  <c r="S177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B177" i="17"/>
  <c r="A177" i="17"/>
  <c r="AM176" i="17"/>
  <c r="AL176" i="17"/>
  <c r="AK176" i="17"/>
  <c r="AJ176" i="17"/>
  <c r="AI176" i="17"/>
  <c r="AH176" i="17"/>
  <c r="AG176" i="17"/>
  <c r="AF176" i="17"/>
  <c r="AE176" i="17"/>
  <c r="AD176" i="17"/>
  <c r="AC176" i="17"/>
  <c r="AB176" i="17"/>
  <c r="AA176" i="17"/>
  <c r="Z176" i="17"/>
  <c r="Y176" i="17"/>
  <c r="X176" i="17"/>
  <c r="W176" i="17"/>
  <c r="V176" i="17"/>
  <c r="U176" i="17"/>
  <c r="T176" i="17"/>
  <c r="S176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D176" i="17"/>
  <c r="C176" i="17"/>
  <c r="B176" i="17"/>
  <c r="A176" i="17"/>
  <c r="AM175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A175" i="17"/>
  <c r="AM174" i="17"/>
  <c r="AL174" i="17"/>
  <c r="AK174" i="17"/>
  <c r="AJ174" i="17"/>
  <c r="AI174" i="17"/>
  <c r="AH174" i="17"/>
  <c r="AG174" i="17"/>
  <c r="AF174" i="17"/>
  <c r="AE174" i="17"/>
  <c r="AD174" i="17"/>
  <c r="AC174" i="17"/>
  <c r="AB174" i="17"/>
  <c r="AA174" i="17"/>
  <c r="Z174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A174" i="17"/>
  <c r="AM173" i="17"/>
  <c r="AL173" i="17"/>
  <c r="AK173" i="17"/>
  <c r="AJ173" i="17"/>
  <c r="AI173" i="17"/>
  <c r="AH173" i="17"/>
  <c r="AG173" i="17"/>
  <c r="AF173" i="17"/>
  <c r="AE173" i="17"/>
  <c r="AD173" i="17"/>
  <c r="AC173" i="17"/>
  <c r="AB173" i="17"/>
  <c r="AA173" i="17"/>
  <c r="Z173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A173" i="17"/>
  <c r="AM172" i="17"/>
  <c r="AL172" i="17"/>
  <c r="AK172" i="17"/>
  <c r="AJ172" i="17"/>
  <c r="AI172" i="17"/>
  <c r="AH172" i="17"/>
  <c r="AG172" i="17"/>
  <c r="AF172" i="17"/>
  <c r="AE172" i="17"/>
  <c r="AD172" i="17"/>
  <c r="AC172" i="17"/>
  <c r="AB172" i="17"/>
  <c r="AA172" i="17"/>
  <c r="Z172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A172" i="17"/>
  <c r="AM171" i="17"/>
  <c r="AL171" i="17"/>
  <c r="AK171" i="17"/>
  <c r="AJ171" i="17"/>
  <c r="AI171" i="17"/>
  <c r="AH171" i="17"/>
  <c r="AG171" i="17"/>
  <c r="AF171" i="17"/>
  <c r="AE171" i="17"/>
  <c r="AD171" i="17"/>
  <c r="AC171" i="17"/>
  <c r="AB171" i="17"/>
  <c r="AA171" i="17"/>
  <c r="Z171" i="17"/>
  <c r="Y171" i="17"/>
  <c r="X171" i="17"/>
  <c r="W171" i="17"/>
  <c r="V171" i="17"/>
  <c r="U171" i="17"/>
  <c r="T171" i="17"/>
  <c r="S171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B171" i="17"/>
  <c r="A171" i="17"/>
  <c r="AM170" i="17"/>
  <c r="AL170" i="17"/>
  <c r="AK170" i="17"/>
  <c r="AJ170" i="17"/>
  <c r="AI170" i="17"/>
  <c r="AH170" i="17"/>
  <c r="AG170" i="17"/>
  <c r="AF170" i="17"/>
  <c r="AE170" i="17"/>
  <c r="AD170" i="17"/>
  <c r="AC170" i="17"/>
  <c r="AB170" i="17"/>
  <c r="AA170" i="17"/>
  <c r="Z170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A170" i="17"/>
  <c r="AM169" i="17"/>
  <c r="AL169" i="17"/>
  <c r="AK169" i="17"/>
  <c r="AJ169" i="17"/>
  <c r="AI169" i="17"/>
  <c r="AH169" i="17"/>
  <c r="AG169" i="17"/>
  <c r="AF169" i="17"/>
  <c r="AE169" i="17"/>
  <c r="AD169" i="17"/>
  <c r="AC169" i="17"/>
  <c r="AB169" i="17"/>
  <c r="AA169" i="17"/>
  <c r="Z169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A169" i="17"/>
  <c r="AM168" i="17"/>
  <c r="AL168" i="17"/>
  <c r="AK168" i="17"/>
  <c r="AJ168" i="17"/>
  <c r="AI168" i="17"/>
  <c r="AH168" i="17"/>
  <c r="AG168" i="17"/>
  <c r="AF168" i="17"/>
  <c r="AE168" i="17"/>
  <c r="AD168" i="17"/>
  <c r="AC168" i="17"/>
  <c r="AB168" i="17"/>
  <c r="AA168" i="17"/>
  <c r="Z168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A168" i="17"/>
  <c r="AM167" i="17"/>
  <c r="AL167" i="17"/>
  <c r="AK167" i="17"/>
  <c r="AJ167" i="17"/>
  <c r="AI167" i="17"/>
  <c r="AH167" i="17"/>
  <c r="AG167" i="17"/>
  <c r="AF167" i="17"/>
  <c r="AE167" i="17"/>
  <c r="AD167" i="17"/>
  <c r="AC167" i="17"/>
  <c r="AB167" i="17"/>
  <c r="AA167" i="17"/>
  <c r="Z167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A167" i="17"/>
  <c r="AM166" i="17"/>
  <c r="AL166" i="17"/>
  <c r="AK166" i="17"/>
  <c r="AJ166" i="17"/>
  <c r="AI166" i="17"/>
  <c r="AH166" i="17"/>
  <c r="AG166" i="17"/>
  <c r="AF166" i="17"/>
  <c r="AE166" i="17"/>
  <c r="AD166" i="17"/>
  <c r="AC166" i="17"/>
  <c r="AB166" i="17"/>
  <c r="AA166" i="17"/>
  <c r="Z166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A166" i="17"/>
  <c r="AM165" i="17"/>
  <c r="AL165" i="17"/>
  <c r="AK165" i="17"/>
  <c r="AJ165" i="17"/>
  <c r="AI165" i="17"/>
  <c r="AH165" i="17"/>
  <c r="AG165" i="17"/>
  <c r="AF165" i="17"/>
  <c r="AE165" i="17"/>
  <c r="AD165" i="17"/>
  <c r="AC165" i="17"/>
  <c r="AB165" i="17"/>
  <c r="AA165" i="17"/>
  <c r="Z165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A165" i="17"/>
  <c r="AM164" i="17"/>
  <c r="AL164" i="17"/>
  <c r="AK164" i="17"/>
  <c r="AJ164" i="17"/>
  <c r="AI164" i="17"/>
  <c r="AH164" i="17"/>
  <c r="AG164" i="17"/>
  <c r="AF164" i="17"/>
  <c r="AE164" i="17"/>
  <c r="AD164" i="17"/>
  <c r="AC164" i="17"/>
  <c r="AB164" i="17"/>
  <c r="AA164" i="17"/>
  <c r="Z164" i="17"/>
  <c r="Y164" i="17"/>
  <c r="X164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A164" i="17"/>
  <c r="AM163" i="17"/>
  <c r="AL163" i="17"/>
  <c r="AK163" i="17"/>
  <c r="AJ163" i="17"/>
  <c r="AI163" i="17"/>
  <c r="AH163" i="17"/>
  <c r="AG163" i="17"/>
  <c r="AF163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A163" i="17"/>
  <c r="AM162" i="17"/>
  <c r="AL162" i="17"/>
  <c r="AK162" i="17"/>
  <c r="AJ162" i="17"/>
  <c r="AI162" i="17"/>
  <c r="AH162" i="17"/>
  <c r="AG162" i="17"/>
  <c r="AF162" i="17"/>
  <c r="AE162" i="17"/>
  <c r="AD162" i="17"/>
  <c r="AC162" i="17"/>
  <c r="AB162" i="17"/>
  <c r="AA162" i="17"/>
  <c r="Z162" i="17"/>
  <c r="Y162" i="17"/>
  <c r="X162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A162" i="17"/>
  <c r="AM161" i="17"/>
  <c r="AL161" i="17"/>
  <c r="AK161" i="17"/>
  <c r="AJ161" i="17"/>
  <c r="AI161" i="17"/>
  <c r="AH161" i="17"/>
  <c r="AG161" i="17"/>
  <c r="AF161" i="17"/>
  <c r="AE161" i="17"/>
  <c r="AD161" i="17"/>
  <c r="AC161" i="17"/>
  <c r="AB161" i="17"/>
  <c r="AA161" i="17"/>
  <c r="Z161" i="17"/>
  <c r="Y161" i="17"/>
  <c r="X161" i="17"/>
  <c r="W161" i="17"/>
  <c r="V161" i="17"/>
  <c r="U161" i="17"/>
  <c r="T161" i="17"/>
  <c r="S161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B161" i="17"/>
  <c r="A161" i="17"/>
  <c r="AM160" i="17"/>
  <c r="AL160" i="17"/>
  <c r="AK160" i="17"/>
  <c r="AJ160" i="17"/>
  <c r="AI160" i="17"/>
  <c r="AH160" i="17"/>
  <c r="AG160" i="17"/>
  <c r="AF160" i="17"/>
  <c r="AE160" i="17"/>
  <c r="AD160" i="17"/>
  <c r="AC160" i="17"/>
  <c r="AB160" i="17"/>
  <c r="AA160" i="17"/>
  <c r="Z160" i="17"/>
  <c r="Y160" i="17"/>
  <c r="X160" i="17"/>
  <c r="W160" i="17"/>
  <c r="V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B160" i="17"/>
  <c r="A160" i="17"/>
  <c r="AM159" i="17"/>
  <c r="AL159" i="17"/>
  <c r="AK159" i="17"/>
  <c r="AJ159" i="17"/>
  <c r="AI159" i="17"/>
  <c r="AH159" i="17"/>
  <c r="AG159" i="17"/>
  <c r="AF159" i="17"/>
  <c r="AE159" i="17"/>
  <c r="AD159" i="17"/>
  <c r="AC159" i="17"/>
  <c r="AB159" i="17"/>
  <c r="AA159" i="17"/>
  <c r="Z159" i="17"/>
  <c r="Y159" i="17"/>
  <c r="X159" i="17"/>
  <c r="W159" i="17"/>
  <c r="V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B159" i="17"/>
  <c r="A159" i="17"/>
  <c r="AM158" i="17"/>
  <c r="AL158" i="17"/>
  <c r="AK158" i="17"/>
  <c r="AJ158" i="17"/>
  <c r="AI158" i="17"/>
  <c r="AH158" i="17"/>
  <c r="AG158" i="17"/>
  <c r="AF158" i="17"/>
  <c r="AE158" i="17"/>
  <c r="AD158" i="17"/>
  <c r="AC158" i="17"/>
  <c r="AB158" i="17"/>
  <c r="AA158" i="17"/>
  <c r="Z158" i="17"/>
  <c r="Y158" i="17"/>
  <c r="X158" i="17"/>
  <c r="W158" i="17"/>
  <c r="V158" i="17"/>
  <c r="U158" i="17"/>
  <c r="T158" i="17"/>
  <c r="S158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F158" i="17"/>
  <c r="E158" i="17"/>
  <c r="D158" i="17"/>
  <c r="C158" i="17"/>
  <c r="B158" i="17"/>
  <c r="A158" i="17"/>
  <c r="AM156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A156" i="17"/>
  <c r="Z156" i="17"/>
  <c r="Y156" i="17"/>
  <c r="X156" i="17"/>
  <c r="W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B156" i="17"/>
  <c r="A156" i="17"/>
  <c r="AM155" i="17"/>
  <c r="AL155" i="17"/>
  <c r="AK155" i="17"/>
  <c r="AJ155" i="17"/>
  <c r="AI155" i="17"/>
  <c r="AH155" i="17"/>
  <c r="AG155" i="17"/>
  <c r="AF155" i="17"/>
  <c r="AE155" i="17"/>
  <c r="AD155" i="17"/>
  <c r="AC155" i="17"/>
  <c r="AB155" i="17"/>
  <c r="AA155" i="17"/>
  <c r="Z155" i="17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A155" i="17"/>
  <c r="AM154" i="17"/>
  <c r="AL154" i="17"/>
  <c r="AK154" i="17"/>
  <c r="AJ154" i="17"/>
  <c r="AI154" i="17"/>
  <c r="AH154" i="17"/>
  <c r="AG154" i="17"/>
  <c r="AF154" i="17"/>
  <c r="AE154" i="17"/>
  <c r="AD154" i="17"/>
  <c r="AC154" i="17"/>
  <c r="AB154" i="17"/>
  <c r="AA154" i="17"/>
  <c r="Z154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A154" i="17"/>
  <c r="AM153" i="17"/>
  <c r="AL153" i="17"/>
  <c r="AK153" i="17"/>
  <c r="AJ153" i="17"/>
  <c r="AI153" i="17"/>
  <c r="AH153" i="17"/>
  <c r="AG153" i="17"/>
  <c r="AF153" i="17"/>
  <c r="AE153" i="17"/>
  <c r="AD153" i="17"/>
  <c r="AC153" i="17"/>
  <c r="AB153" i="17"/>
  <c r="AA153" i="17"/>
  <c r="Z153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A153" i="17"/>
  <c r="AM152" i="17"/>
  <c r="AL152" i="17"/>
  <c r="AK152" i="17"/>
  <c r="AJ152" i="17"/>
  <c r="AI152" i="17"/>
  <c r="AH152" i="17"/>
  <c r="AG152" i="17"/>
  <c r="AF152" i="17"/>
  <c r="AE152" i="17"/>
  <c r="AD152" i="17"/>
  <c r="AC152" i="17"/>
  <c r="AB152" i="17"/>
  <c r="AA152" i="17"/>
  <c r="Z152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A152" i="17"/>
  <c r="AM151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A151" i="17"/>
  <c r="AM150" i="17"/>
  <c r="AL150" i="17"/>
  <c r="AK150" i="17"/>
  <c r="AJ150" i="17"/>
  <c r="AI150" i="17"/>
  <c r="AH150" i="17"/>
  <c r="AG150" i="17"/>
  <c r="AF150" i="17"/>
  <c r="AE150" i="17"/>
  <c r="AD150" i="17"/>
  <c r="AC150" i="17"/>
  <c r="AB150" i="17"/>
  <c r="AA150" i="17"/>
  <c r="Z150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A150" i="17"/>
  <c r="AM149" i="17"/>
  <c r="AL149" i="17"/>
  <c r="AK149" i="17"/>
  <c r="AJ149" i="17"/>
  <c r="AI149" i="17"/>
  <c r="AH149" i="17"/>
  <c r="AG149" i="17"/>
  <c r="AF149" i="17"/>
  <c r="AE149" i="17"/>
  <c r="AD149" i="17"/>
  <c r="AC149" i="17"/>
  <c r="AB149" i="17"/>
  <c r="AA149" i="17"/>
  <c r="Z149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A149" i="17"/>
  <c r="AM148" i="17"/>
  <c r="AL148" i="17"/>
  <c r="AK148" i="17"/>
  <c r="AJ148" i="17"/>
  <c r="AI148" i="17"/>
  <c r="AH148" i="17"/>
  <c r="AG148" i="17"/>
  <c r="AF148" i="17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A148" i="17"/>
  <c r="AM147" i="17"/>
  <c r="AL147" i="17"/>
  <c r="AK147" i="17"/>
  <c r="AJ147" i="17"/>
  <c r="AI147" i="17"/>
  <c r="AH147" i="17"/>
  <c r="AG147" i="17"/>
  <c r="AF147" i="17"/>
  <c r="AE147" i="17"/>
  <c r="AD147" i="17"/>
  <c r="AC147" i="17"/>
  <c r="AB147" i="17"/>
  <c r="AA147" i="17"/>
  <c r="Z147" i="17"/>
  <c r="Y147" i="17"/>
  <c r="X147" i="17"/>
  <c r="W147" i="17"/>
  <c r="V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B147" i="17"/>
  <c r="A147" i="17"/>
  <c r="AM146" i="17"/>
  <c r="AL146" i="17"/>
  <c r="AK146" i="17"/>
  <c r="AJ146" i="17"/>
  <c r="AI146" i="17"/>
  <c r="AH146" i="17"/>
  <c r="AG146" i="17"/>
  <c r="AF146" i="17"/>
  <c r="AE146" i="17"/>
  <c r="AD146" i="17"/>
  <c r="AC146" i="17"/>
  <c r="AB146" i="17"/>
  <c r="AA146" i="17"/>
  <c r="Z146" i="17"/>
  <c r="Y146" i="17"/>
  <c r="X146" i="17"/>
  <c r="W146" i="17"/>
  <c r="V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B146" i="17"/>
  <c r="A146" i="17"/>
  <c r="AM145" i="17"/>
  <c r="AL145" i="17"/>
  <c r="AK145" i="17"/>
  <c r="AJ145" i="17"/>
  <c r="AI145" i="17"/>
  <c r="AH145" i="17"/>
  <c r="AG145" i="17"/>
  <c r="AF145" i="17"/>
  <c r="AE145" i="17"/>
  <c r="AD145" i="17"/>
  <c r="AC145" i="17"/>
  <c r="AB145" i="17"/>
  <c r="AA145" i="17"/>
  <c r="Z145" i="17"/>
  <c r="Y145" i="17"/>
  <c r="X145" i="17"/>
  <c r="W145" i="17"/>
  <c r="V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B145" i="17"/>
  <c r="A145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A144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A143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A142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A141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A140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A139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A138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A137" i="17"/>
  <c r="AM136" i="17"/>
  <c r="AL136" i="17"/>
  <c r="AK136" i="17"/>
  <c r="AJ136" i="17"/>
  <c r="AI136" i="17"/>
  <c r="AH136" i="17"/>
  <c r="AG136" i="17"/>
  <c r="AF136" i="17"/>
  <c r="AE136" i="17"/>
  <c r="AD136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A136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B135" i="17"/>
  <c r="A135" i="17"/>
  <c r="AM134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A134" i="17"/>
  <c r="Z134" i="17"/>
  <c r="Y134" i="17"/>
  <c r="X134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B134" i="17"/>
  <c r="A134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A133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A132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A131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A130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A129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A128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A127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A126" i="17"/>
  <c r="AM125" i="17"/>
  <c r="AL125" i="17"/>
  <c r="AK125" i="17"/>
  <c r="AJ125" i="17"/>
  <c r="AI125" i="17"/>
  <c r="AH125" i="17"/>
  <c r="AG125" i="17"/>
  <c r="AF125" i="17"/>
  <c r="AE125" i="17"/>
  <c r="AD125" i="17"/>
  <c r="AC125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B125" i="17"/>
  <c r="A125" i="17"/>
  <c r="AM124" i="17"/>
  <c r="AL124" i="17"/>
  <c r="AK124" i="17"/>
  <c r="AJ124" i="17"/>
  <c r="AI124" i="17"/>
  <c r="AH124" i="17"/>
  <c r="AG124" i="17"/>
  <c r="AF124" i="17"/>
  <c r="AE124" i="17"/>
  <c r="AD124" i="17"/>
  <c r="AC124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B124" i="17"/>
  <c r="A124" i="17"/>
  <c r="AM123" i="17"/>
  <c r="AL123" i="17"/>
  <c r="AK123" i="17"/>
  <c r="AJ123" i="17"/>
  <c r="AI123" i="17"/>
  <c r="AH123" i="17"/>
  <c r="AG123" i="17"/>
  <c r="AF123" i="17"/>
  <c r="AE123" i="17"/>
  <c r="AD123" i="17"/>
  <c r="AC123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B123" i="17"/>
  <c r="A123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A122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A121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A120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A119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A118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A117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A116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A115" i="17"/>
  <c r="AM114" i="17"/>
  <c r="AL114" i="17"/>
  <c r="AK114" i="17"/>
  <c r="AJ114" i="17"/>
  <c r="AI114" i="17"/>
  <c r="AH114" i="17"/>
  <c r="AG114" i="17"/>
  <c r="AF114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A114" i="17"/>
  <c r="AM113" i="17"/>
  <c r="AL113" i="17"/>
  <c r="AK113" i="17"/>
  <c r="AJ113" i="17"/>
  <c r="AI113" i="17"/>
  <c r="AH113" i="17"/>
  <c r="AG113" i="17"/>
  <c r="AF113" i="17"/>
  <c r="AE113" i="17"/>
  <c r="AD113" i="17"/>
  <c r="AC113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B113" i="17"/>
  <c r="A113" i="17"/>
  <c r="AM112" i="17"/>
  <c r="AL112" i="17"/>
  <c r="AK112" i="17"/>
  <c r="AJ112" i="17"/>
  <c r="AI112" i="17"/>
  <c r="AH112" i="17"/>
  <c r="AG112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B112" i="17"/>
  <c r="A112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A111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A110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A109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A108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A106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A105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A104" i="17"/>
  <c r="AM103" i="17"/>
  <c r="AL103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B103" i="17"/>
  <c r="A103" i="17"/>
  <c r="AM102" i="17"/>
  <c r="AL102" i="17"/>
  <c r="AK102" i="17"/>
  <c r="AJ102" i="17"/>
  <c r="AI102" i="17"/>
  <c r="AH102" i="17"/>
  <c r="AG102" i="17"/>
  <c r="AF102" i="17"/>
  <c r="AE102" i="17"/>
  <c r="AD102" i="17"/>
  <c r="AC102" i="17"/>
  <c r="AB102" i="17"/>
  <c r="AA102" i="17"/>
  <c r="Z102" i="17"/>
  <c r="Y102" i="17"/>
  <c r="X102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A102" i="17"/>
  <c r="AM101" i="17"/>
  <c r="AL101" i="17"/>
  <c r="AK101" i="17"/>
  <c r="AJ101" i="17"/>
  <c r="AI101" i="17"/>
  <c r="AH101" i="17"/>
  <c r="AG101" i="17"/>
  <c r="AF101" i="17"/>
  <c r="AE101" i="17"/>
  <c r="AD101" i="17"/>
  <c r="AC101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B101" i="17"/>
  <c r="A101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A100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A99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A98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A97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A96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A95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A94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AM92" i="17"/>
  <c r="AL92" i="17"/>
  <c r="AK92" i="17"/>
  <c r="AJ92" i="17"/>
  <c r="AI92" i="17"/>
  <c r="AH92" i="17"/>
  <c r="AG92" i="17"/>
  <c r="AF92" i="17"/>
  <c r="AE92" i="17"/>
  <c r="AD92" i="17"/>
  <c r="AC92" i="17"/>
  <c r="AB92" i="17"/>
  <c r="AA92" i="17"/>
  <c r="Z92" i="17"/>
  <c r="Y92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AM91" i="17"/>
  <c r="AL91" i="17"/>
  <c r="AK91" i="17"/>
  <c r="AJ91" i="17"/>
  <c r="AI91" i="17"/>
  <c r="AH91" i="17"/>
  <c r="AG91" i="17"/>
  <c r="AF91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AM90" i="17"/>
  <c r="AL90" i="17"/>
  <c r="AK90" i="17"/>
  <c r="AJ90" i="17"/>
  <c r="AI90" i="17"/>
  <c r="AH90" i="17"/>
  <c r="AG90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AM81" i="17"/>
  <c r="AL81" i="17"/>
  <c r="AK81" i="17"/>
  <c r="AJ81" i="17"/>
  <c r="AI81" i="17"/>
  <c r="AH81" i="17"/>
  <c r="AG81" i="17"/>
  <c r="AF81" i="17"/>
  <c r="AE81" i="17"/>
  <c r="AD81" i="17"/>
  <c r="AC81" i="17"/>
  <c r="AB81" i="17"/>
  <c r="AA81" i="17"/>
  <c r="Z81" i="17"/>
  <c r="Y81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AM70" i="17"/>
  <c r="AL70" i="17"/>
  <c r="AK70" i="17"/>
  <c r="AJ70" i="17"/>
  <c r="AI70" i="17"/>
  <c r="AH70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AM69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AM68" i="17"/>
  <c r="AL68" i="17"/>
  <c r="AK68" i="17"/>
  <c r="AJ68" i="17"/>
  <c r="AI68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AM67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AM66" i="17"/>
  <c r="AL66" i="17"/>
  <c r="AK66" i="17"/>
  <c r="AJ66" i="17"/>
  <c r="AI66" i="17"/>
  <c r="AH66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AM65" i="17"/>
  <c r="AL65" i="17"/>
  <c r="AK65" i="17"/>
  <c r="AJ65" i="17"/>
  <c r="AI65" i="17"/>
  <c r="AH65" i="17"/>
  <c r="AG65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AM59" i="17"/>
  <c r="AL59" i="17"/>
  <c r="AK59" i="17"/>
  <c r="AJ59" i="17"/>
  <c r="AI59" i="17"/>
  <c r="AH59" i="17"/>
  <c r="AG59" i="17"/>
  <c r="AF59" i="17"/>
  <c r="AE59" i="17"/>
  <c r="AD59" i="17"/>
  <c r="AC59" i="17"/>
  <c r="AB59" i="17"/>
  <c r="AA59" i="17"/>
  <c r="Z59" i="17"/>
  <c r="Y59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AM58" i="17"/>
  <c r="AL58" i="17"/>
  <c r="AK58" i="17"/>
  <c r="AJ58" i="17"/>
  <c r="AI58" i="17"/>
  <c r="AH58" i="17"/>
  <c r="AG58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AM48" i="17"/>
  <c r="AL48" i="17"/>
  <c r="AK48" i="17"/>
  <c r="AJ48" i="17"/>
  <c r="AI48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AM47" i="17"/>
  <c r="AL47" i="17"/>
  <c r="AK47" i="17"/>
  <c r="AJ47" i="17"/>
  <c r="AI47" i="17"/>
  <c r="AH47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AM46" i="17"/>
  <c r="AL46" i="17"/>
  <c r="AK46" i="17"/>
  <c r="AJ46" i="17"/>
  <c r="AI46" i="17"/>
  <c r="AH46" i="17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AM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<sst xmlns="http://schemas.openxmlformats.org/spreadsheetml/2006/main" count="1381" uniqueCount="203">
  <si>
    <t xml:space="preserve">  esm(R)  |  Workflow Data Collection Template</t>
  </si>
  <si>
    <t xml:space="preserve">  Complete the tabs below so ESM Solutions can configure your approval workflows.</t>
  </si>
  <si>
    <t xml:space="preserve">  OVERVIEW</t>
  </si>
  <si>
    <t>What is this?</t>
  </si>
  <si>
    <t>This template collects your institution's purchase order approval workflow rules. Once complete, return it to your ESM Solutions Consultant, who will use it to configure your system.</t>
  </si>
  <si>
    <t>Who fills this out?</t>
  </si>
  <si>
    <t>Your project team - typically the business office or finance lead who knows your approval hierarchy and department codes.</t>
  </si>
  <si>
    <t xml:space="preserve">  HOW TO USE THIS TEMPLATE</t>
  </si>
  <si>
    <t>Step 1 - Gather your information</t>
  </si>
  <si>
    <t>Before filling out this template, collect:
- Your Organization Codes (Segment 2 values) for each department
- The email addresses of each approver (the same email used for system login)
- Your approval dollar thresholds per level (for Steps 3-5)
- Any special approval rules (grant funds, specific account codes, etc.)</t>
  </si>
  <si>
    <t>Step 2 - Go to each tab</t>
  </si>
  <si>
    <t>Work through the Step tabs (Step 1 through Step 15) in order. Not all steps may apply to your institution - skip or delete any that don't apply. Steps 7-15 are pre-built placeholders that your ESM Solutions Consultant will rename to match your approval hierarchy.</t>
  </si>
  <si>
    <t>Step 3 - Complete one row per rule</t>
  </si>
  <si>
    <t>Each row represents one approval rule. If the same approver handles multiple departments, you need one row per department.</t>
  </si>
  <si>
    <t>Step 4 - Return the file</t>
  </si>
  <si>
    <t>When complete, email the file back to your ESM Solutions Consultant.</t>
  </si>
  <si>
    <t xml:space="preserve">  COLOR CODING GUIDE</t>
  </si>
  <si>
    <t>White cells  *</t>
  </si>
  <si>
    <t>Required or optional data entry fields. Enter your data here.</t>
  </si>
  <si>
    <t>Gray cells (pre-filled)</t>
  </si>
  <si>
    <t>These fields are pre-configured by ESM. Do not modify them.</t>
  </si>
  <si>
    <t>Blue-tinted cells</t>
  </si>
  <si>
    <t>Reference only - enter approver names here for your own records. This information is NOT imported into the system.</t>
  </si>
  <si>
    <t>Amber rows</t>
  </si>
  <si>
    <t>These rows contain field-by-field instructions. Read them before filling in data below.</t>
  </si>
  <si>
    <t xml:space="preserve">  UNDERSTANDING APPROVAL OPERATORS</t>
  </si>
  <si>
    <t>NEXT</t>
  </si>
  <si>
    <t>Approvers are notified sequentially. Approver 2 is only notified after Approver 1 approves.</t>
  </si>
  <si>
    <t>AND</t>
  </si>
  <si>
    <t>All approvers are notified simultaneously and all must approve before the order proceeds.</t>
  </si>
  <si>
    <t>OR</t>
  </si>
  <si>
    <t>All approvers are notified simultaneously but only one needs to approve for the order to proceed.</t>
  </si>
  <si>
    <t xml:space="preserve">  TIPS &amp; COMMON MISTAKES</t>
  </si>
  <si>
    <t>* marks required fields</t>
  </si>
  <si>
    <t>Columns marked with * must be filled in for every row. Rows missing required fields will fail to import.</t>
  </si>
  <si>
    <t>Workflow Name must be unique</t>
  </si>
  <si>
    <t>Every row must have a different Workflow Name. Using the same name on two rows will cause an error.</t>
  </si>
  <si>
    <t>Use email addresses, not names</t>
  </si>
  <si>
    <t>The system identifies approvers by email address. A name column is provided for your reference but is not imported.</t>
  </si>
  <si>
    <t xml:space="preserve">  i  Questions? Contact your ESM Solutions Consultant.</t>
  </si>
  <si>
    <t xml:space="preserve">  esm(R)  |  [Customer Name]  -  Step 1 - Budget Manager Approval</t>
  </si>
  <si>
    <t xml:space="preserve">  Complete one row per approval rule. Fund Code, Organization Code, and/or Other Criteria define when this step is triggered. Each unique combination needs its own row.</t>
  </si>
  <si>
    <t>#</t>
  </si>
  <si>
    <t>Workflow Name *</t>
  </si>
  <si>
    <t>Fund Code</t>
  </si>
  <si>
    <t>Organization Code</t>
  </si>
  <si>
    <t>Other Criteria</t>
  </si>
  <si>
    <t>Priority</t>
  </si>
  <si>
    <t>Operator</t>
  </si>
  <si>
    <t>Approver 1 Email *</t>
  </si>
  <si>
    <t>Approver 1 Name</t>
  </si>
  <si>
    <t>Appr 1-2 Operator</t>
  </si>
  <si>
    <t>Approver 2 Email</t>
  </si>
  <si>
    <t>Approver 2 Name</t>
  </si>
  <si>
    <t>Appr 2-3 Operator</t>
  </si>
  <si>
    <t>Approver 3 Email</t>
  </si>
  <si>
    <t>Approver 3 Name</t>
  </si>
  <si>
    <t>Notes</t>
  </si>
  <si>
    <t>INSTRUCTIONS -&gt;</t>
  </si>
  <si>
    <t>Unique name per row. Max 50 chars.
Example: Budget Manager Approval - 011001</t>
  </si>
  <si>
    <t>Segment 1 value in ESM system.
Leave blank if not applicable.
Example: 110000</t>
  </si>
  <si>
    <t>Segment 2 value in ESM system.
Leave blank if not applicable.
Example: 011001</t>
  </si>
  <si>
    <t>Any additional criteria not covered by Fund Code or Org Code.
Example: Account Code, Auxiliary Field value, etc.</t>
  </si>
  <si>
    <t>Pre-filled: 100
Pre-set. Do not change.</t>
  </si>
  <si>
    <t>Pre-filled: AND
Pre-set. Do not change.</t>
  </si>
  <si>
    <t>Required. Email address.
Example: jane.doe@institution.edu</t>
  </si>
  <si>
    <t xml:space="preserve"> Reference only - name is NOT imported.</t>
  </si>
  <si>
    <t>Required if Approver 2 added.
NEXT = sequential  |  AND = all must approve  |  OR = any one approves</t>
  </si>
  <si>
    <t>Optional. Email address.</t>
  </si>
  <si>
    <t xml:space="preserve"> Reference only - not imported.</t>
  </si>
  <si>
    <t>Required if Approver 3 added.</t>
  </si>
  <si>
    <t>Any additional information.</t>
  </si>
  <si>
    <t xml:space="preserve">  (C) 2026 ESM Solutions Corporation  |  Confidential</t>
  </si>
  <si>
    <t xml:space="preserve">  esm(R)  |  [Customer Name]  -  Step 2 - Special Approvals</t>
  </si>
  <si>
    <t xml:space="preserve">  Complete one row per special approval rule. Use Fund Code, Organization Code, and/or Other Criteria (e.g. Account Code, Auxiliary Field) to define when this approval is triggered.</t>
  </si>
  <si>
    <t>Unique name per row. Max 50 chars.
Example: Special Approval - Grant Fund</t>
  </si>
  <si>
    <t>Enter Account Code, Auxiliary Field, or other value that triggers this rule.
Leave blank if not applicable.</t>
  </si>
  <si>
    <t xml:space="preserve">  esm(R)  |  [Customer Name]  -  Step 3 - Dean / Director / AVP Approval</t>
  </si>
  <si>
    <t xml:space="preserve">  Complete one row per approval rule. Fund Code, Organization Code, and/or Other Criteria define when this step is triggered. Transaction Total sets the minimum order amount.</t>
  </si>
  <si>
    <t>Transaction Total (Min $)</t>
  </si>
  <si>
    <t>Unique name per row. Max 50 chars.
Example: Dean-Director-AVP Approval - 011001</t>
  </si>
  <si>
    <t>Any additional criteria not covered by Fund Code or Org Code.
Leave blank if not applicable.</t>
  </si>
  <si>
    <t>Minimum order amount that triggers this step.
Example: 10000</t>
  </si>
  <si>
    <t>Pre-filled: 300
Pre-set. Do not change.</t>
  </si>
  <si>
    <t>Required. Email address.</t>
  </si>
  <si>
    <t>Optional.</t>
  </si>
  <si>
    <t xml:space="preserve">  esm(R)  |  [Customer Name]  -  Step 4 - Vice President Approval</t>
  </si>
  <si>
    <t>Unique name per row. Max 50 chars.
Example: Vice President Approval - 011001</t>
  </si>
  <si>
    <t>Minimum order amount that triggers this step.
Example: 25000</t>
  </si>
  <si>
    <t>Pre-filled: 400
Pre-set. Do not change.</t>
  </si>
  <si>
    <t>Required if Approver 2 added.</t>
  </si>
  <si>
    <t xml:space="preserve">  esm(R)  |  [Customer Name]  -  Step 5 - President Approval</t>
  </si>
  <si>
    <t>Unique name per row. Max 50 chars.
Example: President Approval - 011001</t>
  </si>
  <si>
    <t>Minimum order amount that triggers this step.
Example: 100000</t>
  </si>
  <si>
    <t>Pre-filled: 500
Pre-set. Do not change.</t>
  </si>
  <si>
    <t xml:space="preserve">  esm(R)  |  [Customer Name]  -  Step 6 - Purchasing Approval</t>
  </si>
  <si>
    <t xml:space="preserve">  Complete one row per Purchasing approval rule. Fund Code, Organization Code, and/or Other Criteria define when Purchasing review is required.</t>
  </si>
  <si>
    <t>Unique name per row. Max 50 chars.
Example: Purchasing Approval - EH&amp;S</t>
  </si>
  <si>
    <t>Pre-filled: 600
Pre-set. Do not change.</t>
  </si>
  <si>
    <t xml:space="preserve">  esm(R)  |  [Customer Name]  -  Step 7 - Department Head Approval</t>
  </si>
  <si>
    <t xml:space="preserve">  Placeholder step 7. Rename this tab and update the title to match your institution's approval hierarchy. Delete this tab if not needed.</t>
  </si>
  <si>
    <t>Unique name per row. Max 50 chars.
Example: Department Head Approval - 011001</t>
  </si>
  <si>
    <t>Minimum order amount that triggers this step.
Leave blank if no dollar threshold applies.</t>
  </si>
  <si>
    <t>Pre-filled: 700
Pre-set. Do not change.</t>
  </si>
  <si>
    <t xml:space="preserve">  esm(R)  |  [Customer Name]  -  Step 8 - Controller Approval</t>
  </si>
  <si>
    <t xml:space="preserve">  Placeholder step 8. Rename this tab and update the title to match your institution's approval hierarchy. Delete this tab if not needed.</t>
  </si>
  <si>
    <t>Unique name per row. Max 50 chars.
Example: Controller Approval - 011001</t>
  </si>
  <si>
    <t>Pre-filled: 800
Pre-set. Do not change.</t>
  </si>
  <si>
    <t xml:space="preserve">  esm(R)  |  [Customer Name]  -  Step 9 - CFO Approval</t>
  </si>
  <si>
    <t xml:space="preserve">  Placeholder step 9. Rename this tab and update the title to match your institution's approval hierarchy. Delete this tab if not needed.</t>
  </si>
  <si>
    <t>Unique name per row. Max 50 chars.
Example: CFO Approval - 011001</t>
  </si>
  <si>
    <t>Pre-filled: 900
Pre-set. Do not change.</t>
  </si>
  <si>
    <t xml:space="preserve">  esm(R)  |  [Customer Name]  -  Step 10 - Provost Approval</t>
  </si>
  <si>
    <t xml:space="preserve">  Placeholder step 10. Rename this tab and update the title to match your institution's approval hierarchy. Delete this tab if not needed.</t>
  </si>
  <si>
    <t>Unique name per row. Max 50 chars.
Example: Provost Approval - 011001</t>
  </si>
  <si>
    <t>Pre-filled: 1000
Pre-set. Do not change.</t>
  </si>
  <si>
    <t xml:space="preserve">  esm(R)  |  [Customer Name]  -  Step 11 - Board / Trustee Approval</t>
  </si>
  <si>
    <t xml:space="preserve">  Placeholder step 11. Rename this tab and update the title to match your institution's approval hierarchy. Delete this tab if not needed.</t>
  </si>
  <si>
    <t>Unique name per row. Max 50 chars.
Example: Board / Trustee Approval - 011001</t>
  </si>
  <si>
    <t>Pre-filled: 1100
Pre-set. Do not change.</t>
  </si>
  <si>
    <t xml:space="preserve">  esm(R)  |  [Customer Name]  -  Step 12 - Legal Review</t>
  </si>
  <si>
    <t xml:space="preserve">  Placeholder step 12. Rename this tab and update the title to match your institution's approval hierarchy. Delete this tab if not needed.</t>
  </si>
  <si>
    <t>Unique name per row. Max 50 chars.
Example: Legal Review - 011001</t>
  </si>
  <si>
    <t>Pre-filled: 1200
Pre-set. Do not change.</t>
  </si>
  <si>
    <t xml:space="preserve">  esm(R)  |  [Customer Name]  -  Step 13 - Compliance Review</t>
  </si>
  <si>
    <t xml:space="preserve">  Placeholder step 13. Rename this tab and update the title to match your institution's approval hierarchy. Delete this tab if not needed.</t>
  </si>
  <si>
    <t>Unique name per row. Max 50 chars.
Example: Compliance Review - 011001</t>
  </si>
  <si>
    <t>Pre-filled: 1300
Pre-set. Do not change.</t>
  </si>
  <si>
    <t xml:space="preserve">  esm(R)  |  [Customer Name]  -  Step 14 - IT / Security Review</t>
  </si>
  <si>
    <t xml:space="preserve">  Placeholder step 14. Rename this tab and update the title to match your institution's approval hierarchy. Delete this tab if not needed.</t>
  </si>
  <si>
    <t>Unique name per row. Max 50 chars.
Example: IT / Security Review - 011001</t>
  </si>
  <si>
    <t>Pre-filled: 1400
Pre-set. Do not change.</t>
  </si>
  <si>
    <t xml:space="preserve">  esm(R)  |  [Customer Name]  -  Step 15 - Final Approval</t>
  </si>
  <si>
    <t xml:space="preserve">  Placeholder step 15. Rename this tab and update the title to match your institution's approval hierarchy. Delete this tab if not needed.</t>
  </si>
  <si>
    <t>Unique name per row. Max 50 chars.
Example: Final Approval - 011001</t>
  </si>
  <si>
    <t>Pre-filled: 1500
Pre-set. Do not change.</t>
  </si>
  <si>
    <t xml:space="preserve">  esm(R)  |  Workflow &amp; Notification Import File  -  FOR SOLUTIONS CONSULTANT USE ONLY</t>
  </si>
  <si>
    <t xml:space="preserve">  This tab auto-populates from the customer Step tabs. Once the customer returns the completed file:
  1. Review data in rows below for accuracy.     2. Filter out any blank rows (column B = empty).     3. Copy rows 5 onward + save as CSV to create the import file.</t>
  </si>
  <si>
    <t>Template Version</t>
  </si>
  <si>
    <t>1.1</t>
  </si>
  <si>
    <t>Workflow/Notification</t>
  </si>
  <si>
    <t>Status</t>
  </si>
  <si>
    <t>* Workflow Name</t>
  </si>
  <si>
    <t>* Order Notification Name</t>
  </si>
  <si>
    <t>Workflow Priority</t>
  </si>
  <si>
    <t>* Operator</t>
  </si>
  <si>
    <t>* Criteria 1 Name</t>
  </si>
  <si>
    <t>* Criteria 1 Condition</t>
  </si>
  <si>
    <t>* Criteria 1 Value</t>
  </si>
  <si>
    <t>Criteria 2 Name</t>
  </si>
  <si>
    <t>Criteria 2 Condition</t>
  </si>
  <si>
    <t>Criteria 2 Value</t>
  </si>
  <si>
    <t>Criteria 3 Name</t>
  </si>
  <si>
    <t>Criteria 3 Condition</t>
  </si>
  <si>
    <t>Criteria 3 Value</t>
  </si>
  <si>
    <t>Criteria 4 Name</t>
  </si>
  <si>
    <t>Criteria 4 Condition</t>
  </si>
  <si>
    <t>Criteria 4 Value</t>
  </si>
  <si>
    <t>Criteria 5 Name</t>
  </si>
  <si>
    <t>Criteria 5 Condition</t>
  </si>
  <si>
    <t>Criteria 5 Value</t>
  </si>
  <si>
    <t>* Approver or Notified User 1</t>
  </si>
  <si>
    <t>Approver 1 Operator</t>
  </si>
  <si>
    <t>Approver or Notified User 2</t>
  </si>
  <si>
    <t>Approver 2 Operator</t>
  </si>
  <si>
    <t>Approver or Notified User 3</t>
  </si>
  <si>
    <t>Approver 3 Operator</t>
  </si>
  <si>
    <t>Approver or Notified User 4</t>
  </si>
  <si>
    <t>Approver 4 Operator</t>
  </si>
  <si>
    <t>Approver or Notified User 5</t>
  </si>
  <si>
    <t>Approver 5 Operator</t>
  </si>
  <si>
    <t>Approver or Notified User 6</t>
  </si>
  <si>
    <t>Approver 6 Operator</t>
  </si>
  <si>
    <t>Approver or Notified User 7</t>
  </si>
  <si>
    <t>Approver 7 Operator</t>
  </si>
  <si>
    <t>Approver or Notified User 8</t>
  </si>
  <si>
    <t>Approver 8 Operator</t>
  </si>
  <si>
    <t>Approver or Notified User 9</t>
  </si>
  <si>
    <t>Approver 9 Operator</t>
  </si>
  <si>
    <t>Approver or Notified User 10</t>
  </si>
  <si>
    <t>Char = 8</t>
  </si>
  <si>
    <t>Char = 50</t>
  </si>
  <si>
    <t>Char = 5</t>
  </si>
  <si>
    <t>Char = 3</t>
  </si>
  <si>
    <t>Char = 100</t>
  </si>
  <si>
    <t>Char = 16</t>
  </si>
  <si>
    <t>Char = 4</t>
  </si>
  <si>
    <t xml:space="preserve">  v  Step 1 - Budget Manager Approval  (from 'Step 1 - Budget Manager' tab)  v</t>
  </si>
  <si>
    <t xml:space="preserve">  v  Step 2 - Special Approvals  (from 'Step 2 - Special' tab)  v</t>
  </si>
  <si>
    <t xml:space="preserve">  v  Step 3 - Dean / Director / AVP Approval  (from 'Step 3 - Dean-Director-AVP' tab)  v</t>
  </si>
  <si>
    <t xml:space="preserve">  v  Step 4 - Vice President Approval  (from 'Step 4 - Vice President' tab)  v</t>
  </si>
  <si>
    <t xml:space="preserve">  v  Step 5 - President Approval  (from 'Step 5 - President' tab)  v</t>
  </si>
  <si>
    <t xml:space="preserve">  v  Step 6 - Purchasing Approval  (from 'Step 6 - Purchasing' tab)  v</t>
  </si>
  <si>
    <t xml:space="preserve">  v  Step 7 - Department Head Approval  (from 'Step 7 - Dept Head' tab)  v</t>
  </si>
  <si>
    <t xml:space="preserve">  v  Step 8 - Controller Approval  (from 'Step 8 - Controller' tab)  v</t>
  </si>
  <si>
    <t xml:space="preserve">  v  Step 9 - CFO Approval  (from 'Step 9 - CFO' tab)  v</t>
  </si>
  <si>
    <t xml:space="preserve">  v  Step 10 - Provost Approval  (from 'Step 10 - Provost' tab)  v</t>
  </si>
  <si>
    <t xml:space="preserve">  v  Step 11 - Board / Trustee Approval  (from 'Step 11 - Board' tab)  v</t>
  </si>
  <si>
    <t xml:space="preserve">  v  Step 12 - Legal Review  (from 'Step 12 - Legal' tab)  v</t>
  </si>
  <si>
    <t xml:space="preserve">  v  Step 13 - Compliance Review  (from 'Step 13 - Compliance' tab)  v</t>
  </si>
  <si>
    <t xml:space="preserve">  v  Step 14 - IT / Security Review  (from 'Step 14 - IT Review' tab)  v</t>
  </si>
  <si>
    <t xml:space="preserve">  v  Step 15 - Final Approval  (from 'Step 15 - Final Approval' tab)  v</t>
  </si>
  <si>
    <t>Pre-filled: 200
Pre-set. Do not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</si>
</sst>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D2D2D"/>
      <name val="Arial"/>
      <charset val="1"/>
    </font>
    <font>
      <sz val="10"/>
      <color rgb="FF2D2D2D"/>
      <name val="Arial"/>
      <charset val="1"/>
    </font>
    <font>
      <sz val="9"/>
      <color rgb="FF555555"/>
      <name val="Arial"/>
      <charset val="1"/>
    </font>
    <font>
      <b/>
      <sz val="14"/>
      <color rgb="FFFFFFFF"/>
      <name val="Arial"/>
      <charset val="1"/>
    </font>
    <font>
      <sz val="9"/>
      <color rgb="FF2D2D2D"/>
      <name val="Arial"/>
      <charset val="1"/>
    </font>
    <font>
      <b/>
      <sz val="9"/>
      <color rgb="FFFFFFFF"/>
      <name val="Arial"/>
      <charset val="1"/>
    </font>
    <font>
      <b/>
      <sz val="8"/>
      <color rgb="FF885500"/>
      <name val="Arial"/>
      <charset val="1"/>
    </font>
    <font>
      <i/>
      <sz val="8"/>
      <color rgb="FF555555"/>
      <name val="Arial"/>
      <charset val="1"/>
    </font>
    <font>
      <sz val="9"/>
      <color rgb="FF888888"/>
      <name val="Arial"/>
      <charset val="1"/>
    </font>
    <font>
      <sz val="9"/>
      <color rgb="FF666666"/>
      <name val="Arial"/>
      <charset val="1"/>
    </font>
    <font>
      <sz val="8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888888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E8192C"/>
        <bgColor rgb="FFB01020"/>
      </patternFill>
    </fill>
    <fill>
      <patternFill patternType="solid">
        <fgColor rgb="FFB01020"/>
        <bgColor rgb="FF800000"/>
      </patternFill>
    </fill>
    <fill>
      <patternFill patternType="solid">
        <fgColor rgb="FF2D2D2D"/>
        <bgColor rgb="FF333300"/>
      </patternFill>
    </fill>
    <fill>
      <patternFill patternType="solid">
        <fgColor rgb="FFF5F5F5"/>
        <bgColor rgb="FFEEF5FB"/>
      </patternFill>
    </fill>
    <fill>
      <patternFill patternType="solid">
        <fgColor rgb="FFFFFFFF"/>
        <bgColor rgb="FFF8FAFF"/>
      </patternFill>
    </fill>
    <fill>
      <patternFill patternType="solid">
        <fgColor rgb="FFFFF8DC"/>
        <bgColor rgb="FFF5F5F5"/>
      </patternFill>
    </fill>
    <fill>
      <patternFill patternType="solid">
        <fgColor rgb="FFFFE88A"/>
        <bgColor rgb="FFFFF8DC"/>
      </patternFill>
    </fill>
    <fill>
      <patternFill patternType="solid">
        <fgColor rgb="FFEBEBEB"/>
        <bgColor rgb="FFEEF5FB"/>
      </patternFill>
    </fill>
    <fill>
      <patternFill patternType="solid">
        <fgColor rgb="FFEEF5FB"/>
        <bgColor rgb="FFEFF4FF"/>
      </patternFill>
    </fill>
    <fill>
      <patternFill patternType="solid">
        <fgColor rgb="FF1F3864"/>
        <bgColor rgb="FF2D2D2D"/>
      </patternFill>
    </fill>
    <fill>
      <patternFill patternType="solid">
        <fgColor rgb="FF2E5CA8"/>
        <bgColor rgb="FF5B6FA6"/>
      </patternFill>
    </fill>
    <fill>
      <patternFill patternType="solid">
        <fgColor rgb="FFF0F4FF"/>
        <bgColor rgb="FFEFF4FF"/>
      </patternFill>
    </fill>
    <fill>
      <patternFill patternType="solid">
        <fgColor rgb="FF5B6FA6"/>
        <bgColor rgb="FF666666"/>
      </patternFill>
    </fill>
    <fill>
      <patternFill patternType="solid">
        <fgColor rgb="FFEFF4FF"/>
        <bgColor rgb="FFF0F4FF"/>
      </patternFill>
    </fill>
    <fill>
      <patternFill patternType="solid">
        <fgColor rgb="FFF8FAFF"/>
        <bgColor rgb="FFF5F5F5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0C050"/>
      </left>
      <right style="thin">
        <color rgb="FFE0C050"/>
      </right>
      <top style="thin">
        <color rgb="FFE0C050"/>
      </top>
      <bottom style="thin">
        <color rgb="FFE0C050"/>
      </bottom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17" fillId="12" borderId="6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top" wrapText="1"/>
    </xf>
    <xf numFmtId="0" fontId="6" fillId="7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17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8192C"/>
      <rgbColor rgb="FF00FF00"/>
      <rgbColor rgb="FF0000FF"/>
      <rgbColor rgb="FFFFFF00"/>
      <rgbColor rgb="FFFF00FF"/>
      <rgbColor rgb="FF00FFFF"/>
      <rgbColor rgb="FFB01020"/>
      <rgbColor rgb="FF008000"/>
      <rgbColor rgb="FF000080"/>
      <rgbColor rgb="FF666666"/>
      <rgbColor rgb="FF800080"/>
      <rgbColor rgb="FF008080"/>
      <rgbColor rgb="FFC8C8C8"/>
      <rgbColor rgb="FF888888"/>
      <rgbColor rgb="FFAAAAAA"/>
      <rgbColor rgb="FF993366"/>
      <rgbColor rgb="FFFFF8DC"/>
      <rgbColor rgb="FFEEF5FB"/>
      <rgbColor rgb="FF660066"/>
      <rgbColor rgb="FFFF8080"/>
      <rgbColor rgb="FF2E5CA8"/>
      <rgbColor rgb="FFC8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4FF"/>
      <rgbColor rgb="FFEBEBEB"/>
      <rgbColor rgb="FFFFE88A"/>
      <rgbColor rgb="FFF0F4FF"/>
      <rgbColor rgb="FFF5F5F5"/>
      <rgbColor rgb="FFF8FAFF"/>
      <rgbColor rgb="FFE0C050"/>
      <rgbColor rgb="FF3366FF"/>
      <rgbColor rgb="FF33CCCC"/>
      <rgbColor rgb="FF99CC00"/>
      <rgbColor rgb="FFFFCC00"/>
      <rgbColor rgb="FFFF9900"/>
      <rgbColor rgb="FFFF6600"/>
      <rgbColor rgb="FF5B6FA6"/>
      <rgbColor rgb="FF999999"/>
      <rgbColor rgb="FF1F3864"/>
      <rgbColor rgb="FF339966"/>
      <rgbColor rgb="FF003300"/>
      <rgbColor rgb="FF333300"/>
      <rgbColor rgb="FF885500"/>
      <rgbColor rgb="FF993366"/>
      <rgbColor rgb="FF555555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192C"/>
  </sheetPr>
  <dimension ref="A1:E2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:E2"/>
    </sheetView>
  </sheetViews>
  <sheetFormatPr defaultColWidth="8.5703125" defaultRowHeight="15" x14ac:dyDescent="0.25"/>
  <cols>
    <col min="1" max="1" width="28" customWidth="1"/>
    <col min="2" max="2" width="80" customWidth="1"/>
  </cols>
  <sheetData>
    <row r="1" spans="1:5" ht="49.5" customHeight="1" x14ac:dyDescent="0.25">
      <c r="A1" s="27" t="s">
        <v>0</v>
      </c>
      <c r="B1" s="27"/>
      <c r="C1" s="27"/>
      <c r="D1" s="27"/>
      <c r="E1" s="27"/>
    </row>
    <row r="2" spans="1:5" ht="18" customHeight="1" x14ac:dyDescent="0.25">
      <c r="A2" s="28" t="s">
        <v>1</v>
      </c>
      <c r="B2" s="28"/>
      <c r="C2" s="28"/>
      <c r="D2" s="28"/>
      <c r="E2" s="28"/>
    </row>
    <row r="4" spans="1:5" ht="21.75" customHeight="1" x14ac:dyDescent="0.25">
      <c r="A4" s="26" t="s">
        <v>2</v>
      </c>
      <c r="B4" s="26"/>
      <c r="C4" s="26"/>
      <c r="D4" s="26"/>
      <c r="E4" s="26"/>
    </row>
    <row r="5" spans="1:5" ht="36" customHeight="1" x14ac:dyDescent="0.25">
      <c r="A5" s="1" t="s">
        <v>3</v>
      </c>
      <c r="B5" s="24" t="s">
        <v>4</v>
      </c>
      <c r="C5" s="24"/>
      <c r="D5" s="24"/>
      <c r="E5" s="24"/>
    </row>
    <row r="6" spans="1:5" ht="36" customHeight="1" x14ac:dyDescent="0.25">
      <c r="A6" s="1" t="s">
        <v>5</v>
      </c>
      <c r="B6" s="24" t="s">
        <v>6</v>
      </c>
      <c r="C6" s="24"/>
      <c r="D6" s="24"/>
      <c r="E6" s="24"/>
    </row>
    <row r="8" spans="1:5" ht="21.75" customHeight="1" x14ac:dyDescent="0.25">
      <c r="A8" s="26" t="s">
        <v>7</v>
      </c>
      <c r="B8" s="26"/>
      <c r="C8" s="26"/>
      <c r="D8" s="26"/>
      <c r="E8" s="26"/>
    </row>
    <row r="9" spans="1:5" ht="36" customHeight="1" x14ac:dyDescent="0.25">
      <c r="A9" s="1" t="s">
        <v>8</v>
      </c>
      <c r="B9" s="24" t="s">
        <v>9</v>
      </c>
      <c r="C9" s="24"/>
      <c r="D9" s="24"/>
      <c r="E9" s="24"/>
    </row>
    <row r="10" spans="1:5" ht="36" customHeight="1" x14ac:dyDescent="0.25">
      <c r="A10" s="1" t="s">
        <v>10</v>
      </c>
      <c r="B10" s="24" t="s">
        <v>11</v>
      </c>
      <c r="C10" s="24"/>
      <c r="D10" s="24"/>
      <c r="E10" s="24"/>
    </row>
    <row r="11" spans="1:5" ht="36" customHeight="1" x14ac:dyDescent="0.25">
      <c r="A11" s="1" t="s">
        <v>12</v>
      </c>
      <c r="B11" s="24" t="s">
        <v>13</v>
      </c>
      <c r="C11" s="24"/>
      <c r="D11" s="24"/>
      <c r="E11" s="24"/>
    </row>
    <row r="12" spans="1:5" ht="36" customHeight="1" x14ac:dyDescent="0.25">
      <c r="A12" s="1" t="s">
        <v>14</v>
      </c>
      <c r="B12" s="24" t="s">
        <v>15</v>
      </c>
      <c r="C12" s="24"/>
      <c r="D12" s="24"/>
      <c r="E12" s="24"/>
    </row>
    <row r="14" spans="1:5" ht="21.75" customHeight="1" x14ac:dyDescent="0.25">
      <c r="A14" s="26" t="s">
        <v>16</v>
      </c>
      <c r="B14" s="26"/>
      <c r="C14" s="26"/>
      <c r="D14" s="26"/>
      <c r="E14" s="26"/>
    </row>
    <row r="15" spans="1:5" ht="36" customHeight="1" x14ac:dyDescent="0.25">
      <c r="A15" s="1" t="s">
        <v>17</v>
      </c>
      <c r="B15" s="24" t="s">
        <v>18</v>
      </c>
      <c r="C15" s="24"/>
      <c r="D15" s="24"/>
      <c r="E15" s="24"/>
    </row>
    <row r="16" spans="1:5" ht="36" customHeight="1" x14ac:dyDescent="0.25">
      <c r="A16" s="1" t="s">
        <v>19</v>
      </c>
      <c r="B16" s="24" t="s">
        <v>20</v>
      </c>
      <c r="C16" s="24"/>
      <c r="D16" s="24"/>
      <c r="E16" s="24"/>
    </row>
    <row r="17" spans="1:5" ht="36" customHeight="1" x14ac:dyDescent="0.25">
      <c r="A17" s="1" t="s">
        <v>21</v>
      </c>
      <c r="B17" s="24" t="s">
        <v>22</v>
      </c>
      <c r="C17" s="24"/>
      <c r="D17" s="24"/>
      <c r="E17" s="24"/>
    </row>
    <row r="18" spans="1:5" ht="36" customHeight="1" x14ac:dyDescent="0.25">
      <c r="A18" s="1" t="s">
        <v>23</v>
      </c>
      <c r="B18" s="24" t="s">
        <v>24</v>
      </c>
      <c r="C18" s="24"/>
      <c r="D18" s="24"/>
      <c r="E18" s="24"/>
    </row>
    <row r="20" spans="1:5" ht="21.75" customHeight="1" x14ac:dyDescent="0.25">
      <c r="A20" s="26" t="s">
        <v>25</v>
      </c>
      <c r="B20" s="26"/>
      <c r="C20" s="26"/>
      <c r="D20" s="26"/>
      <c r="E20" s="26"/>
    </row>
    <row r="21" spans="1:5" ht="36" customHeight="1" x14ac:dyDescent="0.25">
      <c r="A21" s="1" t="s">
        <v>26</v>
      </c>
      <c r="B21" s="24" t="s">
        <v>27</v>
      </c>
      <c r="C21" s="24"/>
      <c r="D21" s="24"/>
      <c r="E21" s="24"/>
    </row>
    <row r="22" spans="1:5" ht="36" customHeight="1" x14ac:dyDescent="0.25">
      <c r="A22" s="1" t="s">
        <v>28</v>
      </c>
      <c r="B22" s="24" t="s">
        <v>29</v>
      </c>
      <c r="C22" s="24"/>
      <c r="D22" s="24"/>
      <c r="E22" s="24"/>
    </row>
    <row r="23" spans="1:5" ht="36" customHeight="1" x14ac:dyDescent="0.25">
      <c r="A23" s="1" t="s">
        <v>30</v>
      </c>
      <c r="B23" s="24" t="s">
        <v>31</v>
      </c>
      <c r="C23" s="24"/>
      <c r="D23" s="24"/>
      <c r="E23" s="24"/>
    </row>
    <row r="25" spans="1:5" ht="21.75" customHeight="1" x14ac:dyDescent="0.25">
      <c r="A25" s="26" t="s">
        <v>32</v>
      </c>
      <c r="B25" s="26"/>
      <c r="C25" s="26"/>
      <c r="D25" s="26"/>
      <c r="E25" s="26"/>
    </row>
    <row r="26" spans="1:5" ht="36" customHeight="1" x14ac:dyDescent="0.25">
      <c r="A26" s="1" t="s">
        <v>33</v>
      </c>
      <c r="B26" s="24" t="s">
        <v>34</v>
      </c>
      <c r="C26" s="24"/>
      <c r="D26" s="24"/>
      <c r="E26" s="24"/>
    </row>
    <row r="27" spans="1:5" ht="36" customHeight="1" x14ac:dyDescent="0.25">
      <c r="A27" s="1" t="s">
        <v>35</v>
      </c>
      <c r="B27" s="24" t="s">
        <v>36</v>
      </c>
      <c r="C27" s="24"/>
      <c r="D27" s="24"/>
      <c r="E27" s="24"/>
    </row>
    <row r="28" spans="1:5" ht="36" customHeight="1" x14ac:dyDescent="0.25">
      <c r="A28" s="1" t="s">
        <v>37</v>
      </c>
      <c r="B28" s="24" t="s">
        <v>38</v>
      </c>
      <c r="C28" s="24"/>
      <c r="D28" s="24"/>
      <c r="E28" s="24"/>
    </row>
    <row r="29" spans="1:5" ht="30" customHeight="1" x14ac:dyDescent="0.25">
      <c r="A29" s="25" t="s">
        <v>39</v>
      </c>
      <c r="B29" s="25"/>
      <c r="C29" s="25"/>
      <c r="D29" s="25"/>
      <c r="E29" s="25"/>
    </row>
  </sheetData>
  <mergeCells count="24">
    <mergeCell ref="A1:E1"/>
    <mergeCell ref="A2:E2"/>
    <mergeCell ref="A4:E4"/>
    <mergeCell ref="B5:E5"/>
    <mergeCell ref="B6:E6"/>
    <mergeCell ref="A8:E8"/>
    <mergeCell ref="B9:E9"/>
    <mergeCell ref="B10:E10"/>
    <mergeCell ref="B11:E11"/>
    <mergeCell ref="B12:E12"/>
    <mergeCell ref="A14:E14"/>
    <mergeCell ref="B15:E15"/>
    <mergeCell ref="B16:E16"/>
    <mergeCell ref="B17:E17"/>
    <mergeCell ref="B18:E18"/>
    <mergeCell ref="B26:E26"/>
    <mergeCell ref="B27:E27"/>
    <mergeCell ref="B28:E28"/>
    <mergeCell ref="A29:E29"/>
    <mergeCell ref="A20:E20"/>
    <mergeCell ref="B21:E21"/>
    <mergeCell ref="B22:E22"/>
    <mergeCell ref="B23:E23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192C"/>
  </sheetPr>
  <dimension ref="A1:P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P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12" customWidth="1"/>
    <col min="7" max="7" width="11" customWidth="1"/>
    <col min="8" max="8" width="35" customWidth="1"/>
    <col min="9" max="9" width="26" customWidth="1"/>
    <col min="10" max="10" width="20" customWidth="1"/>
    <col min="11" max="11" width="35" customWidth="1"/>
    <col min="12" max="12" width="26" customWidth="1"/>
    <col min="13" max="13" width="20" customWidth="1"/>
    <col min="14" max="14" width="35" customWidth="1"/>
    <col min="15" max="15" width="26" customWidth="1"/>
    <col min="16" max="16" width="30" customWidth="1"/>
  </cols>
  <sheetData>
    <row r="1" spans="1:16" ht="39.75" customHeight="1" x14ac:dyDescent="0.25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33.75" customHeight="1" x14ac:dyDescent="0.25">
      <c r="A2" s="22" t="s">
        <v>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</row>
    <row r="4" spans="1:16" ht="51.75" customHeight="1" x14ac:dyDescent="0.25">
      <c r="A4" s="3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68</v>
      </c>
      <c r="O4" s="4" t="s">
        <v>69</v>
      </c>
      <c r="P4" s="4" t="s">
        <v>71</v>
      </c>
    </row>
    <row r="5" spans="1:16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7">
        <v>100</v>
      </c>
      <c r="G5" s="7" t="s">
        <v>28</v>
      </c>
      <c r="H5" s="6"/>
      <c r="I5" s="8"/>
      <c r="J5" s="9"/>
      <c r="K5" s="6"/>
      <c r="L5" s="8"/>
      <c r="M5" s="9"/>
      <c r="N5" s="6"/>
      <c r="O5" s="8"/>
      <c r="P5" s="6"/>
    </row>
    <row r="6" spans="1:16" ht="18" customHeight="1" x14ac:dyDescent="0.25">
      <c r="A6" s="5" t="str">
        <f t="shared" si="0"/>
        <v/>
      </c>
      <c r="B6" s="10"/>
      <c r="C6" s="10"/>
      <c r="D6" s="10"/>
      <c r="E6" s="10"/>
      <c r="F6" s="7">
        <v>100</v>
      </c>
      <c r="G6" s="7" t="s">
        <v>28</v>
      </c>
      <c r="H6" s="10"/>
      <c r="I6" s="8"/>
      <c r="J6" s="11"/>
      <c r="K6" s="10"/>
      <c r="L6" s="8"/>
      <c r="M6" s="11"/>
      <c r="N6" s="10"/>
      <c r="O6" s="8"/>
      <c r="P6" s="10"/>
    </row>
    <row r="7" spans="1:16" ht="18" customHeight="1" x14ac:dyDescent="0.25">
      <c r="A7" s="5" t="str">
        <f t="shared" si="0"/>
        <v/>
      </c>
      <c r="B7" s="6"/>
      <c r="C7" s="6"/>
      <c r="D7" s="6"/>
      <c r="E7" s="6"/>
      <c r="F7" s="7">
        <v>100</v>
      </c>
      <c r="G7" s="7" t="s">
        <v>28</v>
      </c>
      <c r="H7" s="6"/>
      <c r="I7" s="8"/>
      <c r="J7" s="9"/>
      <c r="K7" s="6"/>
      <c r="L7" s="8"/>
      <c r="M7" s="9"/>
      <c r="N7" s="6"/>
      <c r="O7" s="8"/>
      <c r="P7" s="6"/>
    </row>
    <row r="8" spans="1:16" ht="18" customHeight="1" x14ac:dyDescent="0.25">
      <c r="A8" s="5" t="str">
        <f t="shared" si="0"/>
        <v/>
      </c>
      <c r="B8" s="10"/>
      <c r="C8" s="10"/>
      <c r="D8" s="10"/>
      <c r="E8" s="10"/>
      <c r="F8" s="7">
        <v>100</v>
      </c>
      <c r="G8" s="7" t="s">
        <v>28</v>
      </c>
      <c r="H8" s="10"/>
      <c r="I8" s="8"/>
      <c r="J8" s="11"/>
      <c r="K8" s="10"/>
      <c r="L8" s="8"/>
      <c r="M8" s="11"/>
      <c r="N8" s="10"/>
      <c r="O8" s="8"/>
      <c r="P8" s="10"/>
    </row>
    <row r="9" spans="1:16" ht="18" customHeight="1" x14ac:dyDescent="0.25">
      <c r="A9" s="5" t="str">
        <f t="shared" si="0"/>
        <v/>
      </c>
      <c r="B9" s="6"/>
      <c r="C9" s="6"/>
      <c r="D9" s="6"/>
      <c r="E9" s="6"/>
      <c r="F9" s="7">
        <v>100</v>
      </c>
      <c r="G9" s="7" t="s">
        <v>28</v>
      </c>
      <c r="H9" s="6"/>
      <c r="I9" s="8"/>
      <c r="J9" s="9"/>
      <c r="K9" s="6"/>
      <c r="L9" s="8"/>
      <c r="M9" s="9"/>
      <c r="N9" s="6"/>
      <c r="O9" s="8"/>
      <c r="P9" s="6"/>
    </row>
    <row r="10" spans="1:16" ht="18" customHeight="1" x14ac:dyDescent="0.25">
      <c r="A10" s="5" t="str">
        <f t="shared" si="0"/>
        <v/>
      </c>
      <c r="B10" s="10"/>
      <c r="C10" s="10"/>
      <c r="D10" s="10"/>
      <c r="E10" s="10"/>
      <c r="F10" s="7">
        <v>100</v>
      </c>
      <c r="G10" s="7" t="s">
        <v>28</v>
      </c>
      <c r="H10" s="10"/>
      <c r="I10" s="8"/>
      <c r="J10" s="11"/>
      <c r="K10" s="10"/>
      <c r="L10" s="8"/>
      <c r="M10" s="11"/>
      <c r="N10" s="10"/>
      <c r="O10" s="8"/>
      <c r="P10" s="10"/>
    </row>
    <row r="11" spans="1:16" ht="18" customHeight="1" x14ac:dyDescent="0.25">
      <c r="A11" s="5" t="str">
        <f t="shared" si="0"/>
        <v/>
      </c>
      <c r="B11" s="6"/>
      <c r="C11" s="6"/>
      <c r="D11" s="6"/>
      <c r="E11" s="6"/>
      <c r="F11" s="7">
        <v>100</v>
      </c>
      <c r="G11" s="7" t="s">
        <v>28</v>
      </c>
      <c r="H11" s="6"/>
      <c r="I11" s="8"/>
      <c r="J11" s="9"/>
      <c r="K11" s="6"/>
      <c r="L11" s="8"/>
      <c r="M11" s="9"/>
      <c r="N11" s="6"/>
      <c r="O11" s="8"/>
      <c r="P11" s="6"/>
    </row>
    <row r="12" spans="1:16" ht="18" customHeight="1" x14ac:dyDescent="0.25">
      <c r="A12" s="5" t="str">
        <f t="shared" si="0"/>
        <v/>
      </c>
      <c r="B12" s="10"/>
      <c r="C12" s="10"/>
      <c r="D12" s="10"/>
      <c r="E12" s="10"/>
      <c r="F12" s="7">
        <v>100</v>
      </c>
      <c r="G12" s="7" t="s">
        <v>28</v>
      </c>
      <c r="H12" s="10"/>
      <c r="I12" s="8"/>
      <c r="J12" s="11"/>
      <c r="K12" s="10"/>
      <c r="L12" s="8"/>
      <c r="M12" s="11"/>
      <c r="N12" s="10"/>
      <c r="O12" s="8"/>
      <c r="P12" s="10"/>
    </row>
    <row r="13" spans="1:16" ht="18" customHeight="1" x14ac:dyDescent="0.25">
      <c r="A13" s="5" t="str">
        <f t="shared" si="0"/>
        <v/>
      </c>
      <c r="B13" s="6"/>
      <c r="C13" s="6"/>
      <c r="D13" s="6"/>
      <c r="E13" s="6"/>
      <c r="F13" s="7">
        <v>100</v>
      </c>
      <c r="G13" s="7" t="s">
        <v>28</v>
      </c>
      <c r="H13" s="6"/>
      <c r="I13" s="8"/>
      <c r="J13" s="9"/>
      <c r="K13" s="6"/>
      <c r="L13" s="8"/>
      <c r="M13" s="9"/>
      <c r="N13" s="6"/>
      <c r="O13" s="8"/>
      <c r="P13" s="6"/>
    </row>
    <row r="14" spans="1:16" ht="18" customHeight="1" x14ac:dyDescent="0.25">
      <c r="A14" s="5" t="str">
        <f t="shared" si="0"/>
        <v/>
      </c>
      <c r="B14" s="10"/>
      <c r="C14" s="10"/>
      <c r="D14" s="10"/>
      <c r="E14" s="10"/>
      <c r="F14" s="7">
        <v>100</v>
      </c>
      <c r="G14" s="7" t="s">
        <v>28</v>
      </c>
      <c r="H14" s="10"/>
      <c r="I14" s="8"/>
      <c r="J14" s="11"/>
      <c r="K14" s="10"/>
      <c r="L14" s="8"/>
      <c r="M14" s="11"/>
      <c r="N14" s="10"/>
      <c r="O14" s="8"/>
      <c r="P14" s="10"/>
    </row>
    <row r="15" spans="1:16" ht="18" customHeight="1" x14ac:dyDescent="0.25">
      <c r="A15" s="5" t="str">
        <f t="shared" si="0"/>
        <v/>
      </c>
      <c r="B15" s="6"/>
      <c r="C15" s="6"/>
      <c r="D15" s="6"/>
      <c r="E15" s="6"/>
      <c r="F15" s="7">
        <v>100</v>
      </c>
      <c r="G15" s="7" t="s">
        <v>28</v>
      </c>
      <c r="H15" s="6"/>
      <c r="I15" s="8"/>
      <c r="J15" s="9"/>
      <c r="K15" s="6"/>
      <c r="L15" s="8"/>
      <c r="M15" s="9"/>
      <c r="N15" s="6"/>
      <c r="O15" s="8"/>
      <c r="P15" s="6"/>
    </row>
    <row r="16" spans="1:16" ht="18" customHeight="1" x14ac:dyDescent="0.25">
      <c r="A16" s="5" t="str">
        <f t="shared" si="0"/>
        <v/>
      </c>
      <c r="B16" s="10"/>
      <c r="C16" s="10"/>
      <c r="D16" s="10"/>
      <c r="E16" s="10"/>
      <c r="F16" s="7">
        <v>100</v>
      </c>
      <c r="G16" s="7" t="s">
        <v>28</v>
      </c>
      <c r="H16" s="10"/>
      <c r="I16" s="8"/>
      <c r="J16" s="11"/>
      <c r="K16" s="10"/>
      <c r="L16" s="8"/>
      <c r="M16" s="11"/>
      <c r="N16" s="10"/>
      <c r="O16" s="8"/>
      <c r="P16" s="10"/>
    </row>
    <row r="17" spans="1:16" ht="18" customHeight="1" x14ac:dyDescent="0.25">
      <c r="A17" s="5" t="str">
        <f t="shared" si="0"/>
        <v/>
      </c>
      <c r="B17" s="6"/>
      <c r="C17" s="6"/>
      <c r="D17" s="6"/>
      <c r="E17" s="6"/>
      <c r="F17" s="7">
        <v>100</v>
      </c>
      <c r="G17" s="7" t="s">
        <v>28</v>
      </c>
      <c r="H17" s="6"/>
      <c r="I17" s="8"/>
      <c r="J17" s="9"/>
      <c r="K17" s="6"/>
      <c r="L17" s="8"/>
      <c r="M17" s="9"/>
      <c r="N17" s="6"/>
      <c r="O17" s="8"/>
      <c r="P17" s="6"/>
    </row>
    <row r="18" spans="1:16" ht="18" customHeight="1" x14ac:dyDescent="0.25">
      <c r="A18" s="5" t="str">
        <f t="shared" si="0"/>
        <v/>
      </c>
      <c r="B18" s="10"/>
      <c r="C18" s="10"/>
      <c r="D18" s="10"/>
      <c r="E18" s="10"/>
      <c r="F18" s="7">
        <v>100</v>
      </c>
      <c r="G18" s="7" t="s">
        <v>28</v>
      </c>
      <c r="H18" s="10"/>
      <c r="I18" s="8"/>
      <c r="J18" s="11"/>
      <c r="K18" s="10"/>
      <c r="L18" s="8"/>
      <c r="M18" s="11"/>
      <c r="N18" s="10"/>
      <c r="O18" s="8"/>
      <c r="P18" s="10"/>
    </row>
    <row r="19" spans="1:16" ht="18" customHeight="1" x14ac:dyDescent="0.25">
      <c r="A19" s="5" t="str">
        <f t="shared" si="0"/>
        <v/>
      </c>
      <c r="B19" s="6"/>
      <c r="C19" s="6"/>
      <c r="D19" s="6"/>
      <c r="E19" s="6"/>
      <c r="F19" s="7">
        <v>100</v>
      </c>
      <c r="G19" s="7" t="s">
        <v>28</v>
      </c>
      <c r="H19" s="6"/>
      <c r="I19" s="8"/>
      <c r="J19" s="9"/>
      <c r="K19" s="6"/>
      <c r="L19" s="8"/>
      <c r="M19" s="9"/>
      <c r="N19" s="6"/>
      <c r="O19" s="8"/>
      <c r="P19" s="6"/>
    </row>
    <row r="20" spans="1:16" ht="18" customHeight="1" x14ac:dyDescent="0.25">
      <c r="A20" s="5" t="str">
        <f t="shared" si="0"/>
        <v/>
      </c>
      <c r="B20" s="10"/>
      <c r="C20" s="10"/>
      <c r="D20" s="10"/>
      <c r="E20" s="10"/>
      <c r="F20" s="7">
        <v>100</v>
      </c>
      <c r="G20" s="7" t="s">
        <v>28</v>
      </c>
      <c r="H20" s="10"/>
      <c r="I20" s="8"/>
      <c r="J20" s="11"/>
      <c r="K20" s="10"/>
      <c r="L20" s="8"/>
      <c r="M20" s="11"/>
      <c r="N20" s="10"/>
      <c r="O20" s="8"/>
      <c r="P20" s="10"/>
    </row>
    <row r="21" spans="1:16" ht="18" customHeight="1" x14ac:dyDescent="0.25">
      <c r="A21" s="5" t="str">
        <f t="shared" si="0"/>
        <v/>
      </c>
      <c r="B21" s="6"/>
      <c r="C21" s="6"/>
      <c r="D21" s="6"/>
      <c r="E21" s="6"/>
      <c r="F21" s="7">
        <v>100</v>
      </c>
      <c r="G21" s="7" t="s">
        <v>28</v>
      </c>
      <c r="H21" s="6"/>
      <c r="I21" s="8"/>
      <c r="J21" s="9"/>
      <c r="K21" s="6"/>
      <c r="L21" s="8"/>
      <c r="M21" s="9"/>
      <c r="N21" s="6"/>
      <c r="O21" s="8"/>
      <c r="P21" s="6"/>
    </row>
    <row r="22" spans="1:16" ht="18" customHeight="1" x14ac:dyDescent="0.25">
      <c r="A22" s="5" t="str">
        <f t="shared" si="0"/>
        <v/>
      </c>
      <c r="B22" s="10"/>
      <c r="C22" s="10"/>
      <c r="D22" s="10"/>
      <c r="E22" s="10"/>
      <c r="F22" s="7">
        <v>100</v>
      </c>
      <c r="G22" s="7" t="s">
        <v>28</v>
      </c>
      <c r="H22" s="10"/>
      <c r="I22" s="8"/>
      <c r="J22" s="11"/>
      <c r="K22" s="10"/>
      <c r="L22" s="8"/>
      <c r="M22" s="11"/>
      <c r="N22" s="10"/>
      <c r="O22" s="8"/>
      <c r="P22" s="10"/>
    </row>
    <row r="23" spans="1:16" ht="18" customHeight="1" x14ac:dyDescent="0.25">
      <c r="A23" s="5" t="str">
        <f t="shared" si="0"/>
        <v/>
      </c>
      <c r="B23" s="6"/>
      <c r="C23" s="6"/>
      <c r="D23" s="6"/>
      <c r="E23" s="6"/>
      <c r="F23" s="7">
        <v>100</v>
      </c>
      <c r="G23" s="7" t="s">
        <v>28</v>
      </c>
      <c r="H23" s="6"/>
      <c r="I23" s="8"/>
      <c r="J23" s="9"/>
      <c r="K23" s="6"/>
      <c r="L23" s="8"/>
      <c r="M23" s="9"/>
      <c r="N23" s="6"/>
      <c r="O23" s="8"/>
      <c r="P23" s="6"/>
    </row>
    <row r="24" spans="1:16" ht="18" customHeight="1" x14ac:dyDescent="0.25">
      <c r="A24" s="5" t="str">
        <f t="shared" si="0"/>
        <v/>
      </c>
      <c r="B24" s="10"/>
      <c r="C24" s="10"/>
      <c r="D24" s="10"/>
      <c r="E24" s="10"/>
      <c r="F24" s="7">
        <v>100</v>
      </c>
      <c r="G24" s="7" t="s">
        <v>28</v>
      </c>
      <c r="H24" s="10"/>
      <c r="I24" s="8"/>
      <c r="J24" s="11"/>
      <c r="K24" s="10"/>
      <c r="L24" s="8"/>
      <c r="M24" s="11"/>
      <c r="N24" s="10"/>
      <c r="O24" s="8"/>
      <c r="P24" s="10"/>
    </row>
    <row r="25" spans="1:16" ht="18" customHeight="1" x14ac:dyDescent="0.25">
      <c r="A25" s="5" t="str">
        <f t="shared" si="0"/>
        <v/>
      </c>
      <c r="B25" s="6"/>
      <c r="C25" s="6"/>
      <c r="D25" s="6"/>
      <c r="E25" s="6"/>
      <c r="F25" s="7">
        <v>100</v>
      </c>
      <c r="G25" s="7" t="s">
        <v>28</v>
      </c>
      <c r="H25" s="6"/>
      <c r="I25" s="8"/>
      <c r="J25" s="9"/>
      <c r="K25" s="6"/>
      <c r="L25" s="8"/>
      <c r="M25" s="9"/>
      <c r="N25" s="6"/>
      <c r="O25" s="8"/>
      <c r="P25" s="6"/>
    </row>
    <row r="26" spans="1:16" ht="18" customHeight="1" x14ac:dyDescent="0.25">
      <c r="A26" s="5" t="str">
        <f t="shared" si="0"/>
        <v/>
      </c>
      <c r="B26" s="10"/>
      <c r="C26" s="10"/>
      <c r="D26" s="10"/>
      <c r="E26" s="10"/>
      <c r="F26" s="7">
        <v>100</v>
      </c>
      <c r="G26" s="7" t="s">
        <v>28</v>
      </c>
      <c r="H26" s="10"/>
      <c r="I26" s="8"/>
      <c r="J26" s="11"/>
      <c r="K26" s="10"/>
      <c r="L26" s="8"/>
      <c r="M26" s="11"/>
      <c r="N26" s="10"/>
      <c r="O26" s="8"/>
      <c r="P26" s="10"/>
    </row>
    <row r="27" spans="1:16" ht="18" customHeight="1" x14ac:dyDescent="0.25">
      <c r="A27" s="5" t="str">
        <f t="shared" si="0"/>
        <v/>
      </c>
      <c r="B27" s="6"/>
      <c r="C27" s="6"/>
      <c r="D27" s="6"/>
      <c r="E27" s="6"/>
      <c r="F27" s="7">
        <v>100</v>
      </c>
      <c r="G27" s="7" t="s">
        <v>28</v>
      </c>
      <c r="H27" s="6"/>
      <c r="I27" s="8"/>
      <c r="J27" s="9"/>
      <c r="K27" s="6"/>
      <c r="L27" s="8"/>
      <c r="M27" s="9"/>
      <c r="N27" s="6"/>
      <c r="O27" s="8"/>
      <c r="P27" s="6"/>
    </row>
    <row r="28" spans="1:16" ht="18" customHeight="1" x14ac:dyDescent="0.25">
      <c r="A28" s="5" t="str">
        <f t="shared" si="0"/>
        <v/>
      </c>
      <c r="B28" s="10"/>
      <c r="C28" s="10"/>
      <c r="D28" s="10"/>
      <c r="E28" s="10"/>
      <c r="F28" s="7">
        <v>100</v>
      </c>
      <c r="G28" s="7" t="s">
        <v>28</v>
      </c>
      <c r="H28" s="10"/>
      <c r="I28" s="8"/>
      <c r="J28" s="11"/>
      <c r="K28" s="10"/>
      <c r="L28" s="8"/>
      <c r="M28" s="11"/>
      <c r="N28" s="10"/>
      <c r="O28" s="8"/>
      <c r="P28" s="10"/>
    </row>
    <row r="29" spans="1:16" ht="18" customHeight="1" x14ac:dyDescent="0.25">
      <c r="A29" s="5" t="str">
        <f t="shared" si="0"/>
        <v/>
      </c>
      <c r="B29" s="6"/>
      <c r="C29" s="6"/>
      <c r="D29" s="6"/>
      <c r="E29" s="6"/>
      <c r="F29" s="7">
        <v>100</v>
      </c>
      <c r="G29" s="7" t="s">
        <v>28</v>
      </c>
      <c r="H29" s="6"/>
      <c r="I29" s="8"/>
      <c r="J29" s="9"/>
      <c r="K29" s="6"/>
      <c r="L29" s="8"/>
      <c r="M29" s="9"/>
      <c r="N29" s="6"/>
      <c r="O29" s="8"/>
      <c r="P29" s="6"/>
    </row>
    <row r="30" spans="1:16" ht="18" customHeight="1" x14ac:dyDescent="0.25">
      <c r="A30" s="5" t="str">
        <f t="shared" si="0"/>
        <v/>
      </c>
      <c r="B30" s="10"/>
      <c r="C30" s="10"/>
      <c r="D30" s="10"/>
      <c r="E30" s="10"/>
      <c r="F30" s="7">
        <v>100</v>
      </c>
      <c r="G30" s="7" t="s">
        <v>28</v>
      </c>
      <c r="H30" s="10"/>
      <c r="I30" s="8"/>
      <c r="J30" s="11"/>
      <c r="K30" s="10"/>
      <c r="L30" s="8"/>
      <c r="M30" s="11"/>
      <c r="N30" s="10"/>
      <c r="O30" s="8"/>
      <c r="P30" s="10"/>
    </row>
    <row r="31" spans="1:16" ht="18" customHeight="1" x14ac:dyDescent="0.25">
      <c r="A31" s="5" t="str">
        <f t="shared" si="0"/>
        <v/>
      </c>
      <c r="B31" s="6"/>
      <c r="C31" s="6"/>
      <c r="D31" s="6"/>
      <c r="E31" s="6"/>
      <c r="F31" s="7">
        <v>100</v>
      </c>
      <c r="G31" s="7" t="s">
        <v>28</v>
      </c>
      <c r="H31" s="6"/>
      <c r="I31" s="8"/>
      <c r="J31" s="9"/>
      <c r="K31" s="6"/>
      <c r="L31" s="8"/>
      <c r="M31" s="9"/>
      <c r="N31" s="6"/>
      <c r="O31" s="8"/>
      <c r="P31" s="6"/>
    </row>
    <row r="32" spans="1:16" ht="18" customHeight="1" x14ac:dyDescent="0.25">
      <c r="A32" s="5" t="str">
        <f t="shared" si="0"/>
        <v/>
      </c>
      <c r="B32" s="10"/>
      <c r="C32" s="10"/>
      <c r="D32" s="10"/>
      <c r="E32" s="10"/>
      <c r="F32" s="7">
        <v>100</v>
      </c>
      <c r="G32" s="7" t="s">
        <v>28</v>
      </c>
      <c r="H32" s="10"/>
      <c r="I32" s="8"/>
      <c r="J32" s="11"/>
      <c r="K32" s="10"/>
      <c r="L32" s="8"/>
      <c r="M32" s="11"/>
      <c r="N32" s="10"/>
      <c r="O32" s="8"/>
      <c r="P32" s="10"/>
    </row>
    <row r="33" spans="1:16" ht="18" customHeight="1" x14ac:dyDescent="0.25">
      <c r="A33" s="5" t="str">
        <f t="shared" si="0"/>
        <v/>
      </c>
      <c r="B33" s="6"/>
      <c r="C33" s="6"/>
      <c r="D33" s="6"/>
      <c r="E33" s="6"/>
      <c r="F33" s="7">
        <v>100</v>
      </c>
      <c r="G33" s="7" t="s">
        <v>28</v>
      </c>
      <c r="H33" s="6"/>
      <c r="I33" s="8"/>
      <c r="J33" s="9"/>
      <c r="K33" s="6"/>
      <c r="L33" s="8"/>
      <c r="M33" s="9"/>
      <c r="N33" s="6"/>
      <c r="O33" s="8"/>
      <c r="P33" s="6"/>
    </row>
    <row r="34" spans="1:16" ht="18" customHeight="1" x14ac:dyDescent="0.25">
      <c r="A34" s="5" t="str">
        <f t="shared" si="0"/>
        <v/>
      </c>
      <c r="B34" s="10"/>
      <c r="C34" s="10"/>
      <c r="D34" s="10"/>
      <c r="E34" s="10"/>
      <c r="F34" s="7">
        <v>100</v>
      </c>
      <c r="G34" s="7" t="s">
        <v>28</v>
      </c>
      <c r="H34" s="10"/>
      <c r="I34" s="8"/>
      <c r="J34" s="11"/>
      <c r="K34" s="10"/>
      <c r="L34" s="8"/>
      <c r="M34" s="11"/>
      <c r="N34" s="10"/>
      <c r="O34" s="8"/>
      <c r="P34" s="10"/>
    </row>
    <row r="35" spans="1:16" ht="18" customHeight="1" x14ac:dyDescent="0.25">
      <c r="A35" s="5" t="str">
        <f t="shared" si="0"/>
        <v/>
      </c>
      <c r="B35" s="6"/>
      <c r="C35" s="6"/>
      <c r="D35" s="6"/>
      <c r="E35" s="6"/>
      <c r="F35" s="7">
        <v>100</v>
      </c>
      <c r="G35" s="7" t="s">
        <v>28</v>
      </c>
      <c r="H35" s="6"/>
      <c r="I35" s="8"/>
      <c r="J35" s="9"/>
      <c r="K35" s="6"/>
      <c r="L35" s="8"/>
      <c r="M35" s="9"/>
      <c r="N35" s="6"/>
      <c r="O35" s="8"/>
      <c r="P35" s="6"/>
    </row>
    <row r="36" spans="1:16" ht="18" customHeight="1" x14ac:dyDescent="0.25">
      <c r="A36" s="5" t="str">
        <f t="shared" si="0"/>
        <v/>
      </c>
      <c r="B36" s="10"/>
      <c r="C36" s="10"/>
      <c r="D36" s="10"/>
      <c r="E36" s="10"/>
      <c r="F36" s="7">
        <v>100</v>
      </c>
      <c r="G36" s="7" t="s">
        <v>28</v>
      </c>
      <c r="H36" s="10"/>
      <c r="I36" s="8"/>
      <c r="J36" s="11"/>
      <c r="K36" s="10"/>
      <c r="L36" s="8"/>
      <c r="M36" s="11"/>
      <c r="N36" s="10"/>
      <c r="O36" s="8"/>
      <c r="P36" s="10"/>
    </row>
    <row r="37" spans="1:16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7">
        <v>100</v>
      </c>
      <c r="G37" s="7" t="s">
        <v>28</v>
      </c>
      <c r="H37" s="6"/>
      <c r="I37" s="8"/>
      <c r="J37" s="9"/>
      <c r="K37" s="6"/>
      <c r="L37" s="8"/>
      <c r="M37" s="9"/>
      <c r="N37" s="6"/>
      <c r="O37" s="8"/>
      <c r="P37" s="6"/>
    </row>
    <row r="38" spans="1:16" ht="18" customHeight="1" x14ac:dyDescent="0.25">
      <c r="A38" s="5" t="str">
        <f t="shared" si="1"/>
        <v/>
      </c>
      <c r="B38" s="10"/>
      <c r="C38" s="10"/>
      <c r="D38" s="10"/>
      <c r="E38" s="10"/>
      <c r="F38" s="7">
        <v>100</v>
      </c>
      <c r="G38" s="7" t="s">
        <v>28</v>
      </c>
      <c r="H38" s="10"/>
      <c r="I38" s="8"/>
      <c r="J38" s="11"/>
      <c r="K38" s="10"/>
      <c r="L38" s="8"/>
      <c r="M38" s="11"/>
      <c r="N38" s="10"/>
      <c r="O38" s="8"/>
      <c r="P38" s="10"/>
    </row>
    <row r="39" spans="1:16" ht="18" customHeight="1" x14ac:dyDescent="0.25">
      <c r="A39" s="5" t="str">
        <f t="shared" si="1"/>
        <v/>
      </c>
      <c r="B39" s="6"/>
      <c r="C39" s="6"/>
      <c r="D39" s="6"/>
      <c r="E39" s="6"/>
      <c r="F39" s="7">
        <v>100</v>
      </c>
      <c r="G39" s="7" t="s">
        <v>28</v>
      </c>
      <c r="H39" s="6"/>
      <c r="I39" s="8"/>
      <c r="J39" s="9"/>
      <c r="K39" s="6"/>
      <c r="L39" s="8"/>
      <c r="M39" s="9"/>
      <c r="N39" s="6"/>
      <c r="O39" s="8"/>
      <c r="P39" s="6"/>
    </row>
    <row r="40" spans="1:16" ht="18" customHeight="1" x14ac:dyDescent="0.25">
      <c r="A40" s="5" t="str">
        <f t="shared" si="1"/>
        <v/>
      </c>
      <c r="B40" s="10"/>
      <c r="C40" s="10"/>
      <c r="D40" s="10"/>
      <c r="E40" s="10"/>
      <c r="F40" s="7">
        <v>100</v>
      </c>
      <c r="G40" s="7" t="s">
        <v>28</v>
      </c>
      <c r="H40" s="10"/>
      <c r="I40" s="8"/>
      <c r="J40" s="11"/>
      <c r="K40" s="10"/>
      <c r="L40" s="8"/>
      <c r="M40" s="11"/>
      <c r="N40" s="10"/>
      <c r="O40" s="8"/>
      <c r="P40" s="10"/>
    </row>
    <row r="41" spans="1:16" ht="18" customHeight="1" x14ac:dyDescent="0.25">
      <c r="A41" s="5" t="str">
        <f t="shared" si="1"/>
        <v/>
      </c>
      <c r="B41" s="6"/>
      <c r="C41" s="6"/>
      <c r="D41" s="6"/>
      <c r="E41" s="6"/>
      <c r="F41" s="7">
        <v>100</v>
      </c>
      <c r="G41" s="7" t="s">
        <v>28</v>
      </c>
      <c r="H41" s="6"/>
      <c r="I41" s="8"/>
      <c r="J41" s="9"/>
      <c r="K41" s="6"/>
      <c r="L41" s="8"/>
      <c r="M41" s="9"/>
      <c r="N41" s="6"/>
      <c r="O41" s="8"/>
      <c r="P41" s="6"/>
    </row>
    <row r="42" spans="1:16" ht="18" customHeight="1" x14ac:dyDescent="0.25">
      <c r="A42" s="5" t="str">
        <f t="shared" si="1"/>
        <v/>
      </c>
      <c r="B42" s="10"/>
      <c r="C42" s="10"/>
      <c r="D42" s="10"/>
      <c r="E42" s="10"/>
      <c r="F42" s="7">
        <v>100</v>
      </c>
      <c r="G42" s="7" t="s">
        <v>28</v>
      </c>
      <c r="H42" s="10"/>
      <c r="I42" s="8"/>
      <c r="J42" s="11"/>
      <c r="K42" s="10"/>
      <c r="L42" s="8"/>
      <c r="M42" s="11"/>
      <c r="N42" s="10"/>
      <c r="O42" s="8"/>
      <c r="P42" s="10"/>
    </row>
    <row r="43" spans="1:16" ht="18" customHeight="1" x14ac:dyDescent="0.25">
      <c r="A43" s="5" t="str">
        <f t="shared" si="1"/>
        <v/>
      </c>
      <c r="B43" s="6"/>
      <c r="C43" s="6"/>
      <c r="D43" s="6"/>
      <c r="E43" s="6"/>
      <c r="F43" s="7">
        <v>100</v>
      </c>
      <c r="G43" s="7" t="s">
        <v>28</v>
      </c>
      <c r="H43" s="6"/>
      <c r="I43" s="8"/>
      <c r="J43" s="9"/>
      <c r="K43" s="6"/>
      <c r="L43" s="8"/>
      <c r="M43" s="9"/>
      <c r="N43" s="6"/>
      <c r="O43" s="8"/>
      <c r="P43" s="6"/>
    </row>
    <row r="44" spans="1:16" ht="18" customHeight="1" x14ac:dyDescent="0.25">
      <c r="A44" s="5" t="str">
        <f t="shared" si="1"/>
        <v/>
      </c>
      <c r="B44" s="10"/>
      <c r="C44" s="10"/>
      <c r="D44" s="10"/>
      <c r="E44" s="10"/>
      <c r="F44" s="7">
        <v>100</v>
      </c>
      <c r="G44" s="7" t="s">
        <v>28</v>
      </c>
      <c r="H44" s="10"/>
      <c r="I44" s="8"/>
      <c r="J44" s="11"/>
      <c r="K44" s="10"/>
      <c r="L44" s="8"/>
      <c r="M44" s="11"/>
      <c r="N44" s="10"/>
      <c r="O44" s="8"/>
      <c r="P44" s="10"/>
    </row>
    <row r="45" spans="1:16" ht="18" customHeight="1" x14ac:dyDescent="0.25">
      <c r="A45" s="5" t="str">
        <f t="shared" si="1"/>
        <v/>
      </c>
      <c r="B45" s="6"/>
      <c r="C45" s="6"/>
      <c r="D45" s="6"/>
      <c r="E45" s="6"/>
      <c r="F45" s="7">
        <v>100</v>
      </c>
      <c r="G45" s="7" t="s">
        <v>28</v>
      </c>
      <c r="H45" s="6"/>
      <c r="I45" s="8"/>
      <c r="J45" s="9"/>
      <c r="K45" s="6"/>
      <c r="L45" s="8"/>
      <c r="M45" s="9"/>
      <c r="N45" s="6"/>
      <c r="O45" s="8"/>
      <c r="P45" s="6"/>
    </row>
    <row r="46" spans="1:16" ht="18" customHeight="1" x14ac:dyDescent="0.25">
      <c r="A46" s="5" t="str">
        <f t="shared" si="1"/>
        <v/>
      </c>
      <c r="B46" s="10"/>
      <c r="C46" s="10"/>
      <c r="D46" s="10"/>
      <c r="E46" s="10"/>
      <c r="F46" s="7">
        <v>100</v>
      </c>
      <c r="G46" s="7" t="s">
        <v>28</v>
      </c>
      <c r="H46" s="10"/>
      <c r="I46" s="8"/>
      <c r="J46" s="11"/>
      <c r="K46" s="10"/>
      <c r="L46" s="8"/>
      <c r="M46" s="11"/>
      <c r="N46" s="10"/>
      <c r="O46" s="8"/>
      <c r="P46" s="10"/>
    </row>
    <row r="47" spans="1:16" ht="18" customHeight="1" x14ac:dyDescent="0.25">
      <c r="A47" s="5" t="str">
        <f t="shared" si="1"/>
        <v/>
      </c>
      <c r="B47" s="6"/>
      <c r="C47" s="6"/>
      <c r="D47" s="6"/>
      <c r="E47" s="6"/>
      <c r="F47" s="7">
        <v>100</v>
      </c>
      <c r="G47" s="7" t="s">
        <v>28</v>
      </c>
      <c r="H47" s="6"/>
      <c r="I47" s="8"/>
      <c r="J47" s="9"/>
      <c r="K47" s="6"/>
      <c r="L47" s="8"/>
      <c r="M47" s="9"/>
      <c r="N47" s="6"/>
      <c r="O47" s="8"/>
      <c r="P47" s="6"/>
    </row>
    <row r="48" spans="1:16" ht="18" customHeight="1" x14ac:dyDescent="0.25">
      <c r="A48" s="5" t="str">
        <f t="shared" si="1"/>
        <v/>
      </c>
      <c r="B48" s="10"/>
      <c r="C48" s="10"/>
      <c r="D48" s="10"/>
      <c r="E48" s="10"/>
      <c r="F48" s="7">
        <v>100</v>
      </c>
      <c r="G48" s="7" t="s">
        <v>28</v>
      </c>
      <c r="H48" s="10"/>
      <c r="I48" s="8"/>
      <c r="J48" s="11"/>
      <c r="K48" s="10"/>
      <c r="L48" s="8"/>
      <c r="M48" s="11"/>
      <c r="N48" s="10"/>
      <c r="O48" s="8"/>
      <c r="P48" s="10"/>
    </row>
    <row r="49" spans="1:16" ht="18" customHeight="1" x14ac:dyDescent="0.25">
      <c r="A49" s="5" t="str">
        <f t="shared" si="1"/>
        <v/>
      </c>
      <c r="B49" s="6"/>
      <c r="C49" s="6"/>
      <c r="D49" s="6"/>
      <c r="E49" s="6"/>
      <c r="F49" s="7">
        <v>100</v>
      </c>
      <c r="G49" s="7" t="s">
        <v>28</v>
      </c>
      <c r="H49" s="6"/>
      <c r="I49" s="8"/>
      <c r="J49" s="9"/>
      <c r="K49" s="6"/>
      <c r="L49" s="8"/>
      <c r="M49" s="9"/>
      <c r="N49" s="6"/>
      <c r="O49" s="8"/>
      <c r="P49" s="6"/>
    </row>
    <row r="50" spans="1:16" ht="18" customHeight="1" x14ac:dyDescent="0.25">
      <c r="A50" s="5" t="str">
        <f t="shared" si="1"/>
        <v/>
      </c>
      <c r="B50" s="10"/>
      <c r="C50" s="10"/>
      <c r="D50" s="10"/>
      <c r="E50" s="10"/>
      <c r="F50" s="7">
        <v>100</v>
      </c>
      <c r="G50" s="7" t="s">
        <v>28</v>
      </c>
      <c r="H50" s="10"/>
      <c r="I50" s="8"/>
      <c r="J50" s="11"/>
      <c r="K50" s="10"/>
      <c r="L50" s="8"/>
      <c r="M50" s="11"/>
      <c r="N50" s="10"/>
      <c r="O50" s="8"/>
      <c r="P50" s="10"/>
    </row>
    <row r="51" spans="1:16" ht="18" customHeight="1" x14ac:dyDescent="0.25">
      <c r="A51" s="5" t="str">
        <f t="shared" si="1"/>
        <v/>
      </c>
      <c r="B51" s="6"/>
      <c r="C51" s="6"/>
      <c r="D51" s="6"/>
      <c r="E51" s="6"/>
      <c r="F51" s="7">
        <v>100</v>
      </c>
      <c r="G51" s="7" t="s">
        <v>28</v>
      </c>
      <c r="H51" s="6"/>
      <c r="I51" s="8"/>
      <c r="J51" s="9"/>
      <c r="K51" s="6"/>
      <c r="L51" s="8"/>
      <c r="M51" s="9"/>
      <c r="N51" s="6"/>
      <c r="O51" s="8"/>
      <c r="P51" s="6"/>
    </row>
    <row r="52" spans="1:16" ht="18" customHeight="1" x14ac:dyDescent="0.25">
      <c r="A52" s="5" t="str">
        <f t="shared" si="1"/>
        <v/>
      </c>
      <c r="B52" s="10"/>
      <c r="C52" s="10"/>
      <c r="D52" s="10"/>
      <c r="E52" s="10"/>
      <c r="F52" s="7">
        <v>100</v>
      </c>
      <c r="G52" s="7" t="s">
        <v>28</v>
      </c>
      <c r="H52" s="10"/>
      <c r="I52" s="8"/>
      <c r="J52" s="11"/>
      <c r="K52" s="10"/>
      <c r="L52" s="8"/>
      <c r="M52" s="11"/>
      <c r="N52" s="10"/>
      <c r="O52" s="8"/>
      <c r="P52" s="10"/>
    </row>
    <row r="53" spans="1:16" ht="18" customHeight="1" x14ac:dyDescent="0.25">
      <c r="A53" s="5" t="str">
        <f t="shared" si="1"/>
        <v/>
      </c>
      <c r="B53" s="6"/>
      <c r="C53" s="6"/>
      <c r="D53" s="6"/>
      <c r="E53" s="6"/>
      <c r="F53" s="7">
        <v>100</v>
      </c>
      <c r="G53" s="7" t="s">
        <v>28</v>
      </c>
      <c r="H53" s="6"/>
      <c r="I53" s="8"/>
      <c r="J53" s="9"/>
      <c r="K53" s="6"/>
      <c r="L53" s="8"/>
      <c r="M53" s="9"/>
      <c r="N53" s="6"/>
      <c r="O53" s="8"/>
      <c r="P53" s="6"/>
    </row>
    <row r="54" spans="1:16" ht="18" customHeight="1" x14ac:dyDescent="0.25">
      <c r="A54" s="5" t="str">
        <f t="shared" si="1"/>
        <v/>
      </c>
      <c r="B54" s="10"/>
      <c r="C54" s="10"/>
      <c r="D54" s="10"/>
      <c r="E54" s="10"/>
      <c r="F54" s="7">
        <v>100</v>
      </c>
      <c r="G54" s="7" t="s">
        <v>28</v>
      </c>
      <c r="H54" s="10"/>
      <c r="I54" s="8"/>
      <c r="J54" s="11"/>
      <c r="K54" s="10"/>
      <c r="L54" s="8"/>
      <c r="M54" s="11"/>
      <c r="N54" s="10"/>
      <c r="O54" s="8"/>
      <c r="P54" s="10"/>
    </row>
    <row r="55" spans="1:16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</sheetData>
  <mergeCells count="3">
    <mergeCell ref="A1:P1"/>
    <mergeCell ref="A2:P2"/>
    <mergeCell ref="A55:P55"/>
  </mergeCells>
  <dataValidations count="1">
    <dataValidation type="list" sqref="J5:J54 M5:M54" xr:uid="{00000000-0002-0000-01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192C"/>
  </sheetPr>
  <dimension ref="A1:N5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4" sqref="F4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12" customWidth="1"/>
    <col min="7" max="7" width="11" customWidth="1"/>
    <col min="8" max="8" width="35" customWidth="1"/>
    <col min="9" max="9" width="26" customWidth="1"/>
    <col min="10" max="10" width="20" customWidth="1"/>
    <col min="11" max="11" width="35" customWidth="1"/>
    <col min="12" max="12" width="26" customWidth="1"/>
    <col min="13" max="13" width="20" customWidth="1"/>
    <col min="14" max="14" width="30" customWidth="1"/>
  </cols>
  <sheetData>
    <row r="1" spans="1:14" ht="39.75" customHeight="1" x14ac:dyDescent="0.25">
      <c r="A1" s="21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3.75" customHeight="1" x14ac:dyDescent="0.25">
      <c r="A2" s="22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57</v>
      </c>
    </row>
    <row r="4" spans="1:14" ht="51.75" customHeight="1" x14ac:dyDescent="0.25">
      <c r="A4" s="3" t="s">
        <v>58</v>
      </c>
      <c r="B4" s="4" t="s">
        <v>75</v>
      </c>
      <c r="C4" s="4" t="s">
        <v>60</v>
      </c>
      <c r="D4" s="4" t="s">
        <v>61</v>
      </c>
      <c r="E4" s="4" t="s">
        <v>76</v>
      </c>
      <c r="F4" s="4" t="s">
        <v>202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</row>
    <row r="5" spans="1:14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7">
        <v>200</v>
      </c>
      <c r="G5" s="7" t="s">
        <v>28</v>
      </c>
      <c r="H5" s="6"/>
      <c r="I5" s="8"/>
      <c r="J5" s="9"/>
      <c r="K5" s="6"/>
      <c r="L5" s="8"/>
      <c r="M5" s="9"/>
      <c r="N5" s="6"/>
    </row>
    <row r="6" spans="1:14" ht="18" customHeight="1" x14ac:dyDescent="0.25">
      <c r="A6" s="5" t="str">
        <f t="shared" si="0"/>
        <v/>
      </c>
      <c r="B6" s="10"/>
      <c r="C6" s="10"/>
      <c r="D6" s="10"/>
      <c r="E6" s="10"/>
      <c r="F6" s="7">
        <v>200</v>
      </c>
      <c r="G6" s="7" t="s">
        <v>28</v>
      </c>
      <c r="H6" s="10"/>
      <c r="I6" s="8"/>
      <c r="J6" s="11"/>
      <c r="K6" s="10"/>
      <c r="L6" s="8"/>
      <c r="M6" s="11"/>
      <c r="N6" s="10"/>
    </row>
    <row r="7" spans="1:14" ht="18" customHeight="1" x14ac:dyDescent="0.25">
      <c r="A7" s="5" t="str">
        <f t="shared" si="0"/>
        <v/>
      </c>
      <c r="B7" s="6"/>
      <c r="C7" s="6"/>
      <c r="D7" s="6"/>
      <c r="E7" s="6"/>
      <c r="F7" s="7">
        <v>200</v>
      </c>
      <c r="G7" s="7" t="s">
        <v>28</v>
      </c>
      <c r="H7" s="6"/>
      <c r="I7" s="8"/>
      <c r="J7" s="9"/>
      <c r="K7" s="6"/>
      <c r="L7" s="8"/>
      <c r="M7" s="9"/>
      <c r="N7" s="6"/>
    </row>
    <row r="8" spans="1:14" ht="18" customHeight="1" x14ac:dyDescent="0.25">
      <c r="A8" s="5" t="str">
        <f t="shared" si="0"/>
        <v/>
      </c>
      <c r="B8" s="10"/>
      <c r="C8" s="10"/>
      <c r="D8" s="10"/>
      <c r="E8" s="10"/>
      <c r="F8" s="7">
        <v>200</v>
      </c>
      <c r="G8" s="7" t="s">
        <v>28</v>
      </c>
      <c r="H8" s="10"/>
      <c r="I8" s="8"/>
      <c r="J8" s="11"/>
      <c r="K8" s="10"/>
      <c r="L8" s="8"/>
      <c r="M8" s="11"/>
      <c r="N8" s="10"/>
    </row>
    <row r="9" spans="1:14" ht="18" customHeight="1" x14ac:dyDescent="0.25">
      <c r="A9" s="5" t="str">
        <f t="shared" si="0"/>
        <v/>
      </c>
      <c r="B9" s="6"/>
      <c r="C9" s="6"/>
      <c r="D9" s="6"/>
      <c r="E9" s="6"/>
      <c r="F9" s="7">
        <v>200</v>
      </c>
      <c r="G9" s="7" t="s">
        <v>28</v>
      </c>
      <c r="H9" s="6"/>
      <c r="I9" s="8"/>
      <c r="J9" s="9"/>
      <c r="K9" s="6"/>
      <c r="L9" s="8"/>
      <c r="M9" s="9"/>
      <c r="N9" s="6"/>
    </row>
    <row r="10" spans="1:14" ht="18" customHeight="1" x14ac:dyDescent="0.25">
      <c r="A10" s="5" t="str">
        <f t="shared" si="0"/>
        <v/>
      </c>
      <c r="B10" s="10"/>
      <c r="C10" s="10"/>
      <c r="D10" s="10"/>
      <c r="E10" s="10"/>
      <c r="F10" s="7">
        <v>200</v>
      </c>
      <c r="G10" s="7" t="s">
        <v>28</v>
      </c>
      <c r="H10" s="10"/>
      <c r="I10" s="8"/>
      <c r="J10" s="11"/>
      <c r="K10" s="10"/>
      <c r="L10" s="8"/>
      <c r="M10" s="11"/>
      <c r="N10" s="10"/>
    </row>
    <row r="11" spans="1:14" ht="18" customHeight="1" x14ac:dyDescent="0.25">
      <c r="A11" s="5" t="str">
        <f t="shared" si="0"/>
        <v/>
      </c>
      <c r="B11" s="6"/>
      <c r="C11" s="6"/>
      <c r="D11" s="6"/>
      <c r="E11" s="6"/>
      <c r="F11" s="7">
        <v>200</v>
      </c>
      <c r="G11" s="7" t="s">
        <v>28</v>
      </c>
      <c r="H11" s="6"/>
      <c r="I11" s="8"/>
      <c r="J11" s="9"/>
      <c r="K11" s="6"/>
      <c r="L11" s="8"/>
      <c r="M11" s="9"/>
      <c r="N11" s="6"/>
    </row>
    <row r="12" spans="1:14" ht="18" customHeight="1" x14ac:dyDescent="0.25">
      <c r="A12" s="5" t="str">
        <f t="shared" si="0"/>
        <v/>
      </c>
      <c r="B12" s="10"/>
      <c r="C12" s="10"/>
      <c r="D12" s="10"/>
      <c r="E12" s="10"/>
      <c r="F12" s="7">
        <v>200</v>
      </c>
      <c r="G12" s="7" t="s">
        <v>28</v>
      </c>
      <c r="H12" s="10"/>
      <c r="I12" s="8"/>
      <c r="J12" s="11"/>
      <c r="K12" s="10"/>
      <c r="L12" s="8"/>
      <c r="M12" s="11"/>
      <c r="N12" s="10"/>
    </row>
    <row r="13" spans="1:14" ht="18" customHeight="1" x14ac:dyDescent="0.25">
      <c r="A13" s="5" t="str">
        <f t="shared" si="0"/>
        <v/>
      </c>
      <c r="B13" s="6"/>
      <c r="C13" s="6"/>
      <c r="D13" s="6"/>
      <c r="E13" s="6"/>
      <c r="F13" s="7">
        <v>200</v>
      </c>
      <c r="G13" s="7" t="s">
        <v>28</v>
      </c>
      <c r="H13" s="6"/>
      <c r="I13" s="8"/>
      <c r="J13" s="9"/>
      <c r="K13" s="6"/>
      <c r="L13" s="8"/>
      <c r="M13" s="9"/>
      <c r="N13" s="6"/>
    </row>
    <row r="14" spans="1:14" ht="18" customHeight="1" x14ac:dyDescent="0.25">
      <c r="A14" s="5" t="str">
        <f t="shared" si="0"/>
        <v/>
      </c>
      <c r="B14" s="10"/>
      <c r="C14" s="10"/>
      <c r="D14" s="10"/>
      <c r="E14" s="10"/>
      <c r="F14" s="7">
        <v>200</v>
      </c>
      <c r="G14" s="7" t="s">
        <v>28</v>
      </c>
      <c r="H14" s="10"/>
      <c r="I14" s="8"/>
      <c r="J14" s="11"/>
      <c r="K14" s="10"/>
      <c r="L14" s="8"/>
      <c r="M14" s="11"/>
      <c r="N14" s="10"/>
    </row>
    <row r="15" spans="1:14" ht="18" customHeight="1" x14ac:dyDescent="0.25">
      <c r="A15" s="5" t="str">
        <f t="shared" si="0"/>
        <v/>
      </c>
      <c r="B15" s="6"/>
      <c r="C15" s="6"/>
      <c r="D15" s="6"/>
      <c r="E15" s="6"/>
      <c r="F15" s="7">
        <v>200</v>
      </c>
      <c r="G15" s="7" t="s">
        <v>28</v>
      </c>
      <c r="H15" s="6"/>
      <c r="I15" s="8"/>
      <c r="J15" s="9"/>
      <c r="K15" s="6"/>
      <c r="L15" s="8"/>
      <c r="M15" s="9"/>
      <c r="N15" s="6"/>
    </row>
    <row r="16" spans="1:14" ht="18" customHeight="1" x14ac:dyDescent="0.25">
      <c r="A16" s="5" t="str">
        <f t="shared" si="0"/>
        <v/>
      </c>
      <c r="B16" s="10"/>
      <c r="C16" s="10"/>
      <c r="D16" s="10"/>
      <c r="E16" s="10"/>
      <c r="F16" s="7">
        <v>200</v>
      </c>
      <c r="G16" s="7" t="s">
        <v>28</v>
      </c>
      <c r="H16" s="10"/>
      <c r="I16" s="8"/>
      <c r="J16" s="11"/>
      <c r="K16" s="10"/>
      <c r="L16" s="8"/>
      <c r="M16" s="11"/>
      <c r="N16" s="10"/>
    </row>
    <row r="17" spans="1:14" ht="18" customHeight="1" x14ac:dyDescent="0.25">
      <c r="A17" s="5" t="str">
        <f t="shared" si="0"/>
        <v/>
      </c>
      <c r="B17" s="6"/>
      <c r="C17" s="6"/>
      <c r="D17" s="6"/>
      <c r="E17" s="6"/>
      <c r="F17" s="7">
        <v>200</v>
      </c>
      <c r="G17" s="7" t="s">
        <v>28</v>
      </c>
      <c r="H17" s="6"/>
      <c r="I17" s="8"/>
      <c r="J17" s="9"/>
      <c r="K17" s="6"/>
      <c r="L17" s="8"/>
      <c r="M17" s="9"/>
      <c r="N17" s="6"/>
    </row>
    <row r="18" spans="1:14" ht="18" customHeight="1" x14ac:dyDescent="0.25">
      <c r="A18" s="5" t="str">
        <f t="shared" si="0"/>
        <v/>
      </c>
      <c r="B18" s="10"/>
      <c r="C18" s="10"/>
      <c r="D18" s="10"/>
      <c r="E18" s="10"/>
      <c r="F18" s="7">
        <v>200</v>
      </c>
      <c r="G18" s="7" t="s">
        <v>28</v>
      </c>
      <c r="H18" s="10"/>
      <c r="I18" s="8"/>
      <c r="J18" s="11"/>
      <c r="K18" s="10"/>
      <c r="L18" s="8"/>
      <c r="M18" s="11"/>
      <c r="N18" s="10"/>
    </row>
    <row r="19" spans="1:14" ht="18" customHeight="1" x14ac:dyDescent="0.25">
      <c r="A19" s="5" t="str">
        <f t="shared" si="0"/>
        <v/>
      </c>
      <c r="B19" s="6"/>
      <c r="C19" s="6"/>
      <c r="D19" s="6"/>
      <c r="E19" s="6"/>
      <c r="F19" s="7">
        <v>200</v>
      </c>
      <c r="G19" s="7" t="s">
        <v>28</v>
      </c>
      <c r="H19" s="6"/>
      <c r="I19" s="8"/>
      <c r="J19" s="9"/>
      <c r="K19" s="6"/>
      <c r="L19" s="8"/>
      <c r="M19" s="9"/>
      <c r="N19" s="6"/>
    </row>
    <row r="20" spans="1:14" ht="18" customHeight="1" x14ac:dyDescent="0.25">
      <c r="A20" s="5" t="str">
        <f t="shared" si="0"/>
        <v/>
      </c>
      <c r="B20" s="10"/>
      <c r="C20" s="10"/>
      <c r="D20" s="10"/>
      <c r="E20" s="10"/>
      <c r="F20" s="7">
        <v>200</v>
      </c>
      <c r="G20" s="7" t="s">
        <v>28</v>
      </c>
      <c r="H20" s="10"/>
      <c r="I20" s="8"/>
      <c r="J20" s="11"/>
      <c r="K20" s="10"/>
      <c r="L20" s="8"/>
      <c r="M20" s="11"/>
      <c r="N20" s="10"/>
    </row>
    <row r="21" spans="1:14" ht="18" customHeight="1" x14ac:dyDescent="0.25">
      <c r="A21" s="5" t="str">
        <f t="shared" si="0"/>
        <v/>
      </c>
      <c r="B21" s="6"/>
      <c r="C21" s="6"/>
      <c r="D21" s="6"/>
      <c r="E21" s="6"/>
      <c r="F21" s="7">
        <v>200</v>
      </c>
      <c r="G21" s="7" t="s">
        <v>28</v>
      </c>
      <c r="H21" s="6"/>
      <c r="I21" s="8"/>
      <c r="J21" s="9"/>
      <c r="K21" s="6"/>
      <c r="L21" s="8"/>
      <c r="M21" s="9"/>
      <c r="N21" s="6"/>
    </row>
    <row r="22" spans="1:14" ht="18" customHeight="1" x14ac:dyDescent="0.25">
      <c r="A22" s="5" t="str">
        <f t="shared" si="0"/>
        <v/>
      </c>
      <c r="B22" s="10"/>
      <c r="C22" s="10"/>
      <c r="D22" s="10"/>
      <c r="E22" s="10"/>
      <c r="F22" s="7">
        <v>200</v>
      </c>
      <c r="G22" s="7" t="s">
        <v>28</v>
      </c>
      <c r="H22" s="10"/>
      <c r="I22" s="8"/>
      <c r="J22" s="11"/>
      <c r="K22" s="10"/>
      <c r="L22" s="8"/>
      <c r="M22" s="11"/>
      <c r="N22" s="10"/>
    </row>
    <row r="23" spans="1:14" ht="18" customHeight="1" x14ac:dyDescent="0.25">
      <c r="A23" s="5" t="str">
        <f t="shared" si="0"/>
        <v/>
      </c>
      <c r="B23" s="6"/>
      <c r="C23" s="6"/>
      <c r="D23" s="6"/>
      <c r="E23" s="6"/>
      <c r="F23" s="7">
        <v>200</v>
      </c>
      <c r="G23" s="7" t="s">
        <v>28</v>
      </c>
      <c r="H23" s="6"/>
      <c r="I23" s="8"/>
      <c r="J23" s="9"/>
      <c r="K23" s="6"/>
      <c r="L23" s="8"/>
      <c r="M23" s="9"/>
      <c r="N23" s="6"/>
    </row>
    <row r="24" spans="1:14" ht="18" customHeight="1" x14ac:dyDescent="0.25">
      <c r="A24" s="5" t="str">
        <f t="shared" si="0"/>
        <v/>
      </c>
      <c r="B24" s="10"/>
      <c r="C24" s="10"/>
      <c r="D24" s="10"/>
      <c r="E24" s="10"/>
      <c r="F24" s="7">
        <v>200</v>
      </c>
      <c r="G24" s="7" t="s">
        <v>28</v>
      </c>
      <c r="H24" s="10"/>
      <c r="I24" s="8"/>
      <c r="J24" s="11"/>
      <c r="K24" s="10"/>
      <c r="L24" s="8"/>
      <c r="M24" s="11"/>
      <c r="N24" s="10"/>
    </row>
    <row r="25" spans="1:14" ht="18" customHeight="1" x14ac:dyDescent="0.25">
      <c r="A25" s="5" t="str">
        <f t="shared" si="0"/>
        <v/>
      </c>
      <c r="B25" s="6"/>
      <c r="C25" s="6"/>
      <c r="D25" s="6"/>
      <c r="E25" s="6"/>
      <c r="F25" s="7">
        <v>200</v>
      </c>
      <c r="G25" s="7" t="s">
        <v>28</v>
      </c>
      <c r="H25" s="6"/>
      <c r="I25" s="8"/>
      <c r="J25" s="9"/>
      <c r="K25" s="6"/>
      <c r="L25" s="8"/>
      <c r="M25" s="9"/>
      <c r="N25" s="6"/>
    </row>
    <row r="26" spans="1:14" ht="18" customHeight="1" x14ac:dyDescent="0.25">
      <c r="A26" s="5" t="str">
        <f t="shared" si="0"/>
        <v/>
      </c>
      <c r="B26" s="10"/>
      <c r="C26" s="10"/>
      <c r="D26" s="10"/>
      <c r="E26" s="10"/>
      <c r="F26" s="7">
        <v>200</v>
      </c>
      <c r="G26" s="7" t="s">
        <v>28</v>
      </c>
      <c r="H26" s="10"/>
      <c r="I26" s="8"/>
      <c r="J26" s="11"/>
      <c r="K26" s="10"/>
      <c r="L26" s="8"/>
      <c r="M26" s="11"/>
      <c r="N26" s="10"/>
    </row>
    <row r="27" spans="1:14" ht="18" customHeight="1" x14ac:dyDescent="0.25">
      <c r="A27" s="5" t="str">
        <f t="shared" si="0"/>
        <v/>
      </c>
      <c r="B27" s="6"/>
      <c r="C27" s="6"/>
      <c r="D27" s="6"/>
      <c r="E27" s="6"/>
      <c r="F27" s="7">
        <v>200</v>
      </c>
      <c r="G27" s="7" t="s">
        <v>28</v>
      </c>
      <c r="H27" s="6"/>
      <c r="I27" s="8"/>
      <c r="J27" s="9"/>
      <c r="K27" s="6"/>
      <c r="L27" s="8"/>
      <c r="M27" s="9"/>
      <c r="N27" s="6"/>
    </row>
    <row r="28" spans="1:14" ht="18" customHeight="1" x14ac:dyDescent="0.25">
      <c r="A28" s="5" t="str">
        <f t="shared" si="0"/>
        <v/>
      </c>
      <c r="B28" s="10"/>
      <c r="C28" s="10"/>
      <c r="D28" s="10"/>
      <c r="E28" s="10"/>
      <c r="F28" s="7">
        <v>200</v>
      </c>
      <c r="G28" s="7" t="s">
        <v>28</v>
      </c>
      <c r="H28" s="10"/>
      <c r="I28" s="8"/>
      <c r="J28" s="11"/>
      <c r="K28" s="10"/>
      <c r="L28" s="8"/>
      <c r="M28" s="11"/>
      <c r="N28" s="10"/>
    </row>
    <row r="29" spans="1:14" ht="18" customHeight="1" x14ac:dyDescent="0.25">
      <c r="A29" s="5" t="str">
        <f t="shared" si="0"/>
        <v/>
      </c>
      <c r="B29" s="6"/>
      <c r="C29" s="6"/>
      <c r="D29" s="6"/>
      <c r="E29" s="6"/>
      <c r="F29" s="7">
        <v>200</v>
      </c>
      <c r="G29" s="7" t="s">
        <v>28</v>
      </c>
      <c r="H29" s="6"/>
      <c r="I29" s="8"/>
      <c r="J29" s="9"/>
      <c r="K29" s="6"/>
      <c r="L29" s="8"/>
      <c r="M29" s="9"/>
      <c r="N29" s="6"/>
    </row>
    <row r="30" spans="1:14" ht="18" customHeight="1" x14ac:dyDescent="0.25">
      <c r="A30" s="5" t="str">
        <f t="shared" si="0"/>
        <v/>
      </c>
      <c r="B30" s="10"/>
      <c r="C30" s="10"/>
      <c r="D30" s="10"/>
      <c r="E30" s="10"/>
      <c r="F30" s="7">
        <v>200</v>
      </c>
      <c r="G30" s="7" t="s">
        <v>28</v>
      </c>
      <c r="H30" s="10"/>
      <c r="I30" s="8"/>
      <c r="J30" s="11"/>
      <c r="K30" s="10"/>
      <c r="L30" s="8"/>
      <c r="M30" s="11"/>
      <c r="N30" s="10"/>
    </row>
    <row r="31" spans="1:14" ht="18" customHeight="1" x14ac:dyDescent="0.25">
      <c r="A31" s="5" t="str">
        <f t="shared" si="0"/>
        <v/>
      </c>
      <c r="B31" s="6"/>
      <c r="C31" s="6"/>
      <c r="D31" s="6"/>
      <c r="E31" s="6"/>
      <c r="F31" s="7">
        <v>200</v>
      </c>
      <c r="G31" s="7" t="s">
        <v>28</v>
      </c>
      <c r="H31" s="6"/>
      <c r="I31" s="8"/>
      <c r="J31" s="9"/>
      <c r="K31" s="6"/>
      <c r="L31" s="8"/>
      <c r="M31" s="9"/>
      <c r="N31" s="6"/>
    </row>
    <row r="32" spans="1:14" ht="18" customHeight="1" x14ac:dyDescent="0.25">
      <c r="A32" s="5" t="str">
        <f t="shared" si="0"/>
        <v/>
      </c>
      <c r="B32" s="10"/>
      <c r="C32" s="10"/>
      <c r="D32" s="10"/>
      <c r="E32" s="10"/>
      <c r="F32" s="7">
        <v>200</v>
      </c>
      <c r="G32" s="7" t="s">
        <v>28</v>
      </c>
      <c r="H32" s="10"/>
      <c r="I32" s="8"/>
      <c r="J32" s="11"/>
      <c r="K32" s="10"/>
      <c r="L32" s="8"/>
      <c r="M32" s="11"/>
      <c r="N32" s="10"/>
    </row>
    <row r="33" spans="1:14" ht="18" customHeight="1" x14ac:dyDescent="0.25">
      <c r="A33" s="5" t="str">
        <f t="shared" si="0"/>
        <v/>
      </c>
      <c r="B33" s="6"/>
      <c r="C33" s="6"/>
      <c r="D33" s="6"/>
      <c r="E33" s="6"/>
      <c r="F33" s="7">
        <v>200</v>
      </c>
      <c r="G33" s="7" t="s">
        <v>28</v>
      </c>
      <c r="H33" s="6"/>
      <c r="I33" s="8"/>
      <c r="J33" s="9"/>
      <c r="K33" s="6"/>
      <c r="L33" s="8"/>
      <c r="M33" s="9"/>
      <c r="N33" s="6"/>
    </row>
    <row r="34" spans="1:14" ht="18" customHeight="1" x14ac:dyDescent="0.25">
      <c r="A34" s="5" t="str">
        <f t="shared" si="0"/>
        <v/>
      </c>
      <c r="B34" s="10"/>
      <c r="C34" s="10"/>
      <c r="D34" s="10"/>
      <c r="E34" s="10"/>
      <c r="F34" s="7">
        <v>200</v>
      </c>
      <c r="G34" s="7" t="s">
        <v>28</v>
      </c>
      <c r="H34" s="10"/>
      <c r="I34" s="8"/>
      <c r="J34" s="11"/>
      <c r="K34" s="10"/>
      <c r="L34" s="8"/>
      <c r="M34" s="11"/>
      <c r="N34" s="10"/>
    </row>
    <row r="35" spans="1:14" ht="18" customHeight="1" x14ac:dyDescent="0.25">
      <c r="A35" s="5" t="str">
        <f t="shared" si="0"/>
        <v/>
      </c>
      <c r="B35" s="6"/>
      <c r="C35" s="6"/>
      <c r="D35" s="6"/>
      <c r="E35" s="6"/>
      <c r="F35" s="7">
        <v>200</v>
      </c>
      <c r="G35" s="7" t="s">
        <v>28</v>
      </c>
      <c r="H35" s="6"/>
      <c r="I35" s="8"/>
      <c r="J35" s="9"/>
      <c r="K35" s="6"/>
      <c r="L35" s="8"/>
      <c r="M35" s="9"/>
      <c r="N35" s="6"/>
    </row>
    <row r="36" spans="1:14" ht="18" customHeight="1" x14ac:dyDescent="0.25">
      <c r="A36" s="5" t="str">
        <f t="shared" si="0"/>
        <v/>
      </c>
      <c r="B36" s="10"/>
      <c r="C36" s="10"/>
      <c r="D36" s="10"/>
      <c r="E36" s="10"/>
      <c r="F36" s="7">
        <v>200</v>
      </c>
      <c r="G36" s="7" t="s">
        <v>28</v>
      </c>
      <c r="H36" s="10"/>
      <c r="I36" s="8"/>
      <c r="J36" s="11"/>
      <c r="K36" s="10"/>
      <c r="L36" s="8"/>
      <c r="M36" s="11"/>
      <c r="N36" s="10"/>
    </row>
    <row r="37" spans="1:14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7">
        <v>200</v>
      </c>
      <c r="G37" s="7" t="s">
        <v>28</v>
      </c>
      <c r="H37" s="6"/>
      <c r="I37" s="8"/>
      <c r="J37" s="9"/>
      <c r="K37" s="6"/>
      <c r="L37" s="8"/>
      <c r="M37" s="9"/>
      <c r="N37" s="6"/>
    </row>
    <row r="38" spans="1:14" ht="18" customHeight="1" x14ac:dyDescent="0.25">
      <c r="A38" s="5" t="str">
        <f t="shared" si="1"/>
        <v/>
      </c>
      <c r="B38" s="10"/>
      <c r="C38" s="10"/>
      <c r="D38" s="10"/>
      <c r="E38" s="10"/>
      <c r="F38" s="7">
        <v>200</v>
      </c>
      <c r="G38" s="7" t="s">
        <v>28</v>
      </c>
      <c r="H38" s="10"/>
      <c r="I38" s="8"/>
      <c r="J38" s="11"/>
      <c r="K38" s="10"/>
      <c r="L38" s="8"/>
      <c r="M38" s="11"/>
      <c r="N38" s="10"/>
    </row>
    <row r="39" spans="1:14" ht="18" customHeight="1" x14ac:dyDescent="0.25">
      <c r="A39" s="5" t="str">
        <f t="shared" si="1"/>
        <v/>
      </c>
      <c r="B39" s="6"/>
      <c r="C39" s="6"/>
      <c r="D39" s="6"/>
      <c r="E39" s="6"/>
      <c r="F39" s="7">
        <v>200</v>
      </c>
      <c r="G39" s="7" t="s">
        <v>28</v>
      </c>
      <c r="H39" s="6"/>
      <c r="I39" s="8"/>
      <c r="J39" s="9"/>
      <c r="K39" s="6"/>
      <c r="L39" s="8"/>
      <c r="M39" s="9"/>
      <c r="N39" s="6"/>
    </row>
    <row r="40" spans="1:14" ht="18" customHeight="1" x14ac:dyDescent="0.25">
      <c r="A40" s="5" t="str">
        <f t="shared" si="1"/>
        <v/>
      </c>
      <c r="B40" s="10"/>
      <c r="C40" s="10"/>
      <c r="D40" s="10"/>
      <c r="E40" s="10"/>
      <c r="F40" s="7">
        <v>200</v>
      </c>
      <c r="G40" s="7" t="s">
        <v>28</v>
      </c>
      <c r="H40" s="10"/>
      <c r="I40" s="8"/>
      <c r="J40" s="11"/>
      <c r="K40" s="10"/>
      <c r="L40" s="8"/>
      <c r="M40" s="11"/>
      <c r="N40" s="10"/>
    </row>
    <row r="41" spans="1:14" ht="18" customHeight="1" x14ac:dyDescent="0.25">
      <c r="A41" s="5" t="str">
        <f t="shared" si="1"/>
        <v/>
      </c>
      <c r="B41" s="6"/>
      <c r="C41" s="6"/>
      <c r="D41" s="6"/>
      <c r="E41" s="6"/>
      <c r="F41" s="7">
        <v>200</v>
      </c>
      <c r="G41" s="7" t="s">
        <v>28</v>
      </c>
      <c r="H41" s="6"/>
      <c r="I41" s="8"/>
      <c r="J41" s="9"/>
      <c r="K41" s="6"/>
      <c r="L41" s="8"/>
      <c r="M41" s="9"/>
      <c r="N41" s="6"/>
    </row>
    <row r="42" spans="1:14" ht="18" customHeight="1" x14ac:dyDescent="0.25">
      <c r="A42" s="5" t="str">
        <f t="shared" si="1"/>
        <v/>
      </c>
      <c r="B42" s="10"/>
      <c r="C42" s="10"/>
      <c r="D42" s="10"/>
      <c r="E42" s="10"/>
      <c r="F42" s="7">
        <v>200</v>
      </c>
      <c r="G42" s="7" t="s">
        <v>28</v>
      </c>
      <c r="H42" s="10"/>
      <c r="I42" s="8"/>
      <c r="J42" s="11"/>
      <c r="K42" s="10"/>
      <c r="L42" s="8"/>
      <c r="M42" s="11"/>
      <c r="N42" s="10"/>
    </row>
    <row r="43" spans="1:14" ht="18" customHeight="1" x14ac:dyDescent="0.25">
      <c r="A43" s="5" t="str">
        <f t="shared" si="1"/>
        <v/>
      </c>
      <c r="B43" s="6"/>
      <c r="C43" s="6"/>
      <c r="D43" s="6"/>
      <c r="E43" s="6"/>
      <c r="F43" s="7">
        <v>200</v>
      </c>
      <c r="G43" s="7" t="s">
        <v>28</v>
      </c>
      <c r="H43" s="6"/>
      <c r="I43" s="8"/>
      <c r="J43" s="9"/>
      <c r="K43" s="6"/>
      <c r="L43" s="8"/>
      <c r="M43" s="9"/>
      <c r="N43" s="6"/>
    </row>
    <row r="44" spans="1:14" ht="18" customHeight="1" x14ac:dyDescent="0.25">
      <c r="A44" s="5" t="str">
        <f t="shared" si="1"/>
        <v/>
      </c>
      <c r="B44" s="10"/>
      <c r="C44" s="10"/>
      <c r="D44" s="10"/>
      <c r="E44" s="10"/>
      <c r="F44" s="7">
        <v>200</v>
      </c>
      <c r="G44" s="7" t="s">
        <v>28</v>
      </c>
      <c r="H44" s="10"/>
      <c r="I44" s="8"/>
      <c r="J44" s="11"/>
      <c r="K44" s="10"/>
      <c r="L44" s="8"/>
      <c r="M44" s="11"/>
      <c r="N44" s="10"/>
    </row>
    <row r="45" spans="1:14" ht="18" customHeight="1" x14ac:dyDescent="0.25">
      <c r="A45" s="5" t="str">
        <f t="shared" si="1"/>
        <v/>
      </c>
      <c r="B45" s="6"/>
      <c r="C45" s="6"/>
      <c r="D45" s="6"/>
      <c r="E45" s="6"/>
      <c r="F45" s="7">
        <v>200</v>
      </c>
      <c r="G45" s="7" t="s">
        <v>28</v>
      </c>
      <c r="H45" s="6"/>
      <c r="I45" s="8"/>
      <c r="J45" s="9"/>
      <c r="K45" s="6"/>
      <c r="L45" s="8"/>
      <c r="M45" s="9"/>
      <c r="N45" s="6"/>
    </row>
    <row r="46" spans="1:14" ht="18" customHeight="1" x14ac:dyDescent="0.25">
      <c r="A46" s="5" t="str">
        <f t="shared" si="1"/>
        <v/>
      </c>
      <c r="B46" s="10"/>
      <c r="C46" s="10"/>
      <c r="D46" s="10"/>
      <c r="E46" s="10"/>
      <c r="F46" s="7">
        <v>200</v>
      </c>
      <c r="G46" s="7" t="s">
        <v>28</v>
      </c>
      <c r="H46" s="10"/>
      <c r="I46" s="8"/>
      <c r="J46" s="11"/>
      <c r="K46" s="10"/>
      <c r="L46" s="8"/>
      <c r="M46" s="11"/>
      <c r="N46" s="10"/>
    </row>
    <row r="47" spans="1:14" ht="18" customHeight="1" x14ac:dyDescent="0.25">
      <c r="A47" s="5" t="str">
        <f t="shared" si="1"/>
        <v/>
      </c>
      <c r="B47" s="6"/>
      <c r="C47" s="6"/>
      <c r="D47" s="6"/>
      <c r="E47" s="6"/>
      <c r="F47" s="7">
        <v>200</v>
      </c>
      <c r="G47" s="7" t="s">
        <v>28</v>
      </c>
      <c r="H47" s="6"/>
      <c r="I47" s="8"/>
      <c r="J47" s="9"/>
      <c r="K47" s="6"/>
      <c r="L47" s="8"/>
      <c r="M47" s="9"/>
      <c r="N47" s="6"/>
    </row>
    <row r="48" spans="1:14" ht="18" customHeight="1" x14ac:dyDescent="0.25">
      <c r="A48" s="5" t="str">
        <f t="shared" si="1"/>
        <v/>
      </c>
      <c r="B48" s="10"/>
      <c r="C48" s="10"/>
      <c r="D48" s="10"/>
      <c r="E48" s="10"/>
      <c r="F48" s="7">
        <v>200</v>
      </c>
      <c r="G48" s="7" t="s">
        <v>28</v>
      </c>
      <c r="H48" s="10"/>
      <c r="I48" s="8"/>
      <c r="J48" s="11"/>
      <c r="K48" s="10"/>
      <c r="L48" s="8"/>
      <c r="M48" s="11"/>
      <c r="N48" s="10"/>
    </row>
    <row r="49" spans="1:14" ht="18" customHeight="1" x14ac:dyDescent="0.25">
      <c r="A49" s="5" t="str">
        <f t="shared" si="1"/>
        <v/>
      </c>
      <c r="B49" s="6"/>
      <c r="C49" s="6"/>
      <c r="D49" s="6"/>
      <c r="E49" s="6"/>
      <c r="F49" s="7">
        <v>200</v>
      </c>
      <c r="G49" s="7" t="s">
        <v>28</v>
      </c>
      <c r="H49" s="6"/>
      <c r="I49" s="8"/>
      <c r="J49" s="9"/>
      <c r="K49" s="6"/>
      <c r="L49" s="8"/>
      <c r="M49" s="9"/>
      <c r="N49" s="6"/>
    </row>
    <row r="50" spans="1:14" ht="18" customHeight="1" x14ac:dyDescent="0.25">
      <c r="A50" s="5" t="str">
        <f t="shared" si="1"/>
        <v/>
      </c>
      <c r="B50" s="10"/>
      <c r="C50" s="10"/>
      <c r="D50" s="10"/>
      <c r="E50" s="10"/>
      <c r="F50" s="7">
        <v>200</v>
      </c>
      <c r="G50" s="7" t="s">
        <v>28</v>
      </c>
      <c r="H50" s="10"/>
      <c r="I50" s="8"/>
      <c r="J50" s="11"/>
      <c r="K50" s="10"/>
      <c r="L50" s="8"/>
      <c r="M50" s="11"/>
      <c r="N50" s="10"/>
    </row>
    <row r="51" spans="1:14" ht="18" customHeight="1" x14ac:dyDescent="0.25">
      <c r="A51" s="5" t="str">
        <f t="shared" si="1"/>
        <v/>
      </c>
      <c r="B51" s="6"/>
      <c r="C51" s="6"/>
      <c r="D51" s="6"/>
      <c r="E51" s="6"/>
      <c r="F51" s="7">
        <v>200</v>
      </c>
      <c r="G51" s="7" t="s">
        <v>28</v>
      </c>
      <c r="H51" s="6"/>
      <c r="I51" s="8"/>
      <c r="J51" s="9"/>
      <c r="K51" s="6"/>
      <c r="L51" s="8"/>
      <c r="M51" s="9"/>
      <c r="N51" s="6"/>
    </row>
    <row r="52" spans="1:14" ht="18" customHeight="1" x14ac:dyDescent="0.25">
      <c r="A52" s="5" t="str">
        <f t="shared" si="1"/>
        <v/>
      </c>
      <c r="B52" s="10"/>
      <c r="C52" s="10"/>
      <c r="D52" s="10"/>
      <c r="E52" s="10"/>
      <c r="F52" s="7">
        <v>200</v>
      </c>
      <c r="G52" s="7" t="s">
        <v>28</v>
      </c>
      <c r="H52" s="10"/>
      <c r="I52" s="8"/>
      <c r="J52" s="11"/>
      <c r="K52" s="10"/>
      <c r="L52" s="8"/>
      <c r="M52" s="11"/>
      <c r="N52" s="10"/>
    </row>
    <row r="53" spans="1:14" ht="18" customHeight="1" x14ac:dyDescent="0.25">
      <c r="A53" s="5" t="str">
        <f t="shared" si="1"/>
        <v/>
      </c>
      <c r="B53" s="6"/>
      <c r="C53" s="6"/>
      <c r="D53" s="6"/>
      <c r="E53" s="6"/>
      <c r="F53" s="7">
        <v>200</v>
      </c>
      <c r="G53" s="7" t="s">
        <v>28</v>
      </c>
      <c r="H53" s="6"/>
      <c r="I53" s="8"/>
      <c r="J53" s="9"/>
      <c r="K53" s="6"/>
      <c r="L53" s="8"/>
      <c r="M53" s="9"/>
      <c r="N53" s="6"/>
    </row>
    <row r="54" spans="1:14" ht="18" customHeight="1" x14ac:dyDescent="0.25">
      <c r="A54" s="5" t="str">
        <f t="shared" si="1"/>
        <v/>
      </c>
      <c r="B54" s="10"/>
      <c r="C54" s="10"/>
      <c r="D54" s="10"/>
      <c r="E54" s="10"/>
      <c r="F54" s="7">
        <v>200</v>
      </c>
      <c r="G54" s="7" t="s">
        <v>28</v>
      </c>
      <c r="H54" s="10"/>
      <c r="I54" s="8"/>
      <c r="J54" s="11"/>
      <c r="K54" s="10"/>
      <c r="L54" s="8"/>
      <c r="M54" s="11"/>
      <c r="N54" s="10"/>
    </row>
    <row r="55" spans="1:14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</sheetData>
  <mergeCells count="3">
    <mergeCell ref="A1:N1"/>
    <mergeCell ref="A2:N2"/>
    <mergeCell ref="A55:N55"/>
  </mergeCells>
  <dataValidations count="1">
    <dataValidation type="list" sqref="J5:J54 M5:M54" xr:uid="{00000000-0002-0000-02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77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80</v>
      </c>
      <c r="C4" s="4" t="s">
        <v>60</v>
      </c>
      <c r="D4" s="4" t="s">
        <v>61</v>
      </c>
      <c r="E4" s="4" t="s">
        <v>81</v>
      </c>
      <c r="F4" s="4" t="s">
        <v>82</v>
      </c>
      <c r="G4" s="4" t="s">
        <v>83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300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300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300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300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300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300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300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300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300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300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300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300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300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300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300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300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300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300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300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300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300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300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300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300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300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300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300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300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300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300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300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300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300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300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300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300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300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300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300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300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300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300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300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300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300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300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300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300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300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300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3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86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87</v>
      </c>
      <c r="C4" s="4" t="s">
        <v>60</v>
      </c>
      <c r="D4" s="4" t="s">
        <v>61</v>
      </c>
      <c r="E4" s="4" t="s">
        <v>81</v>
      </c>
      <c r="F4" s="4" t="s">
        <v>88</v>
      </c>
      <c r="G4" s="4" t="s">
        <v>89</v>
      </c>
      <c r="H4" s="4" t="s">
        <v>64</v>
      </c>
      <c r="I4" s="4" t="s">
        <v>84</v>
      </c>
      <c r="J4" s="4" t="s">
        <v>69</v>
      </c>
      <c r="K4" s="4" t="s">
        <v>90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400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400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400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400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400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400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400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400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400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400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400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400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400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400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400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400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400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400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400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400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400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400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400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400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400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400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400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400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400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400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400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400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400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400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400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400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400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400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400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400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400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400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400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400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400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400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400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400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400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400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4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91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92</v>
      </c>
      <c r="C4" s="4" t="s">
        <v>60</v>
      </c>
      <c r="D4" s="4" t="s">
        <v>61</v>
      </c>
      <c r="E4" s="4" t="s">
        <v>81</v>
      </c>
      <c r="F4" s="4" t="s">
        <v>93</v>
      </c>
      <c r="G4" s="4" t="s">
        <v>94</v>
      </c>
      <c r="H4" s="4" t="s">
        <v>64</v>
      </c>
      <c r="I4" s="4" t="s">
        <v>84</v>
      </c>
      <c r="J4" s="4" t="s">
        <v>69</v>
      </c>
      <c r="K4" s="4" t="s">
        <v>90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500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500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500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500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500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500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500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500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500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500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500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500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500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500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500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500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500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500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500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500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500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500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500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500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500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500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500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500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500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500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500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500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500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500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500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500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500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500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500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500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500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500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500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500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500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500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500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500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500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500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5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192C"/>
  </sheetPr>
  <dimension ref="A1:N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N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12" customWidth="1"/>
    <col min="7" max="7" width="11" customWidth="1"/>
    <col min="8" max="8" width="35" customWidth="1"/>
    <col min="9" max="9" width="26" customWidth="1"/>
    <col min="10" max="10" width="20" customWidth="1"/>
    <col min="11" max="11" width="35" customWidth="1"/>
    <col min="12" max="12" width="26" customWidth="1"/>
    <col min="13" max="13" width="20" customWidth="1"/>
    <col min="14" max="14" width="30" customWidth="1"/>
  </cols>
  <sheetData>
    <row r="1" spans="1:14" ht="39.75" customHeight="1" x14ac:dyDescent="0.25">
      <c r="A1" s="21" t="s">
        <v>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3.75" customHeight="1" x14ac:dyDescent="0.25">
      <c r="A2" s="22" t="s">
        <v>96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57</v>
      </c>
    </row>
    <row r="4" spans="1:14" ht="51.75" customHeight="1" x14ac:dyDescent="0.25">
      <c r="A4" s="3" t="s">
        <v>58</v>
      </c>
      <c r="B4" s="4" t="s">
        <v>97</v>
      </c>
      <c r="C4" s="4" t="s">
        <v>60</v>
      </c>
      <c r="D4" s="4" t="s">
        <v>61</v>
      </c>
      <c r="E4" s="4" t="s">
        <v>81</v>
      </c>
      <c r="F4" s="4" t="s">
        <v>98</v>
      </c>
      <c r="G4" s="4" t="s">
        <v>64</v>
      </c>
      <c r="H4" s="4" t="s">
        <v>84</v>
      </c>
      <c r="I4" s="4" t="s">
        <v>69</v>
      </c>
      <c r="J4" s="4" t="s">
        <v>90</v>
      </c>
      <c r="K4" s="4" t="s">
        <v>85</v>
      </c>
      <c r="L4" s="4" t="s">
        <v>69</v>
      </c>
      <c r="M4" s="4" t="s">
        <v>70</v>
      </c>
      <c r="N4" s="4" t="s">
        <v>71</v>
      </c>
    </row>
    <row r="5" spans="1:14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7">
        <v>600</v>
      </c>
      <c r="G5" s="7" t="s">
        <v>28</v>
      </c>
      <c r="H5" s="6"/>
      <c r="I5" s="8"/>
      <c r="J5" s="9"/>
      <c r="K5" s="6"/>
      <c r="L5" s="8"/>
      <c r="M5" s="9"/>
      <c r="N5" s="6"/>
    </row>
    <row r="6" spans="1:14" ht="18" customHeight="1" x14ac:dyDescent="0.25">
      <c r="A6" s="5" t="str">
        <f t="shared" si="0"/>
        <v/>
      </c>
      <c r="B6" s="10"/>
      <c r="C6" s="10"/>
      <c r="D6" s="10"/>
      <c r="E6" s="10"/>
      <c r="F6" s="7">
        <v>600</v>
      </c>
      <c r="G6" s="7" t="s">
        <v>28</v>
      </c>
      <c r="H6" s="10"/>
      <c r="I6" s="8"/>
      <c r="J6" s="11"/>
      <c r="K6" s="10"/>
      <c r="L6" s="8"/>
      <c r="M6" s="11"/>
      <c r="N6" s="10"/>
    </row>
    <row r="7" spans="1:14" ht="18" customHeight="1" x14ac:dyDescent="0.25">
      <c r="A7" s="5" t="str">
        <f t="shared" si="0"/>
        <v/>
      </c>
      <c r="B7" s="6"/>
      <c r="C7" s="6"/>
      <c r="D7" s="6"/>
      <c r="E7" s="6"/>
      <c r="F7" s="7">
        <v>600</v>
      </c>
      <c r="G7" s="7" t="s">
        <v>28</v>
      </c>
      <c r="H7" s="6"/>
      <c r="I7" s="8"/>
      <c r="J7" s="9"/>
      <c r="K7" s="6"/>
      <c r="L7" s="8"/>
      <c r="M7" s="9"/>
      <c r="N7" s="6"/>
    </row>
    <row r="8" spans="1:14" ht="18" customHeight="1" x14ac:dyDescent="0.25">
      <c r="A8" s="5" t="str">
        <f t="shared" si="0"/>
        <v/>
      </c>
      <c r="B8" s="10"/>
      <c r="C8" s="10"/>
      <c r="D8" s="10"/>
      <c r="E8" s="10"/>
      <c r="F8" s="7">
        <v>600</v>
      </c>
      <c r="G8" s="7" t="s">
        <v>28</v>
      </c>
      <c r="H8" s="10"/>
      <c r="I8" s="8"/>
      <c r="J8" s="11"/>
      <c r="K8" s="10"/>
      <c r="L8" s="8"/>
      <c r="M8" s="11"/>
      <c r="N8" s="10"/>
    </row>
    <row r="9" spans="1:14" ht="18" customHeight="1" x14ac:dyDescent="0.25">
      <c r="A9" s="5" t="str">
        <f t="shared" si="0"/>
        <v/>
      </c>
      <c r="B9" s="6"/>
      <c r="C9" s="6"/>
      <c r="D9" s="6"/>
      <c r="E9" s="6"/>
      <c r="F9" s="7">
        <v>600</v>
      </c>
      <c r="G9" s="7" t="s">
        <v>28</v>
      </c>
      <c r="H9" s="6"/>
      <c r="I9" s="8"/>
      <c r="J9" s="9"/>
      <c r="K9" s="6"/>
      <c r="L9" s="8"/>
      <c r="M9" s="9"/>
      <c r="N9" s="6"/>
    </row>
    <row r="10" spans="1:14" ht="18" customHeight="1" x14ac:dyDescent="0.25">
      <c r="A10" s="5" t="str">
        <f t="shared" si="0"/>
        <v/>
      </c>
      <c r="B10" s="10"/>
      <c r="C10" s="10"/>
      <c r="D10" s="10"/>
      <c r="E10" s="10"/>
      <c r="F10" s="7">
        <v>600</v>
      </c>
      <c r="G10" s="7" t="s">
        <v>28</v>
      </c>
      <c r="H10" s="10"/>
      <c r="I10" s="8"/>
      <c r="J10" s="11"/>
      <c r="K10" s="10"/>
      <c r="L10" s="8"/>
      <c r="M10" s="11"/>
      <c r="N10" s="10"/>
    </row>
    <row r="11" spans="1:14" ht="18" customHeight="1" x14ac:dyDescent="0.25">
      <c r="A11" s="5" t="str">
        <f t="shared" si="0"/>
        <v/>
      </c>
      <c r="B11" s="6"/>
      <c r="C11" s="6"/>
      <c r="D11" s="6"/>
      <c r="E11" s="6"/>
      <c r="F11" s="7">
        <v>600</v>
      </c>
      <c r="G11" s="7" t="s">
        <v>28</v>
      </c>
      <c r="H11" s="6"/>
      <c r="I11" s="8"/>
      <c r="J11" s="9"/>
      <c r="K11" s="6"/>
      <c r="L11" s="8"/>
      <c r="M11" s="9"/>
      <c r="N11" s="6"/>
    </row>
    <row r="12" spans="1:14" ht="18" customHeight="1" x14ac:dyDescent="0.25">
      <c r="A12" s="5" t="str">
        <f t="shared" si="0"/>
        <v/>
      </c>
      <c r="B12" s="10"/>
      <c r="C12" s="10"/>
      <c r="D12" s="10"/>
      <c r="E12" s="10"/>
      <c r="F12" s="7">
        <v>600</v>
      </c>
      <c r="G12" s="7" t="s">
        <v>28</v>
      </c>
      <c r="H12" s="10"/>
      <c r="I12" s="8"/>
      <c r="J12" s="11"/>
      <c r="K12" s="10"/>
      <c r="L12" s="8"/>
      <c r="M12" s="11"/>
      <c r="N12" s="10"/>
    </row>
    <row r="13" spans="1:14" ht="18" customHeight="1" x14ac:dyDescent="0.25">
      <c r="A13" s="5" t="str">
        <f t="shared" si="0"/>
        <v/>
      </c>
      <c r="B13" s="6"/>
      <c r="C13" s="6"/>
      <c r="D13" s="6"/>
      <c r="E13" s="6"/>
      <c r="F13" s="7">
        <v>600</v>
      </c>
      <c r="G13" s="7" t="s">
        <v>28</v>
      </c>
      <c r="H13" s="6"/>
      <c r="I13" s="8"/>
      <c r="J13" s="9"/>
      <c r="K13" s="6"/>
      <c r="L13" s="8"/>
      <c r="M13" s="9"/>
      <c r="N13" s="6"/>
    </row>
    <row r="14" spans="1:14" ht="18" customHeight="1" x14ac:dyDescent="0.25">
      <c r="A14" s="5" t="str">
        <f t="shared" si="0"/>
        <v/>
      </c>
      <c r="B14" s="10"/>
      <c r="C14" s="10"/>
      <c r="D14" s="10"/>
      <c r="E14" s="10"/>
      <c r="F14" s="7">
        <v>600</v>
      </c>
      <c r="G14" s="7" t="s">
        <v>28</v>
      </c>
      <c r="H14" s="10"/>
      <c r="I14" s="8"/>
      <c r="J14" s="11"/>
      <c r="K14" s="10"/>
      <c r="L14" s="8"/>
      <c r="M14" s="11"/>
      <c r="N14" s="10"/>
    </row>
    <row r="15" spans="1:14" ht="18" customHeight="1" x14ac:dyDescent="0.25">
      <c r="A15" s="5" t="str">
        <f t="shared" si="0"/>
        <v/>
      </c>
      <c r="B15" s="6"/>
      <c r="C15" s="6"/>
      <c r="D15" s="6"/>
      <c r="E15" s="6"/>
      <c r="F15" s="7">
        <v>600</v>
      </c>
      <c r="G15" s="7" t="s">
        <v>28</v>
      </c>
      <c r="H15" s="6"/>
      <c r="I15" s="8"/>
      <c r="J15" s="9"/>
      <c r="K15" s="6"/>
      <c r="L15" s="8"/>
      <c r="M15" s="9"/>
      <c r="N15" s="6"/>
    </row>
    <row r="16" spans="1:14" ht="18" customHeight="1" x14ac:dyDescent="0.25">
      <c r="A16" s="5" t="str">
        <f t="shared" si="0"/>
        <v/>
      </c>
      <c r="B16" s="10"/>
      <c r="C16" s="10"/>
      <c r="D16" s="10"/>
      <c r="E16" s="10"/>
      <c r="F16" s="7">
        <v>600</v>
      </c>
      <c r="G16" s="7" t="s">
        <v>28</v>
      </c>
      <c r="H16" s="10"/>
      <c r="I16" s="8"/>
      <c r="J16" s="11"/>
      <c r="K16" s="10"/>
      <c r="L16" s="8"/>
      <c r="M16" s="11"/>
      <c r="N16" s="10"/>
    </row>
    <row r="17" spans="1:14" ht="18" customHeight="1" x14ac:dyDescent="0.25">
      <c r="A17" s="5" t="str">
        <f t="shared" si="0"/>
        <v/>
      </c>
      <c r="B17" s="6"/>
      <c r="C17" s="6"/>
      <c r="D17" s="6"/>
      <c r="E17" s="6"/>
      <c r="F17" s="7">
        <v>600</v>
      </c>
      <c r="G17" s="7" t="s">
        <v>28</v>
      </c>
      <c r="H17" s="6"/>
      <c r="I17" s="8"/>
      <c r="J17" s="9"/>
      <c r="K17" s="6"/>
      <c r="L17" s="8"/>
      <c r="M17" s="9"/>
      <c r="N17" s="6"/>
    </row>
    <row r="18" spans="1:14" ht="18" customHeight="1" x14ac:dyDescent="0.25">
      <c r="A18" s="5" t="str">
        <f t="shared" si="0"/>
        <v/>
      </c>
      <c r="B18" s="10"/>
      <c r="C18" s="10"/>
      <c r="D18" s="10"/>
      <c r="E18" s="10"/>
      <c r="F18" s="7">
        <v>600</v>
      </c>
      <c r="G18" s="7" t="s">
        <v>28</v>
      </c>
      <c r="H18" s="10"/>
      <c r="I18" s="8"/>
      <c r="J18" s="11"/>
      <c r="K18" s="10"/>
      <c r="L18" s="8"/>
      <c r="M18" s="11"/>
      <c r="N18" s="10"/>
    </row>
    <row r="19" spans="1:14" ht="18" customHeight="1" x14ac:dyDescent="0.25">
      <c r="A19" s="5" t="str">
        <f t="shared" si="0"/>
        <v/>
      </c>
      <c r="B19" s="6"/>
      <c r="C19" s="6"/>
      <c r="D19" s="6"/>
      <c r="E19" s="6"/>
      <c r="F19" s="7">
        <v>600</v>
      </c>
      <c r="G19" s="7" t="s">
        <v>28</v>
      </c>
      <c r="H19" s="6"/>
      <c r="I19" s="8"/>
      <c r="J19" s="9"/>
      <c r="K19" s="6"/>
      <c r="L19" s="8"/>
      <c r="M19" s="9"/>
      <c r="N19" s="6"/>
    </row>
    <row r="20" spans="1:14" ht="18" customHeight="1" x14ac:dyDescent="0.25">
      <c r="A20" s="5" t="str">
        <f t="shared" si="0"/>
        <v/>
      </c>
      <c r="B20" s="10"/>
      <c r="C20" s="10"/>
      <c r="D20" s="10"/>
      <c r="E20" s="10"/>
      <c r="F20" s="7">
        <v>600</v>
      </c>
      <c r="G20" s="7" t="s">
        <v>28</v>
      </c>
      <c r="H20" s="10"/>
      <c r="I20" s="8"/>
      <c r="J20" s="11"/>
      <c r="K20" s="10"/>
      <c r="L20" s="8"/>
      <c r="M20" s="11"/>
      <c r="N20" s="10"/>
    </row>
    <row r="21" spans="1:14" ht="18" customHeight="1" x14ac:dyDescent="0.25">
      <c r="A21" s="5" t="str">
        <f t="shared" si="0"/>
        <v/>
      </c>
      <c r="B21" s="6"/>
      <c r="C21" s="6"/>
      <c r="D21" s="6"/>
      <c r="E21" s="6"/>
      <c r="F21" s="7">
        <v>600</v>
      </c>
      <c r="G21" s="7" t="s">
        <v>28</v>
      </c>
      <c r="H21" s="6"/>
      <c r="I21" s="8"/>
      <c r="J21" s="9"/>
      <c r="K21" s="6"/>
      <c r="L21" s="8"/>
      <c r="M21" s="9"/>
      <c r="N21" s="6"/>
    </row>
    <row r="22" spans="1:14" ht="18" customHeight="1" x14ac:dyDescent="0.25">
      <c r="A22" s="5" t="str">
        <f t="shared" si="0"/>
        <v/>
      </c>
      <c r="B22" s="10"/>
      <c r="C22" s="10"/>
      <c r="D22" s="10"/>
      <c r="E22" s="10"/>
      <c r="F22" s="7">
        <v>600</v>
      </c>
      <c r="G22" s="7" t="s">
        <v>28</v>
      </c>
      <c r="H22" s="10"/>
      <c r="I22" s="8"/>
      <c r="J22" s="11"/>
      <c r="K22" s="10"/>
      <c r="L22" s="8"/>
      <c r="M22" s="11"/>
      <c r="N22" s="10"/>
    </row>
    <row r="23" spans="1:14" ht="18" customHeight="1" x14ac:dyDescent="0.25">
      <c r="A23" s="5" t="str">
        <f t="shared" si="0"/>
        <v/>
      </c>
      <c r="B23" s="6"/>
      <c r="C23" s="6"/>
      <c r="D23" s="6"/>
      <c r="E23" s="6"/>
      <c r="F23" s="7">
        <v>600</v>
      </c>
      <c r="G23" s="7" t="s">
        <v>28</v>
      </c>
      <c r="H23" s="6"/>
      <c r="I23" s="8"/>
      <c r="J23" s="9"/>
      <c r="K23" s="6"/>
      <c r="L23" s="8"/>
      <c r="M23" s="9"/>
      <c r="N23" s="6"/>
    </row>
    <row r="24" spans="1:14" ht="18" customHeight="1" x14ac:dyDescent="0.25">
      <c r="A24" s="5" t="str">
        <f t="shared" si="0"/>
        <v/>
      </c>
      <c r="B24" s="10"/>
      <c r="C24" s="10"/>
      <c r="D24" s="10"/>
      <c r="E24" s="10"/>
      <c r="F24" s="7">
        <v>600</v>
      </c>
      <c r="G24" s="7" t="s">
        <v>28</v>
      </c>
      <c r="H24" s="10"/>
      <c r="I24" s="8"/>
      <c r="J24" s="11"/>
      <c r="K24" s="10"/>
      <c r="L24" s="8"/>
      <c r="M24" s="11"/>
      <c r="N24" s="10"/>
    </row>
    <row r="25" spans="1:14" ht="18" customHeight="1" x14ac:dyDescent="0.25">
      <c r="A25" s="5" t="str">
        <f t="shared" si="0"/>
        <v/>
      </c>
      <c r="B25" s="6"/>
      <c r="C25" s="6"/>
      <c r="D25" s="6"/>
      <c r="E25" s="6"/>
      <c r="F25" s="7">
        <v>600</v>
      </c>
      <c r="G25" s="7" t="s">
        <v>28</v>
      </c>
      <c r="H25" s="6"/>
      <c r="I25" s="8"/>
      <c r="J25" s="9"/>
      <c r="K25" s="6"/>
      <c r="L25" s="8"/>
      <c r="M25" s="9"/>
      <c r="N25" s="6"/>
    </row>
    <row r="26" spans="1:14" ht="18" customHeight="1" x14ac:dyDescent="0.25">
      <c r="A26" s="5" t="str">
        <f t="shared" si="0"/>
        <v/>
      </c>
      <c r="B26" s="10"/>
      <c r="C26" s="10"/>
      <c r="D26" s="10"/>
      <c r="E26" s="10"/>
      <c r="F26" s="7">
        <v>600</v>
      </c>
      <c r="G26" s="7" t="s">
        <v>28</v>
      </c>
      <c r="H26" s="10"/>
      <c r="I26" s="8"/>
      <c r="J26" s="11"/>
      <c r="K26" s="10"/>
      <c r="L26" s="8"/>
      <c r="M26" s="11"/>
      <c r="N26" s="10"/>
    </row>
    <row r="27" spans="1:14" ht="18" customHeight="1" x14ac:dyDescent="0.25">
      <c r="A27" s="5" t="str">
        <f t="shared" si="0"/>
        <v/>
      </c>
      <c r="B27" s="6"/>
      <c r="C27" s="6"/>
      <c r="D27" s="6"/>
      <c r="E27" s="6"/>
      <c r="F27" s="7">
        <v>600</v>
      </c>
      <c r="G27" s="7" t="s">
        <v>28</v>
      </c>
      <c r="H27" s="6"/>
      <c r="I27" s="8"/>
      <c r="J27" s="9"/>
      <c r="K27" s="6"/>
      <c r="L27" s="8"/>
      <c r="M27" s="9"/>
      <c r="N27" s="6"/>
    </row>
    <row r="28" spans="1:14" ht="18" customHeight="1" x14ac:dyDescent="0.25">
      <c r="A28" s="5" t="str">
        <f t="shared" si="0"/>
        <v/>
      </c>
      <c r="B28" s="10"/>
      <c r="C28" s="10"/>
      <c r="D28" s="10"/>
      <c r="E28" s="10"/>
      <c r="F28" s="7">
        <v>600</v>
      </c>
      <c r="G28" s="7" t="s">
        <v>28</v>
      </c>
      <c r="H28" s="10"/>
      <c r="I28" s="8"/>
      <c r="J28" s="11"/>
      <c r="K28" s="10"/>
      <c r="L28" s="8"/>
      <c r="M28" s="11"/>
      <c r="N28" s="10"/>
    </row>
    <row r="29" spans="1:14" ht="18" customHeight="1" x14ac:dyDescent="0.25">
      <c r="A29" s="5" t="str">
        <f t="shared" si="0"/>
        <v/>
      </c>
      <c r="B29" s="6"/>
      <c r="C29" s="6"/>
      <c r="D29" s="6"/>
      <c r="E29" s="6"/>
      <c r="F29" s="7">
        <v>600</v>
      </c>
      <c r="G29" s="7" t="s">
        <v>28</v>
      </c>
      <c r="H29" s="6"/>
      <c r="I29" s="8"/>
      <c r="J29" s="9"/>
      <c r="K29" s="6"/>
      <c r="L29" s="8"/>
      <c r="M29" s="9"/>
      <c r="N29" s="6"/>
    </row>
    <row r="30" spans="1:14" ht="18" customHeight="1" x14ac:dyDescent="0.25">
      <c r="A30" s="5" t="str">
        <f t="shared" si="0"/>
        <v/>
      </c>
      <c r="B30" s="10"/>
      <c r="C30" s="10"/>
      <c r="D30" s="10"/>
      <c r="E30" s="10"/>
      <c r="F30" s="7">
        <v>600</v>
      </c>
      <c r="G30" s="7" t="s">
        <v>28</v>
      </c>
      <c r="H30" s="10"/>
      <c r="I30" s="8"/>
      <c r="J30" s="11"/>
      <c r="K30" s="10"/>
      <c r="L30" s="8"/>
      <c r="M30" s="11"/>
      <c r="N30" s="10"/>
    </row>
    <row r="31" spans="1:14" ht="18" customHeight="1" x14ac:dyDescent="0.25">
      <c r="A31" s="5" t="str">
        <f t="shared" si="0"/>
        <v/>
      </c>
      <c r="B31" s="6"/>
      <c r="C31" s="6"/>
      <c r="D31" s="6"/>
      <c r="E31" s="6"/>
      <c r="F31" s="7">
        <v>600</v>
      </c>
      <c r="G31" s="7" t="s">
        <v>28</v>
      </c>
      <c r="H31" s="6"/>
      <c r="I31" s="8"/>
      <c r="J31" s="9"/>
      <c r="K31" s="6"/>
      <c r="L31" s="8"/>
      <c r="M31" s="9"/>
      <c r="N31" s="6"/>
    </row>
    <row r="32" spans="1:14" ht="18" customHeight="1" x14ac:dyDescent="0.25">
      <c r="A32" s="5" t="str">
        <f t="shared" si="0"/>
        <v/>
      </c>
      <c r="B32" s="10"/>
      <c r="C32" s="10"/>
      <c r="D32" s="10"/>
      <c r="E32" s="10"/>
      <c r="F32" s="7">
        <v>600</v>
      </c>
      <c r="G32" s="7" t="s">
        <v>28</v>
      </c>
      <c r="H32" s="10"/>
      <c r="I32" s="8"/>
      <c r="J32" s="11"/>
      <c r="K32" s="10"/>
      <c r="L32" s="8"/>
      <c r="M32" s="11"/>
      <c r="N32" s="10"/>
    </row>
    <row r="33" spans="1:14" ht="18" customHeight="1" x14ac:dyDescent="0.25">
      <c r="A33" s="5" t="str">
        <f t="shared" si="0"/>
        <v/>
      </c>
      <c r="B33" s="6"/>
      <c r="C33" s="6"/>
      <c r="D33" s="6"/>
      <c r="E33" s="6"/>
      <c r="F33" s="7">
        <v>600</v>
      </c>
      <c r="G33" s="7" t="s">
        <v>28</v>
      </c>
      <c r="H33" s="6"/>
      <c r="I33" s="8"/>
      <c r="J33" s="9"/>
      <c r="K33" s="6"/>
      <c r="L33" s="8"/>
      <c r="M33" s="9"/>
      <c r="N33" s="6"/>
    </row>
    <row r="34" spans="1:14" ht="18" customHeight="1" x14ac:dyDescent="0.25">
      <c r="A34" s="5" t="str">
        <f t="shared" si="0"/>
        <v/>
      </c>
      <c r="B34" s="10"/>
      <c r="C34" s="10"/>
      <c r="D34" s="10"/>
      <c r="E34" s="10"/>
      <c r="F34" s="7">
        <v>600</v>
      </c>
      <c r="G34" s="7" t="s">
        <v>28</v>
      </c>
      <c r="H34" s="10"/>
      <c r="I34" s="8"/>
      <c r="J34" s="11"/>
      <c r="K34" s="10"/>
      <c r="L34" s="8"/>
      <c r="M34" s="11"/>
      <c r="N34" s="10"/>
    </row>
    <row r="35" spans="1:14" ht="18" customHeight="1" x14ac:dyDescent="0.25">
      <c r="A35" s="5" t="str">
        <f t="shared" si="0"/>
        <v/>
      </c>
      <c r="B35" s="6"/>
      <c r="C35" s="6"/>
      <c r="D35" s="6"/>
      <c r="E35" s="6"/>
      <c r="F35" s="7">
        <v>600</v>
      </c>
      <c r="G35" s="7" t="s">
        <v>28</v>
      </c>
      <c r="H35" s="6"/>
      <c r="I35" s="8"/>
      <c r="J35" s="9"/>
      <c r="K35" s="6"/>
      <c r="L35" s="8"/>
      <c r="M35" s="9"/>
      <c r="N35" s="6"/>
    </row>
    <row r="36" spans="1:14" ht="18" customHeight="1" x14ac:dyDescent="0.25">
      <c r="A36" s="5" t="str">
        <f t="shared" si="0"/>
        <v/>
      </c>
      <c r="B36" s="10"/>
      <c r="C36" s="10"/>
      <c r="D36" s="10"/>
      <c r="E36" s="10"/>
      <c r="F36" s="7">
        <v>600</v>
      </c>
      <c r="G36" s="7" t="s">
        <v>28</v>
      </c>
      <c r="H36" s="10"/>
      <c r="I36" s="8"/>
      <c r="J36" s="11"/>
      <c r="K36" s="10"/>
      <c r="L36" s="8"/>
      <c r="M36" s="11"/>
      <c r="N36" s="10"/>
    </row>
    <row r="37" spans="1:14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7">
        <v>600</v>
      </c>
      <c r="G37" s="7" t="s">
        <v>28</v>
      </c>
      <c r="H37" s="6"/>
      <c r="I37" s="8"/>
      <c r="J37" s="9"/>
      <c r="K37" s="6"/>
      <c r="L37" s="8"/>
      <c r="M37" s="9"/>
      <c r="N37" s="6"/>
    </row>
    <row r="38" spans="1:14" ht="18" customHeight="1" x14ac:dyDescent="0.25">
      <c r="A38" s="5" t="str">
        <f t="shared" si="1"/>
        <v/>
      </c>
      <c r="B38" s="10"/>
      <c r="C38" s="10"/>
      <c r="D38" s="10"/>
      <c r="E38" s="10"/>
      <c r="F38" s="7">
        <v>600</v>
      </c>
      <c r="G38" s="7" t="s">
        <v>28</v>
      </c>
      <c r="H38" s="10"/>
      <c r="I38" s="8"/>
      <c r="J38" s="11"/>
      <c r="K38" s="10"/>
      <c r="L38" s="8"/>
      <c r="M38" s="11"/>
      <c r="N38" s="10"/>
    </row>
    <row r="39" spans="1:14" ht="18" customHeight="1" x14ac:dyDescent="0.25">
      <c r="A39" s="5" t="str">
        <f t="shared" si="1"/>
        <v/>
      </c>
      <c r="B39" s="6"/>
      <c r="C39" s="6"/>
      <c r="D39" s="6"/>
      <c r="E39" s="6"/>
      <c r="F39" s="7">
        <v>600</v>
      </c>
      <c r="G39" s="7" t="s">
        <v>28</v>
      </c>
      <c r="H39" s="6"/>
      <c r="I39" s="8"/>
      <c r="J39" s="9"/>
      <c r="K39" s="6"/>
      <c r="L39" s="8"/>
      <c r="M39" s="9"/>
      <c r="N39" s="6"/>
    </row>
    <row r="40" spans="1:14" ht="18" customHeight="1" x14ac:dyDescent="0.25">
      <c r="A40" s="5" t="str">
        <f t="shared" si="1"/>
        <v/>
      </c>
      <c r="B40" s="10"/>
      <c r="C40" s="10"/>
      <c r="D40" s="10"/>
      <c r="E40" s="10"/>
      <c r="F40" s="7">
        <v>600</v>
      </c>
      <c r="G40" s="7" t="s">
        <v>28</v>
      </c>
      <c r="H40" s="10"/>
      <c r="I40" s="8"/>
      <c r="J40" s="11"/>
      <c r="K40" s="10"/>
      <c r="L40" s="8"/>
      <c r="M40" s="11"/>
      <c r="N40" s="10"/>
    </row>
    <row r="41" spans="1:14" ht="18" customHeight="1" x14ac:dyDescent="0.25">
      <c r="A41" s="5" t="str">
        <f t="shared" si="1"/>
        <v/>
      </c>
      <c r="B41" s="6"/>
      <c r="C41" s="6"/>
      <c r="D41" s="6"/>
      <c r="E41" s="6"/>
      <c r="F41" s="7">
        <v>600</v>
      </c>
      <c r="G41" s="7" t="s">
        <v>28</v>
      </c>
      <c r="H41" s="6"/>
      <c r="I41" s="8"/>
      <c r="J41" s="9"/>
      <c r="K41" s="6"/>
      <c r="L41" s="8"/>
      <c r="M41" s="9"/>
      <c r="N41" s="6"/>
    </row>
    <row r="42" spans="1:14" ht="18" customHeight="1" x14ac:dyDescent="0.25">
      <c r="A42" s="5" t="str">
        <f t="shared" si="1"/>
        <v/>
      </c>
      <c r="B42" s="10"/>
      <c r="C42" s="10"/>
      <c r="D42" s="10"/>
      <c r="E42" s="10"/>
      <c r="F42" s="7">
        <v>600</v>
      </c>
      <c r="G42" s="7" t="s">
        <v>28</v>
      </c>
      <c r="H42" s="10"/>
      <c r="I42" s="8"/>
      <c r="J42" s="11"/>
      <c r="K42" s="10"/>
      <c r="L42" s="8"/>
      <c r="M42" s="11"/>
      <c r="N42" s="10"/>
    </row>
    <row r="43" spans="1:14" ht="18" customHeight="1" x14ac:dyDescent="0.25">
      <c r="A43" s="5" t="str">
        <f t="shared" si="1"/>
        <v/>
      </c>
      <c r="B43" s="6"/>
      <c r="C43" s="6"/>
      <c r="D43" s="6"/>
      <c r="E43" s="6"/>
      <c r="F43" s="7">
        <v>600</v>
      </c>
      <c r="G43" s="7" t="s">
        <v>28</v>
      </c>
      <c r="H43" s="6"/>
      <c r="I43" s="8"/>
      <c r="J43" s="9"/>
      <c r="K43" s="6"/>
      <c r="L43" s="8"/>
      <c r="M43" s="9"/>
      <c r="N43" s="6"/>
    </row>
    <row r="44" spans="1:14" ht="18" customHeight="1" x14ac:dyDescent="0.25">
      <c r="A44" s="5" t="str">
        <f t="shared" si="1"/>
        <v/>
      </c>
      <c r="B44" s="10"/>
      <c r="C44" s="10"/>
      <c r="D44" s="10"/>
      <c r="E44" s="10"/>
      <c r="F44" s="7">
        <v>600</v>
      </c>
      <c r="G44" s="7" t="s">
        <v>28</v>
      </c>
      <c r="H44" s="10"/>
      <c r="I44" s="8"/>
      <c r="J44" s="11"/>
      <c r="K44" s="10"/>
      <c r="L44" s="8"/>
      <c r="M44" s="11"/>
      <c r="N44" s="10"/>
    </row>
    <row r="45" spans="1:14" ht="18" customHeight="1" x14ac:dyDescent="0.25">
      <c r="A45" s="5" t="str">
        <f t="shared" si="1"/>
        <v/>
      </c>
      <c r="B45" s="6"/>
      <c r="C45" s="6"/>
      <c r="D45" s="6"/>
      <c r="E45" s="6"/>
      <c r="F45" s="7">
        <v>600</v>
      </c>
      <c r="G45" s="7" t="s">
        <v>28</v>
      </c>
      <c r="H45" s="6"/>
      <c r="I45" s="8"/>
      <c r="J45" s="9"/>
      <c r="K45" s="6"/>
      <c r="L45" s="8"/>
      <c r="M45" s="9"/>
      <c r="N45" s="6"/>
    </row>
    <row r="46" spans="1:14" ht="18" customHeight="1" x14ac:dyDescent="0.25">
      <c r="A46" s="5" t="str">
        <f t="shared" si="1"/>
        <v/>
      </c>
      <c r="B46" s="10"/>
      <c r="C46" s="10"/>
      <c r="D46" s="10"/>
      <c r="E46" s="10"/>
      <c r="F46" s="7">
        <v>600</v>
      </c>
      <c r="G46" s="7" t="s">
        <v>28</v>
      </c>
      <c r="H46" s="10"/>
      <c r="I46" s="8"/>
      <c r="J46" s="11"/>
      <c r="K46" s="10"/>
      <c r="L46" s="8"/>
      <c r="M46" s="11"/>
      <c r="N46" s="10"/>
    </row>
    <row r="47" spans="1:14" ht="18" customHeight="1" x14ac:dyDescent="0.25">
      <c r="A47" s="5" t="str">
        <f t="shared" si="1"/>
        <v/>
      </c>
      <c r="B47" s="6"/>
      <c r="C47" s="6"/>
      <c r="D47" s="6"/>
      <c r="E47" s="6"/>
      <c r="F47" s="7">
        <v>600</v>
      </c>
      <c r="G47" s="7" t="s">
        <v>28</v>
      </c>
      <c r="H47" s="6"/>
      <c r="I47" s="8"/>
      <c r="J47" s="9"/>
      <c r="K47" s="6"/>
      <c r="L47" s="8"/>
      <c r="M47" s="9"/>
      <c r="N47" s="6"/>
    </row>
    <row r="48" spans="1:14" ht="18" customHeight="1" x14ac:dyDescent="0.25">
      <c r="A48" s="5" t="str">
        <f t="shared" si="1"/>
        <v/>
      </c>
      <c r="B48" s="10"/>
      <c r="C48" s="10"/>
      <c r="D48" s="10"/>
      <c r="E48" s="10"/>
      <c r="F48" s="7">
        <v>600</v>
      </c>
      <c r="G48" s="7" t="s">
        <v>28</v>
      </c>
      <c r="H48" s="10"/>
      <c r="I48" s="8"/>
      <c r="J48" s="11"/>
      <c r="K48" s="10"/>
      <c r="L48" s="8"/>
      <c r="M48" s="11"/>
      <c r="N48" s="10"/>
    </row>
    <row r="49" spans="1:14" ht="18" customHeight="1" x14ac:dyDescent="0.25">
      <c r="A49" s="5" t="str">
        <f t="shared" si="1"/>
        <v/>
      </c>
      <c r="B49" s="6"/>
      <c r="C49" s="6"/>
      <c r="D49" s="6"/>
      <c r="E49" s="6"/>
      <c r="F49" s="7">
        <v>600</v>
      </c>
      <c r="G49" s="7" t="s">
        <v>28</v>
      </c>
      <c r="H49" s="6"/>
      <c r="I49" s="8"/>
      <c r="J49" s="9"/>
      <c r="K49" s="6"/>
      <c r="L49" s="8"/>
      <c r="M49" s="9"/>
      <c r="N49" s="6"/>
    </row>
    <row r="50" spans="1:14" ht="18" customHeight="1" x14ac:dyDescent="0.25">
      <c r="A50" s="5" t="str">
        <f t="shared" si="1"/>
        <v/>
      </c>
      <c r="B50" s="10"/>
      <c r="C50" s="10"/>
      <c r="D50" s="10"/>
      <c r="E50" s="10"/>
      <c r="F50" s="7">
        <v>600</v>
      </c>
      <c r="G50" s="7" t="s">
        <v>28</v>
      </c>
      <c r="H50" s="10"/>
      <c r="I50" s="8"/>
      <c r="J50" s="11"/>
      <c r="K50" s="10"/>
      <c r="L50" s="8"/>
      <c r="M50" s="11"/>
      <c r="N50" s="10"/>
    </row>
    <row r="51" spans="1:14" ht="18" customHeight="1" x14ac:dyDescent="0.25">
      <c r="A51" s="5" t="str">
        <f t="shared" si="1"/>
        <v/>
      </c>
      <c r="B51" s="6"/>
      <c r="C51" s="6"/>
      <c r="D51" s="6"/>
      <c r="E51" s="6"/>
      <c r="F51" s="7">
        <v>600</v>
      </c>
      <c r="G51" s="7" t="s">
        <v>28</v>
      </c>
      <c r="H51" s="6"/>
      <c r="I51" s="8"/>
      <c r="J51" s="9"/>
      <c r="K51" s="6"/>
      <c r="L51" s="8"/>
      <c r="M51" s="9"/>
      <c r="N51" s="6"/>
    </row>
    <row r="52" spans="1:14" ht="18" customHeight="1" x14ac:dyDescent="0.25">
      <c r="A52" s="5" t="str">
        <f t="shared" si="1"/>
        <v/>
      </c>
      <c r="B52" s="10"/>
      <c r="C52" s="10"/>
      <c r="D52" s="10"/>
      <c r="E52" s="10"/>
      <c r="F52" s="7">
        <v>600</v>
      </c>
      <c r="G52" s="7" t="s">
        <v>28</v>
      </c>
      <c r="H52" s="10"/>
      <c r="I52" s="8"/>
      <c r="J52" s="11"/>
      <c r="K52" s="10"/>
      <c r="L52" s="8"/>
      <c r="M52" s="11"/>
      <c r="N52" s="10"/>
    </row>
    <row r="53" spans="1:14" ht="18" customHeight="1" x14ac:dyDescent="0.25">
      <c r="A53" s="5" t="str">
        <f t="shared" si="1"/>
        <v/>
      </c>
      <c r="B53" s="6"/>
      <c r="C53" s="6"/>
      <c r="D53" s="6"/>
      <c r="E53" s="6"/>
      <c r="F53" s="7">
        <v>600</v>
      </c>
      <c r="G53" s="7" t="s">
        <v>28</v>
      </c>
      <c r="H53" s="6"/>
      <c r="I53" s="8"/>
      <c r="J53" s="9"/>
      <c r="K53" s="6"/>
      <c r="L53" s="8"/>
      <c r="M53" s="9"/>
      <c r="N53" s="6"/>
    </row>
    <row r="54" spans="1:14" ht="18" customHeight="1" x14ac:dyDescent="0.25">
      <c r="A54" s="5" t="str">
        <f t="shared" si="1"/>
        <v/>
      </c>
      <c r="B54" s="10"/>
      <c r="C54" s="10"/>
      <c r="D54" s="10"/>
      <c r="E54" s="10"/>
      <c r="F54" s="7">
        <v>600</v>
      </c>
      <c r="G54" s="7" t="s">
        <v>28</v>
      </c>
      <c r="H54" s="10"/>
      <c r="I54" s="8"/>
      <c r="J54" s="11"/>
      <c r="K54" s="10"/>
      <c r="L54" s="8"/>
      <c r="M54" s="11"/>
      <c r="N54" s="10"/>
    </row>
    <row r="55" spans="1:14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</sheetData>
  <mergeCells count="3">
    <mergeCell ref="A1:N1"/>
    <mergeCell ref="A2:N2"/>
    <mergeCell ref="A55:N55"/>
  </mergeCells>
  <dataValidations count="1">
    <dataValidation type="list" sqref="J5:J54 M5:M54" xr:uid="{00000000-0002-0000-06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100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101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103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700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700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700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700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700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700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700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700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700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700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700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700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700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700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700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700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700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700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700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700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700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700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700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700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700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700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700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700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700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700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700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700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700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700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700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700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700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700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700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700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700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700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700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700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700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700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700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700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700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700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7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104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105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106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107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800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800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800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800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800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800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800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800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800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800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800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800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800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800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800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800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800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800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800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800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800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800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800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800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800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800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800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800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800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800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800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800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800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800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800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800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800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800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800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800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800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800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800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800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800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800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800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800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800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800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8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109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110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111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900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900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900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900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900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900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900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900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900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900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900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900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900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900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900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900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900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900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900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900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900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900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900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900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900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900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900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900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900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900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900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900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900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900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900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900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900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900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900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900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900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900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900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900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900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900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900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900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900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900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9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112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113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114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115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1000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1000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1000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1000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1000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1000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1000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1000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1000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1000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1000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1000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1000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1000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1000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1000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1000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1000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1000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1000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1000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1000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1000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1000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1000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1000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1000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1000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1000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1000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1000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1000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1000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1000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1000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1000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1000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1000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1000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1000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1000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1000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1000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1000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1000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1000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1000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1000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1000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1000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A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118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119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1100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1100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1100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1100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1100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1100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1100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1100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1100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1100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1100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1100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1100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1100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1100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1100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1100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1100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1100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1100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1100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1100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1100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1100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1100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1100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1100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1100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1100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1100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1100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1100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1100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1100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1100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1100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1100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1100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1100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1100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1100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1100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1100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1100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1100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1100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1100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1100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1100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1100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B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122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123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1200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1200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1200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1200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1200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1200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1200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1200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1200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1200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1200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1200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1200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1200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1200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1200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1200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1200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1200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1200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1200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1200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1200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1200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1200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1200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1200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1200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1200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1200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1200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1200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1200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1200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1200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1200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1200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1200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1200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1200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1200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1200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1200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1200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1200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1200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1200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1200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1200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1200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C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126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127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1300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1300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1300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1300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1300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1300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1300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1300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1300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1300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1300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1300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1300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1300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1300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1300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1300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1300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1300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1300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1300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1300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1300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1300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1300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1300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1300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1300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1300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1300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1300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1300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1300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1300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1300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1300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1300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1300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1300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1300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1300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1300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1300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1300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1300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1300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1300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1300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1300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1300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D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129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130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131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1400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1400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1400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1400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1400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1400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1400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1400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1400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1400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1400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1400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1400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1400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1400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1400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1400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1400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1400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1400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1400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1400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1400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1400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1400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1400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1400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1400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1400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1400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1400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1400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1400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1400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1400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1400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1400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1400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1400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1400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1400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1400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1400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1400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1400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1400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1400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1400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1400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1400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E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8192C"/>
  </sheetPr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4" customWidth="1"/>
    <col min="2" max="2" width="45" customWidth="1"/>
    <col min="3" max="3" width="20" customWidth="1"/>
    <col min="4" max="4" width="22" customWidth="1"/>
    <col min="5" max="5" width="28" customWidth="1"/>
    <col min="6" max="6" width="24" customWidth="1"/>
    <col min="7" max="7" width="12" customWidth="1"/>
    <col min="8" max="8" width="11" customWidth="1"/>
    <col min="9" max="9" width="35" customWidth="1"/>
    <col min="10" max="10" width="26" customWidth="1"/>
    <col min="11" max="11" width="20" customWidth="1"/>
    <col min="12" max="12" width="35" customWidth="1"/>
    <col min="13" max="13" width="26" customWidth="1"/>
    <col min="14" max="14" width="20" customWidth="1"/>
    <col min="15" max="15" width="30" customWidth="1"/>
  </cols>
  <sheetData>
    <row r="1" spans="1:15" ht="39.75" customHeight="1" x14ac:dyDescent="0.25">
      <c r="A1" s="21" t="s">
        <v>132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3.75" customHeight="1" x14ac:dyDescent="0.25">
      <c r="A2" s="22" t="s">
        <v>133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1.5" customHeight="1" x14ac:dyDescent="0.25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79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57</v>
      </c>
    </row>
    <row r="4" spans="1:15" ht="51.75" customHeight="1" x14ac:dyDescent="0.25">
      <c r="A4" s="3" t="s">
        <v>58</v>
      </c>
      <c r="B4" s="4" t="s">
        <v>134</v>
      </c>
      <c r="C4" s="4" t="s">
        <v>60</v>
      </c>
      <c r="D4" s="4" t="s">
        <v>61</v>
      </c>
      <c r="E4" s="4" t="s">
        <v>81</v>
      </c>
      <c r="F4" s="4" t="s">
        <v>102</v>
      </c>
      <c r="G4" s="4" t="s">
        <v>135</v>
      </c>
      <c r="H4" s="4" t="s">
        <v>64</v>
      </c>
      <c r="I4" s="4" t="s">
        <v>84</v>
      </c>
      <c r="J4" s="4" t="s">
        <v>69</v>
      </c>
      <c r="K4" s="4" t="s">
        <v>67</v>
      </c>
      <c r="L4" s="4" t="s">
        <v>85</v>
      </c>
      <c r="M4" s="4" t="s">
        <v>69</v>
      </c>
      <c r="N4" s="4" t="s">
        <v>70</v>
      </c>
      <c r="O4" s="4" t="s">
        <v>71</v>
      </c>
    </row>
    <row r="5" spans="1:15" ht="18" customHeight="1" x14ac:dyDescent="0.25">
      <c r="A5" s="5" t="str">
        <f t="shared" ref="A5:A36" si="0">IF(B5="","",ROW()-4)</f>
        <v/>
      </c>
      <c r="B5" s="6"/>
      <c r="C5" s="6"/>
      <c r="D5" s="6"/>
      <c r="E5" s="6"/>
      <c r="F5" s="6"/>
      <c r="G5" s="7">
        <v>1500</v>
      </c>
      <c r="H5" s="7" t="s">
        <v>28</v>
      </c>
      <c r="I5" s="6"/>
      <c r="J5" s="8"/>
      <c r="K5" s="9"/>
      <c r="L5" s="6"/>
      <c r="M5" s="8"/>
      <c r="N5" s="9"/>
      <c r="O5" s="6"/>
    </row>
    <row r="6" spans="1:15" ht="18" customHeight="1" x14ac:dyDescent="0.25">
      <c r="A6" s="5" t="str">
        <f t="shared" si="0"/>
        <v/>
      </c>
      <c r="B6" s="10"/>
      <c r="C6" s="10"/>
      <c r="D6" s="10"/>
      <c r="E6" s="10"/>
      <c r="F6" s="10"/>
      <c r="G6" s="7">
        <v>1500</v>
      </c>
      <c r="H6" s="7" t="s">
        <v>28</v>
      </c>
      <c r="I6" s="10"/>
      <c r="J6" s="8"/>
      <c r="K6" s="11"/>
      <c r="L6" s="10"/>
      <c r="M6" s="8"/>
      <c r="N6" s="11"/>
      <c r="O6" s="10"/>
    </row>
    <row r="7" spans="1:15" ht="18" customHeight="1" x14ac:dyDescent="0.25">
      <c r="A7" s="5" t="str">
        <f t="shared" si="0"/>
        <v/>
      </c>
      <c r="B7" s="6"/>
      <c r="C7" s="6"/>
      <c r="D7" s="6"/>
      <c r="E7" s="6"/>
      <c r="F7" s="6"/>
      <c r="G7" s="7">
        <v>1500</v>
      </c>
      <c r="H7" s="7" t="s">
        <v>28</v>
      </c>
      <c r="I7" s="6"/>
      <c r="J7" s="8"/>
      <c r="K7" s="9"/>
      <c r="L7" s="6"/>
      <c r="M7" s="8"/>
      <c r="N7" s="9"/>
      <c r="O7" s="6"/>
    </row>
    <row r="8" spans="1:15" ht="18" customHeight="1" x14ac:dyDescent="0.25">
      <c r="A8" s="5" t="str">
        <f t="shared" si="0"/>
        <v/>
      </c>
      <c r="B8" s="10"/>
      <c r="C8" s="10"/>
      <c r="D8" s="10"/>
      <c r="E8" s="10"/>
      <c r="F8" s="10"/>
      <c r="G8" s="7">
        <v>1500</v>
      </c>
      <c r="H8" s="7" t="s">
        <v>28</v>
      </c>
      <c r="I8" s="10"/>
      <c r="J8" s="8"/>
      <c r="K8" s="11"/>
      <c r="L8" s="10"/>
      <c r="M8" s="8"/>
      <c r="N8" s="11"/>
      <c r="O8" s="10"/>
    </row>
    <row r="9" spans="1:15" ht="18" customHeight="1" x14ac:dyDescent="0.25">
      <c r="A9" s="5" t="str">
        <f t="shared" si="0"/>
        <v/>
      </c>
      <c r="B9" s="6"/>
      <c r="C9" s="6"/>
      <c r="D9" s="6"/>
      <c r="E9" s="6"/>
      <c r="F9" s="6"/>
      <c r="G9" s="7">
        <v>1500</v>
      </c>
      <c r="H9" s="7" t="s">
        <v>28</v>
      </c>
      <c r="I9" s="6"/>
      <c r="J9" s="8"/>
      <c r="K9" s="9"/>
      <c r="L9" s="6"/>
      <c r="M9" s="8"/>
      <c r="N9" s="9"/>
      <c r="O9" s="6"/>
    </row>
    <row r="10" spans="1:15" ht="18" customHeight="1" x14ac:dyDescent="0.25">
      <c r="A10" s="5" t="str">
        <f t="shared" si="0"/>
        <v/>
      </c>
      <c r="B10" s="10"/>
      <c r="C10" s="10"/>
      <c r="D10" s="10"/>
      <c r="E10" s="10"/>
      <c r="F10" s="10"/>
      <c r="G10" s="7">
        <v>1500</v>
      </c>
      <c r="H10" s="7" t="s">
        <v>28</v>
      </c>
      <c r="I10" s="10"/>
      <c r="J10" s="8"/>
      <c r="K10" s="11"/>
      <c r="L10" s="10"/>
      <c r="M10" s="8"/>
      <c r="N10" s="11"/>
      <c r="O10" s="10"/>
    </row>
    <row r="11" spans="1:15" ht="18" customHeight="1" x14ac:dyDescent="0.25">
      <c r="A11" s="5" t="str">
        <f t="shared" si="0"/>
        <v/>
      </c>
      <c r="B11" s="6"/>
      <c r="C11" s="6"/>
      <c r="D11" s="6"/>
      <c r="E11" s="6"/>
      <c r="F11" s="6"/>
      <c r="G11" s="7">
        <v>1500</v>
      </c>
      <c r="H11" s="7" t="s">
        <v>28</v>
      </c>
      <c r="I11" s="6"/>
      <c r="J11" s="8"/>
      <c r="K11" s="9"/>
      <c r="L11" s="6"/>
      <c r="M11" s="8"/>
      <c r="N11" s="9"/>
      <c r="O11" s="6"/>
    </row>
    <row r="12" spans="1:15" ht="18" customHeight="1" x14ac:dyDescent="0.25">
      <c r="A12" s="5" t="str">
        <f t="shared" si="0"/>
        <v/>
      </c>
      <c r="B12" s="10"/>
      <c r="C12" s="10"/>
      <c r="D12" s="10"/>
      <c r="E12" s="10"/>
      <c r="F12" s="10"/>
      <c r="G12" s="7">
        <v>1500</v>
      </c>
      <c r="H12" s="7" t="s">
        <v>28</v>
      </c>
      <c r="I12" s="10"/>
      <c r="J12" s="8"/>
      <c r="K12" s="11"/>
      <c r="L12" s="10"/>
      <c r="M12" s="8"/>
      <c r="N12" s="11"/>
      <c r="O12" s="10"/>
    </row>
    <row r="13" spans="1:15" ht="18" customHeight="1" x14ac:dyDescent="0.25">
      <c r="A13" s="5" t="str">
        <f t="shared" si="0"/>
        <v/>
      </c>
      <c r="B13" s="6"/>
      <c r="C13" s="6"/>
      <c r="D13" s="6"/>
      <c r="E13" s="6"/>
      <c r="F13" s="6"/>
      <c r="G13" s="7">
        <v>1500</v>
      </c>
      <c r="H13" s="7" t="s">
        <v>28</v>
      </c>
      <c r="I13" s="6"/>
      <c r="J13" s="8"/>
      <c r="K13" s="9"/>
      <c r="L13" s="6"/>
      <c r="M13" s="8"/>
      <c r="N13" s="9"/>
      <c r="O13" s="6"/>
    </row>
    <row r="14" spans="1:15" ht="18" customHeight="1" x14ac:dyDescent="0.25">
      <c r="A14" s="5" t="str">
        <f t="shared" si="0"/>
        <v/>
      </c>
      <c r="B14" s="10"/>
      <c r="C14" s="10"/>
      <c r="D14" s="10"/>
      <c r="E14" s="10"/>
      <c r="F14" s="10"/>
      <c r="G14" s="7">
        <v>1500</v>
      </c>
      <c r="H14" s="7" t="s">
        <v>28</v>
      </c>
      <c r="I14" s="10"/>
      <c r="J14" s="8"/>
      <c r="K14" s="11"/>
      <c r="L14" s="10"/>
      <c r="M14" s="8"/>
      <c r="N14" s="11"/>
      <c r="O14" s="10"/>
    </row>
    <row r="15" spans="1:15" ht="18" customHeight="1" x14ac:dyDescent="0.25">
      <c r="A15" s="5" t="str">
        <f t="shared" si="0"/>
        <v/>
      </c>
      <c r="B15" s="6"/>
      <c r="C15" s="6"/>
      <c r="D15" s="6"/>
      <c r="E15" s="6"/>
      <c r="F15" s="6"/>
      <c r="G15" s="7">
        <v>1500</v>
      </c>
      <c r="H15" s="7" t="s">
        <v>28</v>
      </c>
      <c r="I15" s="6"/>
      <c r="J15" s="8"/>
      <c r="K15" s="9"/>
      <c r="L15" s="6"/>
      <c r="M15" s="8"/>
      <c r="N15" s="9"/>
      <c r="O15" s="6"/>
    </row>
    <row r="16" spans="1:15" ht="18" customHeight="1" x14ac:dyDescent="0.25">
      <c r="A16" s="5" t="str">
        <f t="shared" si="0"/>
        <v/>
      </c>
      <c r="B16" s="10"/>
      <c r="C16" s="10"/>
      <c r="D16" s="10"/>
      <c r="E16" s="10"/>
      <c r="F16" s="10"/>
      <c r="G16" s="7">
        <v>1500</v>
      </c>
      <c r="H16" s="7" t="s">
        <v>28</v>
      </c>
      <c r="I16" s="10"/>
      <c r="J16" s="8"/>
      <c r="K16" s="11"/>
      <c r="L16" s="10"/>
      <c r="M16" s="8"/>
      <c r="N16" s="11"/>
      <c r="O16" s="10"/>
    </row>
    <row r="17" spans="1:15" ht="18" customHeight="1" x14ac:dyDescent="0.25">
      <c r="A17" s="5" t="str">
        <f t="shared" si="0"/>
        <v/>
      </c>
      <c r="B17" s="6"/>
      <c r="C17" s="6"/>
      <c r="D17" s="6"/>
      <c r="E17" s="6"/>
      <c r="F17" s="6"/>
      <c r="G17" s="7">
        <v>1500</v>
      </c>
      <c r="H17" s="7" t="s">
        <v>28</v>
      </c>
      <c r="I17" s="6"/>
      <c r="J17" s="8"/>
      <c r="K17" s="9"/>
      <c r="L17" s="6"/>
      <c r="M17" s="8"/>
      <c r="N17" s="9"/>
      <c r="O17" s="6"/>
    </row>
    <row r="18" spans="1:15" ht="18" customHeight="1" x14ac:dyDescent="0.25">
      <c r="A18" s="5" t="str">
        <f t="shared" si="0"/>
        <v/>
      </c>
      <c r="B18" s="10"/>
      <c r="C18" s="10"/>
      <c r="D18" s="10"/>
      <c r="E18" s="10"/>
      <c r="F18" s="10"/>
      <c r="G18" s="7">
        <v>1500</v>
      </c>
      <c r="H18" s="7" t="s">
        <v>28</v>
      </c>
      <c r="I18" s="10"/>
      <c r="J18" s="8"/>
      <c r="K18" s="11"/>
      <c r="L18" s="10"/>
      <c r="M18" s="8"/>
      <c r="N18" s="11"/>
      <c r="O18" s="10"/>
    </row>
    <row r="19" spans="1:15" ht="18" customHeight="1" x14ac:dyDescent="0.25">
      <c r="A19" s="5" t="str">
        <f t="shared" si="0"/>
        <v/>
      </c>
      <c r="B19" s="6"/>
      <c r="C19" s="6"/>
      <c r="D19" s="6"/>
      <c r="E19" s="6"/>
      <c r="F19" s="6"/>
      <c r="G19" s="7">
        <v>1500</v>
      </c>
      <c r="H19" s="7" t="s">
        <v>28</v>
      </c>
      <c r="I19" s="6"/>
      <c r="J19" s="8"/>
      <c r="K19" s="9"/>
      <c r="L19" s="6"/>
      <c r="M19" s="8"/>
      <c r="N19" s="9"/>
      <c r="O19" s="6"/>
    </row>
    <row r="20" spans="1:15" ht="18" customHeight="1" x14ac:dyDescent="0.25">
      <c r="A20" s="5" t="str">
        <f t="shared" si="0"/>
        <v/>
      </c>
      <c r="B20" s="10"/>
      <c r="C20" s="10"/>
      <c r="D20" s="10"/>
      <c r="E20" s="10"/>
      <c r="F20" s="10"/>
      <c r="G20" s="7">
        <v>1500</v>
      </c>
      <c r="H20" s="7" t="s">
        <v>28</v>
      </c>
      <c r="I20" s="10"/>
      <c r="J20" s="8"/>
      <c r="K20" s="11"/>
      <c r="L20" s="10"/>
      <c r="M20" s="8"/>
      <c r="N20" s="11"/>
      <c r="O20" s="10"/>
    </row>
    <row r="21" spans="1:15" ht="18" customHeight="1" x14ac:dyDescent="0.25">
      <c r="A21" s="5" t="str">
        <f t="shared" si="0"/>
        <v/>
      </c>
      <c r="B21" s="6"/>
      <c r="C21" s="6"/>
      <c r="D21" s="6"/>
      <c r="E21" s="6"/>
      <c r="F21" s="6"/>
      <c r="G21" s="7">
        <v>1500</v>
      </c>
      <c r="H21" s="7" t="s">
        <v>28</v>
      </c>
      <c r="I21" s="6"/>
      <c r="J21" s="8"/>
      <c r="K21" s="9"/>
      <c r="L21" s="6"/>
      <c r="M21" s="8"/>
      <c r="N21" s="9"/>
      <c r="O21" s="6"/>
    </row>
    <row r="22" spans="1:15" ht="18" customHeight="1" x14ac:dyDescent="0.25">
      <c r="A22" s="5" t="str">
        <f t="shared" si="0"/>
        <v/>
      </c>
      <c r="B22" s="10"/>
      <c r="C22" s="10"/>
      <c r="D22" s="10"/>
      <c r="E22" s="10"/>
      <c r="F22" s="10"/>
      <c r="G22" s="7">
        <v>1500</v>
      </c>
      <c r="H22" s="7" t="s">
        <v>28</v>
      </c>
      <c r="I22" s="10"/>
      <c r="J22" s="8"/>
      <c r="K22" s="11"/>
      <c r="L22" s="10"/>
      <c r="M22" s="8"/>
      <c r="N22" s="11"/>
      <c r="O22" s="10"/>
    </row>
    <row r="23" spans="1:15" ht="18" customHeight="1" x14ac:dyDescent="0.25">
      <c r="A23" s="5" t="str">
        <f t="shared" si="0"/>
        <v/>
      </c>
      <c r="B23" s="6"/>
      <c r="C23" s="6"/>
      <c r="D23" s="6"/>
      <c r="E23" s="6"/>
      <c r="F23" s="6"/>
      <c r="G23" s="7">
        <v>1500</v>
      </c>
      <c r="H23" s="7" t="s">
        <v>28</v>
      </c>
      <c r="I23" s="6"/>
      <c r="J23" s="8"/>
      <c r="K23" s="9"/>
      <c r="L23" s="6"/>
      <c r="M23" s="8"/>
      <c r="N23" s="9"/>
      <c r="O23" s="6"/>
    </row>
    <row r="24" spans="1:15" ht="18" customHeight="1" x14ac:dyDescent="0.25">
      <c r="A24" s="5" t="str">
        <f t="shared" si="0"/>
        <v/>
      </c>
      <c r="B24" s="10"/>
      <c r="C24" s="10"/>
      <c r="D24" s="10"/>
      <c r="E24" s="10"/>
      <c r="F24" s="10"/>
      <c r="G24" s="7">
        <v>1500</v>
      </c>
      <c r="H24" s="7" t="s">
        <v>28</v>
      </c>
      <c r="I24" s="10"/>
      <c r="J24" s="8"/>
      <c r="K24" s="11"/>
      <c r="L24" s="10"/>
      <c r="M24" s="8"/>
      <c r="N24" s="11"/>
      <c r="O24" s="10"/>
    </row>
    <row r="25" spans="1:15" ht="18" customHeight="1" x14ac:dyDescent="0.25">
      <c r="A25" s="5" t="str">
        <f t="shared" si="0"/>
        <v/>
      </c>
      <c r="B25" s="6"/>
      <c r="C25" s="6"/>
      <c r="D25" s="6"/>
      <c r="E25" s="6"/>
      <c r="F25" s="6"/>
      <c r="G25" s="7">
        <v>1500</v>
      </c>
      <c r="H25" s="7" t="s">
        <v>28</v>
      </c>
      <c r="I25" s="6"/>
      <c r="J25" s="8"/>
      <c r="K25" s="9"/>
      <c r="L25" s="6"/>
      <c r="M25" s="8"/>
      <c r="N25" s="9"/>
      <c r="O25" s="6"/>
    </row>
    <row r="26" spans="1:15" ht="18" customHeight="1" x14ac:dyDescent="0.25">
      <c r="A26" s="5" t="str">
        <f t="shared" si="0"/>
        <v/>
      </c>
      <c r="B26" s="10"/>
      <c r="C26" s="10"/>
      <c r="D26" s="10"/>
      <c r="E26" s="10"/>
      <c r="F26" s="10"/>
      <c r="G26" s="7">
        <v>1500</v>
      </c>
      <c r="H26" s="7" t="s">
        <v>28</v>
      </c>
      <c r="I26" s="10"/>
      <c r="J26" s="8"/>
      <c r="K26" s="11"/>
      <c r="L26" s="10"/>
      <c r="M26" s="8"/>
      <c r="N26" s="11"/>
      <c r="O26" s="10"/>
    </row>
    <row r="27" spans="1:15" ht="18" customHeight="1" x14ac:dyDescent="0.25">
      <c r="A27" s="5" t="str">
        <f t="shared" si="0"/>
        <v/>
      </c>
      <c r="B27" s="6"/>
      <c r="C27" s="6"/>
      <c r="D27" s="6"/>
      <c r="E27" s="6"/>
      <c r="F27" s="6"/>
      <c r="G27" s="7">
        <v>1500</v>
      </c>
      <c r="H27" s="7" t="s">
        <v>28</v>
      </c>
      <c r="I27" s="6"/>
      <c r="J27" s="8"/>
      <c r="K27" s="9"/>
      <c r="L27" s="6"/>
      <c r="M27" s="8"/>
      <c r="N27" s="9"/>
      <c r="O27" s="6"/>
    </row>
    <row r="28" spans="1:15" ht="18" customHeight="1" x14ac:dyDescent="0.25">
      <c r="A28" s="5" t="str">
        <f t="shared" si="0"/>
        <v/>
      </c>
      <c r="B28" s="10"/>
      <c r="C28" s="10"/>
      <c r="D28" s="10"/>
      <c r="E28" s="10"/>
      <c r="F28" s="10"/>
      <c r="G28" s="7">
        <v>1500</v>
      </c>
      <c r="H28" s="7" t="s">
        <v>28</v>
      </c>
      <c r="I28" s="10"/>
      <c r="J28" s="8"/>
      <c r="K28" s="11"/>
      <c r="L28" s="10"/>
      <c r="M28" s="8"/>
      <c r="N28" s="11"/>
      <c r="O28" s="10"/>
    </row>
    <row r="29" spans="1:15" ht="18" customHeight="1" x14ac:dyDescent="0.25">
      <c r="A29" s="5" t="str">
        <f t="shared" si="0"/>
        <v/>
      </c>
      <c r="B29" s="6"/>
      <c r="C29" s="6"/>
      <c r="D29" s="6"/>
      <c r="E29" s="6"/>
      <c r="F29" s="6"/>
      <c r="G29" s="7">
        <v>1500</v>
      </c>
      <c r="H29" s="7" t="s">
        <v>28</v>
      </c>
      <c r="I29" s="6"/>
      <c r="J29" s="8"/>
      <c r="K29" s="9"/>
      <c r="L29" s="6"/>
      <c r="M29" s="8"/>
      <c r="N29" s="9"/>
      <c r="O29" s="6"/>
    </row>
    <row r="30" spans="1:15" ht="18" customHeight="1" x14ac:dyDescent="0.25">
      <c r="A30" s="5" t="str">
        <f t="shared" si="0"/>
        <v/>
      </c>
      <c r="B30" s="10"/>
      <c r="C30" s="10"/>
      <c r="D30" s="10"/>
      <c r="E30" s="10"/>
      <c r="F30" s="10"/>
      <c r="G30" s="7">
        <v>1500</v>
      </c>
      <c r="H30" s="7" t="s">
        <v>28</v>
      </c>
      <c r="I30" s="10"/>
      <c r="J30" s="8"/>
      <c r="K30" s="11"/>
      <c r="L30" s="10"/>
      <c r="M30" s="8"/>
      <c r="N30" s="11"/>
      <c r="O30" s="10"/>
    </row>
    <row r="31" spans="1:15" ht="18" customHeight="1" x14ac:dyDescent="0.25">
      <c r="A31" s="5" t="str">
        <f t="shared" si="0"/>
        <v/>
      </c>
      <c r="B31" s="6"/>
      <c r="C31" s="6"/>
      <c r="D31" s="6"/>
      <c r="E31" s="6"/>
      <c r="F31" s="6"/>
      <c r="G31" s="7">
        <v>1500</v>
      </c>
      <c r="H31" s="7" t="s">
        <v>28</v>
      </c>
      <c r="I31" s="6"/>
      <c r="J31" s="8"/>
      <c r="K31" s="9"/>
      <c r="L31" s="6"/>
      <c r="M31" s="8"/>
      <c r="N31" s="9"/>
      <c r="O31" s="6"/>
    </row>
    <row r="32" spans="1:15" ht="18" customHeight="1" x14ac:dyDescent="0.25">
      <c r="A32" s="5" t="str">
        <f t="shared" si="0"/>
        <v/>
      </c>
      <c r="B32" s="10"/>
      <c r="C32" s="10"/>
      <c r="D32" s="10"/>
      <c r="E32" s="10"/>
      <c r="F32" s="10"/>
      <c r="G32" s="7">
        <v>1500</v>
      </c>
      <c r="H32" s="7" t="s">
        <v>28</v>
      </c>
      <c r="I32" s="10"/>
      <c r="J32" s="8"/>
      <c r="K32" s="11"/>
      <c r="L32" s="10"/>
      <c r="M32" s="8"/>
      <c r="N32" s="11"/>
      <c r="O32" s="10"/>
    </row>
    <row r="33" spans="1:15" ht="18" customHeight="1" x14ac:dyDescent="0.25">
      <c r="A33" s="5" t="str">
        <f t="shared" si="0"/>
        <v/>
      </c>
      <c r="B33" s="6"/>
      <c r="C33" s="6"/>
      <c r="D33" s="6"/>
      <c r="E33" s="6"/>
      <c r="F33" s="6"/>
      <c r="G33" s="7">
        <v>1500</v>
      </c>
      <c r="H33" s="7" t="s">
        <v>28</v>
      </c>
      <c r="I33" s="6"/>
      <c r="J33" s="8"/>
      <c r="K33" s="9"/>
      <c r="L33" s="6"/>
      <c r="M33" s="8"/>
      <c r="N33" s="9"/>
      <c r="O33" s="6"/>
    </row>
    <row r="34" spans="1:15" ht="18" customHeight="1" x14ac:dyDescent="0.25">
      <c r="A34" s="5" t="str">
        <f t="shared" si="0"/>
        <v/>
      </c>
      <c r="B34" s="10"/>
      <c r="C34" s="10"/>
      <c r="D34" s="10"/>
      <c r="E34" s="10"/>
      <c r="F34" s="10"/>
      <c r="G34" s="7">
        <v>1500</v>
      </c>
      <c r="H34" s="7" t="s">
        <v>28</v>
      </c>
      <c r="I34" s="10"/>
      <c r="J34" s="8"/>
      <c r="K34" s="11"/>
      <c r="L34" s="10"/>
      <c r="M34" s="8"/>
      <c r="N34" s="11"/>
      <c r="O34" s="10"/>
    </row>
    <row r="35" spans="1:15" ht="18" customHeight="1" x14ac:dyDescent="0.25">
      <c r="A35" s="5" t="str">
        <f t="shared" si="0"/>
        <v/>
      </c>
      <c r="B35" s="6"/>
      <c r="C35" s="6"/>
      <c r="D35" s="6"/>
      <c r="E35" s="6"/>
      <c r="F35" s="6"/>
      <c r="G35" s="7">
        <v>1500</v>
      </c>
      <c r="H35" s="7" t="s">
        <v>28</v>
      </c>
      <c r="I35" s="6"/>
      <c r="J35" s="8"/>
      <c r="K35" s="9"/>
      <c r="L35" s="6"/>
      <c r="M35" s="8"/>
      <c r="N35" s="9"/>
      <c r="O35" s="6"/>
    </row>
    <row r="36" spans="1:15" ht="18" customHeight="1" x14ac:dyDescent="0.25">
      <c r="A36" s="5" t="str">
        <f t="shared" si="0"/>
        <v/>
      </c>
      <c r="B36" s="10"/>
      <c r="C36" s="10"/>
      <c r="D36" s="10"/>
      <c r="E36" s="10"/>
      <c r="F36" s="10"/>
      <c r="G36" s="7">
        <v>1500</v>
      </c>
      <c r="H36" s="7" t="s">
        <v>28</v>
      </c>
      <c r="I36" s="10"/>
      <c r="J36" s="8"/>
      <c r="K36" s="11"/>
      <c r="L36" s="10"/>
      <c r="M36" s="8"/>
      <c r="N36" s="11"/>
      <c r="O36" s="10"/>
    </row>
    <row r="37" spans="1:15" ht="18" customHeight="1" x14ac:dyDescent="0.25">
      <c r="A37" s="5" t="str">
        <f t="shared" ref="A37:A54" si="1">IF(B37="","",ROW()-4)</f>
        <v/>
      </c>
      <c r="B37" s="6"/>
      <c r="C37" s="6"/>
      <c r="D37" s="6"/>
      <c r="E37" s="6"/>
      <c r="F37" s="6"/>
      <c r="G37" s="7">
        <v>1500</v>
      </c>
      <c r="H37" s="7" t="s">
        <v>28</v>
      </c>
      <c r="I37" s="6"/>
      <c r="J37" s="8"/>
      <c r="K37" s="9"/>
      <c r="L37" s="6"/>
      <c r="M37" s="8"/>
      <c r="N37" s="9"/>
      <c r="O37" s="6"/>
    </row>
    <row r="38" spans="1:15" ht="18" customHeight="1" x14ac:dyDescent="0.25">
      <c r="A38" s="5" t="str">
        <f t="shared" si="1"/>
        <v/>
      </c>
      <c r="B38" s="10"/>
      <c r="C38" s="10"/>
      <c r="D38" s="10"/>
      <c r="E38" s="10"/>
      <c r="F38" s="10"/>
      <c r="G38" s="7">
        <v>1500</v>
      </c>
      <c r="H38" s="7" t="s">
        <v>28</v>
      </c>
      <c r="I38" s="10"/>
      <c r="J38" s="8"/>
      <c r="K38" s="11"/>
      <c r="L38" s="10"/>
      <c r="M38" s="8"/>
      <c r="N38" s="11"/>
      <c r="O38" s="10"/>
    </row>
    <row r="39" spans="1:15" ht="18" customHeight="1" x14ac:dyDescent="0.25">
      <c r="A39" s="5" t="str">
        <f t="shared" si="1"/>
        <v/>
      </c>
      <c r="B39" s="6"/>
      <c r="C39" s="6"/>
      <c r="D39" s="6"/>
      <c r="E39" s="6"/>
      <c r="F39" s="6"/>
      <c r="G39" s="7">
        <v>1500</v>
      </c>
      <c r="H39" s="7" t="s">
        <v>28</v>
      </c>
      <c r="I39" s="6"/>
      <c r="J39" s="8"/>
      <c r="K39" s="9"/>
      <c r="L39" s="6"/>
      <c r="M39" s="8"/>
      <c r="N39" s="9"/>
      <c r="O39" s="6"/>
    </row>
    <row r="40" spans="1:15" ht="18" customHeight="1" x14ac:dyDescent="0.25">
      <c r="A40" s="5" t="str">
        <f t="shared" si="1"/>
        <v/>
      </c>
      <c r="B40" s="10"/>
      <c r="C40" s="10"/>
      <c r="D40" s="10"/>
      <c r="E40" s="10"/>
      <c r="F40" s="10"/>
      <c r="G40" s="7">
        <v>1500</v>
      </c>
      <c r="H40" s="7" t="s">
        <v>28</v>
      </c>
      <c r="I40" s="10"/>
      <c r="J40" s="8"/>
      <c r="K40" s="11"/>
      <c r="L40" s="10"/>
      <c r="M40" s="8"/>
      <c r="N40" s="11"/>
      <c r="O40" s="10"/>
    </row>
    <row r="41" spans="1:15" ht="18" customHeight="1" x14ac:dyDescent="0.25">
      <c r="A41" s="5" t="str">
        <f t="shared" si="1"/>
        <v/>
      </c>
      <c r="B41" s="6"/>
      <c r="C41" s="6"/>
      <c r="D41" s="6"/>
      <c r="E41" s="6"/>
      <c r="F41" s="6"/>
      <c r="G41" s="7">
        <v>1500</v>
      </c>
      <c r="H41" s="7" t="s">
        <v>28</v>
      </c>
      <c r="I41" s="6"/>
      <c r="J41" s="8"/>
      <c r="K41" s="9"/>
      <c r="L41" s="6"/>
      <c r="M41" s="8"/>
      <c r="N41" s="9"/>
      <c r="O41" s="6"/>
    </row>
    <row r="42" spans="1:15" ht="18" customHeight="1" x14ac:dyDescent="0.25">
      <c r="A42" s="5" t="str">
        <f t="shared" si="1"/>
        <v/>
      </c>
      <c r="B42" s="10"/>
      <c r="C42" s="10"/>
      <c r="D42" s="10"/>
      <c r="E42" s="10"/>
      <c r="F42" s="10"/>
      <c r="G42" s="7">
        <v>1500</v>
      </c>
      <c r="H42" s="7" t="s">
        <v>28</v>
      </c>
      <c r="I42" s="10"/>
      <c r="J42" s="8"/>
      <c r="K42" s="11"/>
      <c r="L42" s="10"/>
      <c r="M42" s="8"/>
      <c r="N42" s="11"/>
      <c r="O42" s="10"/>
    </row>
    <row r="43" spans="1:15" ht="18" customHeight="1" x14ac:dyDescent="0.25">
      <c r="A43" s="5" t="str">
        <f t="shared" si="1"/>
        <v/>
      </c>
      <c r="B43" s="6"/>
      <c r="C43" s="6"/>
      <c r="D43" s="6"/>
      <c r="E43" s="6"/>
      <c r="F43" s="6"/>
      <c r="G43" s="7">
        <v>1500</v>
      </c>
      <c r="H43" s="7" t="s">
        <v>28</v>
      </c>
      <c r="I43" s="6"/>
      <c r="J43" s="8"/>
      <c r="K43" s="9"/>
      <c r="L43" s="6"/>
      <c r="M43" s="8"/>
      <c r="N43" s="9"/>
      <c r="O43" s="6"/>
    </row>
    <row r="44" spans="1:15" ht="18" customHeight="1" x14ac:dyDescent="0.25">
      <c r="A44" s="5" t="str">
        <f t="shared" si="1"/>
        <v/>
      </c>
      <c r="B44" s="10"/>
      <c r="C44" s="10"/>
      <c r="D44" s="10"/>
      <c r="E44" s="10"/>
      <c r="F44" s="10"/>
      <c r="G44" s="7">
        <v>1500</v>
      </c>
      <c r="H44" s="7" t="s">
        <v>28</v>
      </c>
      <c r="I44" s="10"/>
      <c r="J44" s="8"/>
      <c r="K44" s="11"/>
      <c r="L44" s="10"/>
      <c r="M44" s="8"/>
      <c r="N44" s="11"/>
      <c r="O44" s="10"/>
    </row>
    <row r="45" spans="1:15" ht="18" customHeight="1" x14ac:dyDescent="0.25">
      <c r="A45" s="5" t="str">
        <f t="shared" si="1"/>
        <v/>
      </c>
      <c r="B45" s="6"/>
      <c r="C45" s="6"/>
      <c r="D45" s="6"/>
      <c r="E45" s="6"/>
      <c r="F45" s="6"/>
      <c r="G45" s="7">
        <v>1500</v>
      </c>
      <c r="H45" s="7" t="s">
        <v>28</v>
      </c>
      <c r="I45" s="6"/>
      <c r="J45" s="8"/>
      <c r="K45" s="9"/>
      <c r="L45" s="6"/>
      <c r="M45" s="8"/>
      <c r="N45" s="9"/>
      <c r="O45" s="6"/>
    </row>
    <row r="46" spans="1:15" ht="18" customHeight="1" x14ac:dyDescent="0.25">
      <c r="A46" s="5" t="str">
        <f t="shared" si="1"/>
        <v/>
      </c>
      <c r="B46" s="10"/>
      <c r="C46" s="10"/>
      <c r="D46" s="10"/>
      <c r="E46" s="10"/>
      <c r="F46" s="10"/>
      <c r="G46" s="7">
        <v>1500</v>
      </c>
      <c r="H46" s="7" t="s">
        <v>28</v>
      </c>
      <c r="I46" s="10"/>
      <c r="J46" s="8"/>
      <c r="K46" s="11"/>
      <c r="L46" s="10"/>
      <c r="M46" s="8"/>
      <c r="N46" s="11"/>
      <c r="O46" s="10"/>
    </row>
    <row r="47" spans="1:15" ht="18" customHeight="1" x14ac:dyDescent="0.25">
      <c r="A47" s="5" t="str">
        <f t="shared" si="1"/>
        <v/>
      </c>
      <c r="B47" s="6"/>
      <c r="C47" s="6"/>
      <c r="D47" s="6"/>
      <c r="E47" s="6"/>
      <c r="F47" s="6"/>
      <c r="G47" s="7">
        <v>1500</v>
      </c>
      <c r="H47" s="7" t="s">
        <v>28</v>
      </c>
      <c r="I47" s="6"/>
      <c r="J47" s="8"/>
      <c r="K47" s="9"/>
      <c r="L47" s="6"/>
      <c r="M47" s="8"/>
      <c r="N47" s="9"/>
      <c r="O47" s="6"/>
    </row>
    <row r="48" spans="1:15" ht="18" customHeight="1" x14ac:dyDescent="0.25">
      <c r="A48" s="5" t="str">
        <f t="shared" si="1"/>
        <v/>
      </c>
      <c r="B48" s="10"/>
      <c r="C48" s="10"/>
      <c r="D48" s="10"/>
      <c r="E48" s="10"/>
      <c r="F48" s="10"/>
      <c r="G48" s="7">
        <v>1500</v>
      </c>
      <c r="H48" s="7" t="s">
        <v>28</v>
      </c>
      <c r="I48" s="10"/>
      <c r="J48" s="8"/>
      <c r="K48" s="11"/>
      <c r="L48" s="10"/>
      <c r="M48" s="8"/>
      <c r="N48" s="11"/>
      <c r="O48" s="10"/>
    </row>
    <row r="49" spans="1:15" ht="18" customHeight="1" x14ac:dyDescent="0.25">
      <c r="A49" s="5" t="str">
        <f t="shared" si="1"/>
        <v/>
      </c>
      <c r="B49" s="6"/>
      <c r="C49" s="6"/>
      <c r="D49" s="6"/>
      <c r="E49" s="6"/>
      <c r="F49" s="6"/>
      <c r="G49" s="7">
        <v>1500</v>
      </c>
      <c r="H49" s="7" t="s">
        <v>28</v>
      </c>
      <c r="I49" s="6"/>
      <c r="J49" s="8"/>
      <c r="K49" s="9"/>
      <c r="L49" s="6"/>
      <c r="M49" s="8"/>
      <c r="N49" s="9"/>
      <c r="O49" s="6"/>
    </row>
    <row r="50" spans="1:15" ht="18" customHeight="1" x14ac:dyDescent="0.25">
      <c r="A50" s="5" t="str">
        <f t="shared" si="1"/>
        <v/>
      </c>
      <c r="B50" s="10"/>
      <c r="C50" s="10"/>
      <c r="D50" s="10"/>
      <c r="E50" s="10"/>
      <c r="F50" s="10"/>
      <c r="G50" s="7">
        <v>1500</v>
      </c>
      <c r="H50" s="7" t="s">
        <v>28</v>
      </c>
      <c r="I50" s="10"/>
      <c r="J50" s="8"/>
      <c r="K50" s="11"/>
      <c r="L50" s="10"/>
      <c r="M50" s="8"/>
      <c r="N50" s="11"/>
      <c r="O50" s="10"/>
    </row>
    <row r="51" spans="1:15" ht="18" customHeight="1" x14ac:dyDescent="0.25">
      <c r="A51" s="5" t="str">
        <f t="shared" si="1"/>
        <v/>
      </c>
      <c r="B51" s="6"/>
      <c r="C51" s="6"/>
      <c r="D51" s="6"/>
      <c r="E51" s="6"/>
      <c r="F51" s="6"/>
      <c r="G51" s="7">
        <v>1500</v>
      </c>
      <c r="H51" s="7" t="s">
        <v>28</v>
      </c>
      <c r="I51" s="6"/>
      <c r="J51" s="8"/>
      <c r="K51" s="9"/>
      <c r="L51" s="6"/>
      <c r="M51" s="8"/>
      <c r="N51" s="9"/>
      <c r="O51" s="6"/>
    </row>
    <row r="52" spans="1:15" ht="18" customHeight="1" x14ac:dyDescent="0.25">
      <c r="A52" s="5" t="str">
        <f t="shared" si="1"/>
        <v/>
      </c>
      <c r="B52" s="10"/>
      <c r="C52" s="10"/>
      <c r="D52" s="10"/>
      <c r="E52" s="10"/>
      <c r="F52" s="10"/>
      <c r="G52" s="7">
        <v>1500</v>
      </c>
      <c r="H52" s="7" t="s">
        <v>28</v>
      </c>
      <c r="I52" s="10"/>
      <c r="J52" s="8"/>
      <c r="K52" s="11"/>
      <c r="L52" s="10"/>
      <c r="M52" s="8"/>
      <c r="N52" s="11"/>
      <c r="O52" s="10"/>
    </row>
    <row r="53" spans="1:15" ht="18" customHeight="1" x14ac:dyDescent="0.25">
      <c r="A53" s="5" t="str">
        <f t="shared" si="1"/>
        <v/>
      </c>
      <c r="B53" s="6"/>
      <c r="C53" s="6"/>
      <c r="D53" s="6"/>
      <c r="E53" s="6"/>
      <c r="F53" s="6"/>
      <c r="G53" s="7">
        <v>1500</v>
      </c>
      <c r="H53" s="7" t="s">
        <v>28</v>
      </c>
      <c r="I53" s="6"/>
      <c r="J53" s="8"/>
      <c r="K53" s="9"/>
      <c r="L53" s="6"/>
      <c r="M53" s="8"/>
      <c r="N53" s="9"/>
      <c r="O53" s="6"/>
    </row>
    <row r="54" spans="1:15" ht="18" customHeight="1" x14ac:dyDescent="0.25">
      <c r="A54" s="5" t="str">
        <f t="shared" si="1"/>
        <v/>
      </c>
      <c r="B54" s="10"/>
      <c r="C54" s="10"/>
      <c r="D54" s="10"/>
      <c r="E54" s="10"/>
      <c r="F54" s="10"/>
      <c r="G54" s="7">
        <v>1500</v>
      </c>
      <c r="H54" s="7" t="s">
        <v>28</v>
      </c>
      <c r="I54" s="10"/>
      <c r="J54" s="8"/>
      <c r="K54" s="11"/>
      <c r="L54" s="10"/>
      <c r="M54" s="8"/>
      <c r="N54" s="11"/>
      <c r="O54" s="10"/>
    </row>
    <row r="55" spans="1:15" ht="15.75" customHeight="1" x14ac:dyDescent="0.25">
      <c r="A55" s="23" t="s">
        <v>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</sheetData>
  <mergeCells count="3">
    <mergeCell ref="A1:O1"/>
    <mergeCell ref="A2:O2"/>
    <mergeCell ref="A55:O55"/>
  </mergeCells>
  <dataValidations count="1">
    <dataValidation type="list" sqref="K5:K54 N5:N54" xr:uid="{00000000-0002-0000-0F00-000000000000}">
      <formula1>"NEXT,AND,OR"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3864"/>
  </sheetPr>
  <dimension ref="A1:AM757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M1"/>
    </sheetView>
  </sheetViews>
  <sheetFormatPr defaultColWidth="8.5703125" defaultRowHeight="15" x14ac:dyDescent="0.25"/>
  <cols>
    <col min="1" max="1" width="10" customWidth="1"/>
    <col min="2" max="3" width="40" customWidth="1"/>
    <col min="4" max="4" width="12" customWidth="1"/>
    <col min="5" max="5" width="10" customWidth="1"/>
    <col min="6" max="6" width="28" customWidth="1"/>
    <col min="7" max="7" width="14" customWidth="1"/>
    <col min="8" max="9" width="28" customWidth="1"/>
    <col min="10" max="10" width="14" customWidth="1"/>
    <col min="11" max="12" width="28" customWidth="1"/>
    <col min="13" max="13" width="14" customWidth="1"/>
    <col min="14" max="15" width="28" customWidth="1"/>
    <col min="16" max="16" width="14" customWidth="1"/>
    <col min="17" max="18" width="28" customWidth="1"/>
    <col min="19" max="19" width="14" customWidth="1"/>
    <col min="20" max="20" width="28" customWidth="1"/>
    <col min="21" max="21" width="35" customWidth="1"/>
    <col min="22" max="22" width="10" customWidth="1"/>
    <col min="23" max="23" width="35" customWidth="1"/>
    <col min="24" max="24" width="10" customWidth="1"/>
    <col min="25" max="25" width="35" customWidth="1"/>
    <col min="26" max="26" width="10" customWidth="1"/>
    <col min="27" max="27" width="35" customWidth="1"/>
    <col min="28" max="28" width="10" customWidth="1"/>
    <col min="29" max="29" width="35" customWidth="1"/>
    <col min="30" max="30" width="10" customWidth="1"/>
    <col min="31" max="31" width="35" customWidth="1"/>
    <col min="32" max="32" width="10" customWidth="1"/>
    <col min="33" max="33" width="35" customWidth="1"/>
    <col min="34" max="34" width="10" customWidth="1"/>
    <col min="35" max="35" width="35" customWidth="1"/>
    <col min="36" max="36" width="10" customWidth="1"/>
    <col min="37" max="37" width="35" customWidth="1"/>
    <col min="38" max="38" width="10" customWidth="1"/>
    <col min="39" max="39" width="35" customWidth="1"/>
  </cols>
  <sheetData>
    <row r="1" spans="1:39" ht="39.75" customHeight="1" x14ac:dyDescent="0.25">
      <c r="A1" s="30" t="s">
        <v>136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</row>
    <row r="2" spans="1:39" ht="48" customHeight="1" x14ac:dyDescent="0.25">
      <c r="A2" s="31" t="s">
        <v>137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</row>
    <row r="3" spans="1:39" ht="15.75" customHeight="1" x14ac:dyDescent="0.25">
      <c r="A3" s="12" t="s">
        <v>138</v>
      </c>
      <c r="B3" s="13" t="s">
        <v>139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39" ht="15.75" customHeight="1" x14ac:dyDescent="0.25">
      <c r="A4" s="12" t="s">
        <v>140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27.75" customHeight="1" x14ac:dyDescent="0.25">
      <c r="A5" s="15" t="s">
        <v>141</v>
      </c>
      <c r="B5" s="15" t="s">
        <v>142</v>
      </c>
      <c r="C5" s="15" t="s">
        <v>143</v>
      </c>
      <c r="D5" s="15" t="s">
        <v>144</v>
      </c>
      <c r="E5" s="15" t="s">
        <v>145</v>
      </c>
      <c r="F5" s="15" t="s">
        <v>146</v>
      </c>
      <c r="G5" s="15" t="s">
        <v>147</v>
      </c>
      <c r="H5" s="15" t="s">
        <v>148</v>
      </c>
      <c r="I5" s="15" t="s">
        <v>149</v>
      </c>
      <c r="J5" s="15" t="s">
        <v>150</v>
      </c>
      <c r="K5" s="15" t="s">
        <v>151</v>
      </c>
      <c r="L5" s="15" t="s">
        <v>152</v>
      </c>
      <c r="M5" s="15" t="s">
        <v>153</v>
      </c>
      <c r="N5" s="15" t="s">
        <v>154</v>
      </c>
      <c r="O5" s="15" t="s">
        <v>155</v>
      </c>
      <c r="P5" s="15" t="s">
        <v>156</v>
      </c>
      <c r="Q5" s="15" t="s">
        <v>157</v>
      </c>
      <c r="R5" s="15" t="s">
        <v>158</v>
      </c>
      <c r="S5" s="15" t="s">
        <v>159</v>
      </c>
      <c r="T5" s="15" t="s">
        <v>160</v>
      </c>
      <c r="U5" s="15" t="s">
        <v>161</v>
      </c>
      <c r="V5" s="15" t="s">
        <v>162</v>
      </c>
      <c r="W5" s="15" t="s">
        <v>163</v>
      </c>
      <c r="X5" s="15" t="s">
        <v>164</v>
      </c>
      <c r="Y5" s="15" t="s">
        <v>165</v>
      </c>
      <c r="Z5" s="15" t="s">
        <v>166</v>
      </c>
      <c r="AA5" s="15" t="s">
        <v>167</v>
      </c>
      <c r="AB5" s="15" t="s">
        <v>168</v>
      </c>
      <c r="AC5" s="15" t="s">
        <v>169</v>
      </c>
      <c r="AD5" s="15" t="s">
        <v>170</v>
      </c>
      <c r="AE5" s="15" t="s">
        <v>171</v>
      </c>
      <c r="AF5" s="15" t="s">
        <v>172</v>
      </c>
      <c r="AG5" s="15" t="s">
        <v>173</v>
      </c>
      <c r="AH5" s="15" t="s">
        <v>174</v>
      </c>
      <c r="AI5" s="15" t="s">
        <v>175</v>
      </c>
      <c r="AJ5" s="15" t="s">
        <v>176</v>
      </c>
      <c r="AK5" s="15" t="s">
        <v>177</v>
      </c>
      <c r="AL5" s="15" t="s">
        <v>178</v>
      </c>
      <c r="AM5" s="15" t="s">
        <v>179</v>
      </c>
    </row>
    <row r="6" spans="1:39" ht="15.75" customHeight="1" x14ac:dyDescent="0.25">
      <c r="A6" s="16" t="s">
        <v>180</v>
      </c>
      <c r="B6" s="16" t="s">
        <v>181</v>
      </c>
      <c r="C6" s="16" t="s">
        <v>181</v>
      </c>
      <c r="D6" s="16" t="s">
        <v>182</v>
      </c>
      <c r="E6" s="16" t="s">
        <v>183</v>
      </c>
      <c r="F6" s="16" t="s">
        <v>184</v>
      </c>
      <c r="G6" s="16" t="s">
        <v>185</v>
      </c>
      <c r="H6" s="16" t="s">
        <v>184</v>
      </c>
      <c r="I6" s="16" t="s">
        <v>184</v>
      </c>
      <c r="J6" s="16" t="s">
        <v>185</v>
      </c>
      <c r="K6" s="16" t="s">
        <v>184</v>
      </c>
      <c r="L6" s="16" t="s">
        <v>184</v>
      </c>
      <c r="M6" s="16" t="s">
        <v>185</v>
      </c>
      <c r="N6" s="16" t="s">
        <v>184</v>
      </c>
      <c r="O6" s="16" t="s">
        <v>184</v>
      </c>
      <c r="P6" s="16" t="s">
        <v>185</v>
      </c>
      <c r="Q6" s="16" t="s">
        <v>184</v>
      </c>
      <c r="R6" s="16" t="s">
        <v>184</v>
      </c>
      <c r="S6" s="16" t="s">
        <v>185</v>
      </c>
      <c r="T6" s="16" t="s">
        <v>184</v>
      </c>
      <c r="U6" s="16" t="s">
        <v>184</v>
      </c>
      <c r="V6" s="16" t="s">
        <v>186</v>
      </c>
      <c r="W6" s="16" t="s">
        <v>184</v>
      </c>
      <c r="X6" s="16" t="s">
        <v>186</v>
      </c>
      <c r="Y6" s="16" t="s">
        <v>184</v>
      </c>
      <c r="Z6" s="16" t="s">
        <v>186</v>
      </c>
      <c r="AA6" s="16" t="s">
        <v>184</v>
      </c>
      <c r="AB6" s="16" t="s">
        <v>186</v>
      </c>
      <c r="AC6" s="16" t="s">
        <v>184</v>
      </c>
      <c r="AD6" s="16" t="s">
        <v>186</v>
      </c>
      <c r="AE6" s="16" t="s">
        <v>184</v>
      </c>
      <c r="AF6" s="16" t="s">
        <v>186</v>
      </c>
      <c r="AG6" s="16" t="s">
        <v>184</v>
      </c>
      <c r="AH6" s="16" t="s">
        <v>186</v>
      </c>
      <c r="AI6" s="16" t="s">
        <v>184</v>
      </c>
      <c r="AJ6" s="16" t="s">
        <v>186</v>
      </c>
      <c r="AK6" s="16" t="s">
        <v>184</v>
      </c>
      <c r="AL6" s="16" t="s">
        <v>186</v>
      </c>
      <c r="AM6" s="16" t="s">
        <v>184</v>
      </c>
    </row>
    <row r="7" spans="1:39" ht="13.5" customHeight="1" x14ac:dyDescent="0.25">
      <c r="A7" s="32" t="s">
        <v>187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</row>
    <row r="8" spans="1:39" ht="15.75" customHeight="1" x14ac:dyDescent="0.25">
      <c r="A8" s="17" t="str">
        <f>IF('Step 1 - Budget Manager'!B5="","","Active")</f>
        <v/>
      </c>
      <c r="B8" s="18" t="str">
        <f>IF('Step 1 - Budget Manager'!B5="","",'Step 1 - Budget Manager'!B5)</f>
        <v/>
      </c>
      <c r="C8" s="18" t="str">
        <f>IF('Step 1 - Budget Manager'!B5="","",'Step 1 - Budget Manager'!B5)</f>
        <v/>
      </c>
      <c r="D8" s="17" t="str">
        <f>IF('Step 1 - Budget Manager'!B5="","",'Step 1 - Budget Manager'!F5)</f>
        <v/>
      </c>
      <c r="E8" s="17" t="str">
        <f>IF('Step 1 - Budget Manager'!B5="","",'Step 1 - Budget Manager'!G5)</f>
        <v/>
      </c>
      <c r="F8" s="18" t="str">
        <f>IF('Step 1 - Budget Manager'!B5="","",IF('Step 1 - Budget Manager'!C5="","","Fund Code"))</f>
        <v/>
      </c>
      <c r="G8" s="17" t="str">
        <f>IF('Step 1 - Budget Manager'!B5="","",IF('Step 1 - Budget Manager'!C5="","","Equals"))</f>
        <v/>
      </c>
      <c r="H8" s="18" t="str">
        <f>IF('Step 1 - Budget Manager'!B5="","",IF('Step 1 - Budget Manager'!C5="","",'Step 1 - Budget Manager'!C5))</f>
        <v/>
      </c>
      <c r="I8" s="18" t="str">
        <f>IF('Step 1 - Budget Manager'!B5="","","Organization Code")</f>
        <v/>
      </c>
      <c r="J8" s="17" t="str">
        <f>IF('Step 1 - Budget Manager'!B5="","","Equals")</f>
        <v/>
      </c>
      <c r="K8" s="18" t="str">
        <f>IF('Step 1 - Budget Manager'!B5="","",'Step 1 - Budget Manager'!D5)</f>
        <v/>
      </c>
      <c r="L8" s="18" t="str">
        <f>IF('Step 1 - Budget Manager'!B5="","","Other Criteria")</f>
        <v/>
      </c>
      <c r="M8" s="17" t="str">
        <f>IF('Step 1 - Budget Manager'!B5="","","Equals")</f>
        <v/>
      </c>
      <c r="N8" s="18" t="str">
        <f>IF('Step 1 - Budget Manager'!B5="","",'Step 1 - Budget Manager'!E5)</f>
        <v/>
      </c>
      <c r="O8" s="18" t="str">
        <f>""</f>
        <v/>
      </c>
      <c r="P8" s="18" t="str">
        <f>""</f>
        <v/>
      </c>
      <c r="Q8" s="18" t="str">
        <f>""</f>
        <v/>
      </c>
      <c r="R8" s="18" t="str">
        <f>""</f>
        <v/>
      </c>
      <c r="S8" s="18" t="str">
        <f>""</f>
        <v/>
      </c>
      <c r="T8" s="18" t="str">
        <f>""</f>
        <v/>
      </c>
      <c r="U8" s="18" t="str">
        <f>IF('Step 1 - Budget Manager'!B5="","",'Step 1 - Budget Manager'!H5)</f>
        <v/>
      </c>
      <c r="V8" s="17" t="str">
        <f>IF('Step 1 - Budget Manager'!B5="","",'Step 1 - Budget Manager'!J5)</f>
        <v/>
      </c>
      <c r="W8" s="18" t="str">
        <f>IF('Step 1 - Budget Manager'!B5="","",'Step 1 - Budget Manager'!K5)</f>
        <v/>
      </c>
      <c r="X8" s="17" t="str">
        <f>IF('Step 1 - Budget Manager'!B5="","",'Step 1 - Budget Manager'!M5)</f>
        <v/>
      </c>
      <c r="Y8" s="18" t="str">
        <f>IF('Step 1 - Budget Manager'!B5="","",'Step 1 - Budget Manager'!N5)</f>
        <v/>
      </c>
      <c r="Z8" s="18" t="str">
        <f>""</f>
        <v/>
      </c>
      <c r="AA8" s="18" t="str">
        <f>""</f>
        <v/>
      </c>
      <c r="AB8" s="18" t="str">
        <f>""</f>
        <v/>
      </c>
      <c r="AC8" s="18" t="str">
        <f>""</f>
        <v/>
      </c>
      <c r="AD8" s="18" t="str">
        <f>""</f>
        <v/>
      </c>
      <c r="AE8" s="18" t="str">
        <f>""</f>
        <v/>
      </c>
      <c r="AF8" s="18" t="str">
        <f>""</f>
        <v/>
      </c>
      <c r="AG8" s="18" t="str">
        <f>""</f>
        <v/>
      </c>
      <c r="AH8" s="18" t="str">
        <f>""</f>
        <v/>
      </c>
      <c r="AI8" s="18" t="str">
        <f>""</f>
        <v/>
      </c>
      <c r="AJ8" s="18" t="str">
        <f>""</f>
        <v/>
      </c>
      <c r="AK8" s="18" t="str">
        <f>""</f>
        <v/>
      </c>
      <c r="AL8" s="18" t="str">
        <f>""</f>
        <v/>
      </c>
      <c r="AM8" s="18" t="str">
        <f>""</f>
        <v/>
      </c>
    </row>
    <row r="9" spans="1:39" ht="15.75" customHeight="1" x14ac:dyDescent="0.25">
      <c r="A9" s="19" t="str">
        <f>IF('Step 1 - Budget Manager'!B6="","","Active")</f>
        <v/>
      </c>
      <c r="B9" s="20" t="str">
        <f>IF('Step 1 - Budget Manager'!B6="","",'Step 1 - Budget Manager'!B6)</f>
        <v/>
      </c>
      <c r="C9" s="20" t="str">
        <f>IF('Step 1 - Budget Manager'!B6="","",'Step 1 - Budget Manager'!B6)</f>
        <v/>
      </c>
      <c r="D9" s="19" t="str">
        <f>IF('Step 1 - Budget Manager'!B6="","",'Step 1 - Budget Manager'!F6)</f>
        <v/>
      </c>
      <c r="E9" s="19" t="str">
        <f>IF('Step 1 - Budget Manager'!B6="","",'Step 1 - Budget Manager'!G6)</f>
        <v/>
      </c>
      <c r="F9" s="20" t="str">
        <f>IF('Step 1 - Budget Manager'!B6="","",IF('Step 1 - Budget Manager'!C6="","","Fund Code"))</f>
        <v/>
      </c>
      <c r="G9" s="19" t="str">
        <f>IF('Step 1 - Budget Manager'!B6="","",IF('Step 1 - Budget Manager'!C6="","","Equals"))</f>
        <v/>
      </c>
      <c r="H9" s="20" t="str">
        <f>IF('Step 1 - Budget Manager'!B6="","",IF('Step 1 - Budget Manager'!C6="","",'Step 1 - Budget Manager'!C6))</f>
        <v/>
      </c>
      <c r="I9" s="20" t="str">
        <f>IF('Step 1 - Budget Manager'!B6="","","Organization Code")</f>
        <v/>
      </c>
      <c r="J9" s="19" t="str">
        <f>IF('Step 1 - Budget Manager'!B6="","","Equals")</f>
        <v/>
      </c>
      <c r="K9" s="20" t="str">
        <f>IF('Step 1 - Budget Manager'!B6="","",'Step 1 - Budget Manager'!D6)</f>
        <v/>
      </c>
      <c r="L9" s="20" t="str">
        <f>IF('Step 1 - Budget Manager'!B6="","","Other Criteria")</f>
        <v/>
      </c>
      <c r="M9" s="19" t="str">
        <f>IF('Step 1 - Budget Manager'!B6="","","Equals")</f>
        <v/>
      </c>
      <c r="N9" s="20" t="str">
        <f>IF('Step 1 - Budget Manager'!B6="","",'Step 1 - Budget Manager'!E6)</f>
        <v/>
      </c>
      <c r="O9" s="20" t="str">
        <f>""</f>
        <v/>
      </c>
      <c r="P9" s="20" t="str">
        <f>""</f>
        <v/>
      </c>
      <c r="Q9" s="20" t="str">
        <f>""</f>
        <v/>
      </c>
      <c r="R9" s="20" t="str">
        <f>""</f>
        <v/>
      </c>
      <c r="S9" s="20" t="str">
        <f>""</f>
        <v/>
      </c>
      <c r="T9" s="20" t="str">
        <f>""</f>
        <v/>
      </c>
      <c r="U9" s="20" t="str">
        <f>IF('Step 1 - Budget Manager'!B6="","",'Step 1 - Budget Manager'!H6)</f>
        <v/>
      </c>
      <c r="V9" s="19" t="str">
        <f>IF('Step 1 - Budget Manager'!B6="","",'Step 1 - Budget Manager'!J6)</f>
        <v/>
      </c>
      <c r="W9" s="20" t="str">
        <f>IF('Step 1 - Budget Manager'!B6="","",'Step 1 - Budget Manager'!K6)</f>
        <v/>
      </c>
      <c r="X9" s="19" t="str">
        <f>IF('Step 1 - Budget Manager'!B6="","",'Step 1 - Budget Manager'!M6)</f>
        <v/>
      </c>
      <c r="Y9" s="20" t="str">
        <f>IF('Step 1 - Budget Manager'!B6="","",'Step 1 - Budget Manager'!N6)</f>
        <v/>
      </c>
      <c r="Z9" s="20" t="str">
        <f>""</f>
        <v/>
      </c>
      <c r="AA9" s="20" t="str">
        <f>""</f>
        <v/>
      </c>
      <c r="AB9" s="20" t="str">
        <f>""</f>
        <v/>
      </c>
      <c r="AC9" s="20" t="str">
        <f>""</f>
        <v/>
      </c>
      <c r="AD9" s="20" t="str">
        <f>""</f>
        <v/>
      </c>
      <c r="AE9" s="20" t="str">
        <f>""</f>
        <v/>
      </c>
      <c r="AF9" s="20" t="str">
        <f>""</f>
        <v/>
      </c>
      <c r="AG9" s="20" t="str">
        <f>""</f>
        <v/>
      </c>
      <c r="AH9" s="20" t="str">
        <f>""</f>
        <v/>
      </c>
      <c r="AI9" s="20" t="str">
        <f>""</f>
        <v/>
      </c>
      <c r="AJ9" s="20" t="str">
        <f>""</f>
        <v/>
      </c>
      <c r="AK9" s="20" t="str">
        <f>""</f>
        <v/>
      </c>
      <c r="AL9" s="20" t="str">
        <f>""</f>
        <v/>
      </c>
      <c r="AM9" s="20" t="str">
        <f>""</f>
        <v/>
      </c>
    </row>
    <row r="10" spans="1:39" ht="15.75" customHeight="1" x14ac:dyDescent="0.25">
      <c r="A10" s="17" t="str">
        <f>IF('Step 1 - Budget Manager'!B7="","","Active")</f>
        <v/>
      </c>
      <c r="B10" s="18" t="str">
        <f>IF('Step 1 - Budget Manager'!B7="","",'Step 1 - Budget Manager'!B7)</f>
        <v/>
      </c>
      <c r="C10" s="18" t="str">
        <f>IF('Step 1 - Budget Manager'!B7="","",'Step 1 - Budget Manager'!B7)</f>
        <v/>
      </c>
      <c r="D10" s="17" t="str">
        <f>IF('Step 1 - Budget Manager'!B7="","",'Step 1 - Budget Manager'!F7)</f>
        <v/>
      </c>
      <c r="E10" s="17" t="str">
        <f>IF('Step 1 - Budget Manager'!B7="","",'Step 1 - Budget Manager'!G7)</f>
        <v/>
      </c>
      <c r="F10" s="18" t="str">
        <f>IF('Step 1 - Budget Manager'!B7="","",IF('Step 1 - Budget Manager'!C7="","","Fund Code"))</f>
        <v/>
      </c>
      <c r="G10" s="17" t="str">
        <f>IF('Step 1 - Budget Manager'!B7="","",IF('Step 1 - Budget Manager'!C7="","","Equals"))</f>
        <v/>
      </c>
      <c r="H10" s="18" t="str">
        <f>IF('Step 1 - Budget Manager'!B7="","",IF('Step 1 - Budget Manager'!C7="","",'Step 1 - Budget Manager'!C7))</f>
        <v/>
      </c>
      <c r="I10" s="18" t="str">
        <f>IF('Step 1 - Budget Manager'!B7="","","Organization Code")</f>
        <v/>
      </c>
      <c r="J10" s="17" t="str">
        <f>IF('Step 1 - Budget Manager'!B7="","","Equals")</f>
        <v/>
      </c>
      <c r="K10" s="18" t="str">
        <f>IF('Step 1 - Budget Manager'!B7="","",'Step 1 - Budget Manager'!D7)</f>
        <v/>
      </c>
      <c r="L10" s="18" t="str">
        <f>IF('Step 1 - Budget Manager'!B7="","","Other Criteria")</f>
        <v/>
      </c>
      <c r="M10" s="17" t="str">
        <f>IF('Step 1 - Budget Manager'!B7="","","Equals")</f>
        <v/>
      </c>
      <c r="N10" s="18" t="str">
        <f>IF('Step 1 - Budget Manager'!B7="","",'Step 1 - Budget Manager'!E7)</f>
        <v/>
      </c>
      <c r="O10" s="18" t="str">
        <f>""</f>
        <v/>
      </c>
      <c r="P10" s="18" t="str">
        <f>""</f>
        <v/>
      </c>
      <c r="Q10" s="18" t="str">
        <f>""</f>
        <v/>
      </c>
      <c r="R10" s="18" t="str">
        <f>""</f>
        <v/>
      </c>
      <c r="S10" s="18" t="str">
        <f>""</f>
        <v/>
      </c>
      <c r="T10" s="18" t="str">
        <f>""</f>
        <v/>
      </c>
      <c r="U10" s="18" t="str">
        <f>IF('Step 1 - Budget Manager'!B7="","",'Step 1 - Budget Manager'!H7)</f>
        <v/>
      </c>
      <c r="V10" s="17" t="str">
        <f>IF('Step 1 - Budget Manager'!B7="","",'Step 1 - Budget Manager'!J7)</f>
        <v/>
      </c>
      <c r="W10" s="18" t="str">
        <f>IF('Step 1 - Budget Manager'!B7="","",'Step 1 - Budget Manager'!K7)</f>
        <v/>
      </c>
      <c r="X10" s="17" t="str">
        <f>IF('Step 1 - Budget Manager'!B7="","",'Step 1 - Budget Manager'!M7)</f>
        <v/>
      </c>
      <c r="Y10" s="18" t="str">
        <f>IF('Step 1 - Budget Manager'!B7="","",'Step 1 - Budget Manager'!N7)</f>
        <v/>
      </c>
      <c r="Z10" s="18" t="str">
        <f>""</f>
        <v/>
      </c>
      <c r="AA10" s="18" t="str">
        <f>""</f>
        <v/>
      </c>
      <c r="AB10" s="18" t="str">
        <f>""</f>
        <v/>
      </c>
      <c r="AC10" s="18" t="str">
        <f>""</f>
        <v/>
      </c>
      <c r="AD10" s="18" t="str">
        <f>""</f>
        <v/>
      </c>
      <c r="AE10" s="18" t="str">
        <f>""</f>
        <v/>
      </c>
      <c r="AF10" s="18" t="str">
        <f>""</f>
        <v/>
      </c>
      <c r="AG10" s="18" t="str">
        <f>""</f>
        <v/>
      </c>
      <c r="AH10" s="18" t="str">
        <f>""</f>
        <v/>
      </c>
      <c r="AI10" s="18" t="str">
        <f>""</f>
        <v/>
      </c>
      <c r="AJ10" s="18" t="str">
        <f>""</f>
        <v/>
      </c>
      <c r="AK10" s="18" t="str">
        <f>""</f>
        <v/>
      </c>
      <c r="AL10" s="18" t="str">
        <f>""</f>
        <v/>
      </c>
      <c r="AM10" s="18" t="str">
        <f>""</f>
        <v/>
      </c>
    </row>
    <row r="11" spans="1:39" ht="15.75" customHeight="1" x14ac:dyDescent="0.25">
      <c r="A11" s="19" t="str">
        <f>IF('Step 1 - Budget Manager'!B8="","","Active")</f>
        <v/>
      </c>
      <c r="B11" s="20" t="str">
        <f>IF('Step 1 - Budget Manager'!B8="","",'Step 1 - Budget Manager'!B8)</f>
        <v/>
      </c>
      <c r="C11" s="20" t="str">
        <f>IF('Step 1 - Budget Manager'!B8="","",'Step 1 - Budget Manager'!B8)</f>
        <v/>
      </c>
      <c r="D11" s="19" t="str">
        <f>IF('Step 1 - Budget Manager'!B8="","",'Step 1 - Budget Manager'!F8)</f>
        <v/>
      </c>
      <c r="E11" s="19" t="str">
        <f>IF('Step 1 - Budget Manager'!B8="","",'Step 1 - Budget Manager'!G8)</f>
        <v/>
      </c>
      <c r="F11" s="20" t="str">
        <f>IF('Step 1 - Budget Manager'!B8="","",IF('Step 1 - Budget Manager'!C8="","","Fund Code"))</f>
        <v/>
      </c>
      <c r="G11" s="19" t="str">
        <f>IF('Step 1 - Budget Manager'!B8="","",IF('Step 1 - Budget Manager'!C8="","","Equals"))</f>
        <v/>
      </c>
      <c r="H11" s="20" t="str">
        <f>IF('Step 1 - Budget Manager'!B8="","",IF('Step 1 - Budget Manager'!C8="","",'Step 1 - Budget Manager'!C8))</f>
        <v/>
      </c>
      <c r="I11" s="20" t="str">
        <f>IF('Step 1 - Budget Manager'!B8="","","Organization Code")</f>
        <v/>
      </c>
      <c r="J11" s="19" t="str">
        <f>IF('Step 1 - Budget Manager'!B8="","","Equals")</f>
        <v/>
      </c>
      <c r="K11" s="20" t="str">
        <f>IF('Step 1 - Budget Manager'!B8="","",'Step 1 - Budget Manager'!D8)</f>
        <v/>
      </c>
      <c r="L11" s="20" t="str">
        <f>IF('Step 1 - Budget Manager'!B8="","","Other Criteria")</f>
        <v/>
      </c>
      <c r="M11" s="19" t="str">
        <f>IF('Step 1 - Budget Manager'!B8="","","Equals")</f>
        <v/>
      </c>
      <c r="N11" s="20" t="str">
        <f>IF('Step 1 - Budget Manager'!B8="","",'Step 1 - Budget Manager'!E8)</f>
        <v/>
      </c>
      <c r="O11" s="20" t="str">
        <f>""</f>
        <v/>
      </c>
      <c r="P11" s="20" t="str">
        <f>""</f>
        <v/>
      </c>
      <c r="Q11" s="20" t="str">
        <f>""</f>
        <v/>
      </c>
      <c r="R11" s="20" t="str">
        <f>""</f>
        <v/>
      </c>
      <c r="S11" s="20" t="str">
        <f>""</f>
        <v/>
      </c>
      <c r="T11" s="20" t="str">
        <f>""</f>
        <v/>
      </c>
      <c r="U11" s="20" t="str">
        <f>IF('Step 1 - Budget Manager'!B8="","",'Step 1 - Budget Manager'!H8)</f>
        <v/>
      </c>
      <c r="V11" s="19" t="str">
        <f>IF('Step 1 - Budget Manager'!B8="","",'Step 1 - Budget Manager'!J8)</f>
        <v/>
      </c>
      <c r="W11" s="20" t="str">
        <f>IF('Step 1 - Budget Manager'!B8="","",'Step 1 - Budget Manager'!K8)</f>
        <v/>
      </c>
      <c r="X11" s="19" t="str">
        <f>IF('Step 1 - Budget Manager'!B8="","",'Step 1 - Budget Manager'!M8)</f>
        <v/>
      </c>
      <c r="Y11" s="20" t="str">
        <f>IF('Step 1 - Budget Manager'!B8="","",'Step 1 - Budget Manager'!N8)</f>
        <v/>
      </c>
      <c r="Z11" s="20" t="str">
        <f>""</f>
        <v/>
      </c>
      <c r="AA11" s="20" t="str">
        <f>""</f>
        <v/>
      </c>
      <c r="AB11" s="20" t="str">
        <f>""</f>
        <v/>
      </c>
      <c r="AC11" s="20" t="str">
        <f>""</f>
        <v/>
      </c>
      <c r="AD11" s="20" t="str">
        <f>""</f>
        <v/>
      </c>
      <c r="AE11" s="20" t="str">
        <f>""</f>
        <v/>
      </c>
      <c r="AF11" s="20" t="str">
        <f>""</f>
        <v/>
      </c>
      <c r="AG11" s="20" t="str">
        <f>""</f>
        <v/>
      </c>
      <c r="AH11" s="20" t="str">
        <f>""</f>
        <v/>
      </c>
      <c r="AI11" s="20" t="str">
        <f>""</f>
        <v/>
      </c>
      <c r="AJ11" s="20" t="str">
        <f>""</f>
        <v/>
      </c>
      <c r="AK11" s="20" t="str">
        <f>""</f>
        <v/>
      </c>
      <c r="AL11" s="20" t="str">
        <f>""</f>
        <v/>
      </c>
      <c r="AM11" s="20" t="str">
        <f>""</f>
        <v/>
      </c>
    </row>
    <row r="12" spans="1:39" ht="15.75" customHeight="1" x14ac:dyDescent="0.25">
      <c r="A12" s="17" t="str">
        <f>IF('Step 1 - Budget Manager'!B9="","","Active")</f>
        <v/>
      </c>
      <c r="B12" s="18" t="str">
        <f>IF('Step 1 - Budget Manager'!B9="","",'Step 1 - Budget Manager'!B9)</f>
        <v/>
      </c>
      <c r="C12" s="18" t="str">
        <f>IF('Step 1 - Budget Manager'!B9="","",'Step 1 - Budget Manager'!B9)</f>
        <v/>
      </c>
      <c r="D12" s="17" t="str">
        <f>IF('Step 1 - Budget Manager'!B9="","",'Step 1 - Budget Manager'!F9)</f>
        <v/>
      </c>
      <c r="E12" s="17" t="str">
        <f>IF('Step 1 - Budget Manager'!B9="","",'Step 1 - Budget Manager'!G9)</f>
        <v/>
      </c>
      <c r="F12" s="18" t="str">
        <f>IF('Step 1 - Budget Manager'!B9="","",IF('Step 1 - Budget Manager'!C9="","","Fund Code"))</f>
        <v/>
      </c>
      <c r="G12" s="17" t="str">
        <f>IF('Step 1 - Budget Manager'!B9="","",IF('Step 1 - Budget Manager'!C9="","","Equals"))</f>
        <v/>
      </c>
      <c r="H12" s="18" t="str">
        <f>IF('Step 1 - Budget Manager'!B9="","",IF('Step 1 - Budget Manager'!C9="","",'Step 1 - Budget Manager'!C9))</f>
        <v/>
      </c>
      <c r="I12" s="18" t="str">
        <f>IF('Step 1 - Budget Manager'!B9="","","Organization Code")</f>
        <v/>
      </c>
      <c r="J12" s="17" t="str">
        <f>IF('Step 1 - Budget Manager'!B9="","","Equals")</f>
        <v/>
      </c>
      <c r="K12" s="18" t="str">
        <f>IF('Step 1 - Budget Manager'!B9="","",'Step 1 - Budget Manager'!D9)</f>
        <v/>
      </c>
      <c r="L12" s="18" t="str">
        <f>IF('Step 1 - Budget Manager'!B9="","","Other Criteria")</f>
        <v/>
      </c>
      <c r="M12" s="17" t="str">
        <f>IF('Step 1 - Budget Manager'!B9="","","Equals")</f>
        <v/>
      </c>
      <c r="N12" s="18" t="str">
        <f>IF('Step 1 - Budget Manager'!B9="","",'Step 1 - Budget Manager'!E9)</f>
        <v/>
      </c>
      <c r="O12" s="18" t="str">
        <f>""</f>
        <v/>
      </c>
      <c r="P12" s="18" t="str">
        <f>""</f>
        <v/>
      </c>
      <c r="Q12" s="18" t="str">
        <f>""</f>
        <v/>
      </c>
      <c r="R12" s="18" t="str">
        <f>""</f>
        <v/>
      </c>
      <c r="S12" s="18" t="str">
        <f>""</f>
        <v/>
      </c>
      <c r="T12" s="18" t="str">
        <f>""</f>
        <v/>
      </c>
      <c r="U12" s="18" t="str">
        <f>IF('Step 1 - Budget Manager'!B9="","",'Step 1 - Budget Manager'!H9)</f>
        <v/>
      </c>
      <c r="V12" s="17" t="str">
        <f>IF('Step 1 - Budget Manager'!B9="","",'Step 1 - Budget Manager'!J9)</f>
        <v/>
      </c>
      <c r="W12" s="18" t="str">
        <f>IF('Step 1 - Budget Manager'!B9="","",'Step 1 - Budget Manager'!K9)</f>
        <v/>
      </c>
      <c r="X12" s="17" t="str">
        <f>IF('Step 1 - Budget Manager'!B9="","",'Step 1 - Budget Manager'!M9)</f>
        <v/>
      </c>
      <c r="Y12" s="18" t="str">
        <f>IF('Step 1 - Budget Manager'!B9="","",'Step 1 - Budget Manager'!N9)</f>
        <v/>
      </c>
      <c r="Z12" s="18" t="str">
        <f>""</f>
        <v/>
      </c>
      <c r="AA12" s="18" t="str">
        <f>""</f>
        <v/>
      </c>
      <c r="AB12" s="18" t="str">
        <f>""</f>
        <v/>
      </c>
      <c r="AC12" s="18" t="str">
        <f>""</f>
        <v/>
      </c>
      <c r="AD12" s="18" t="str">
        <f>""</f>
        <v/>
      </c>
      <c r="AE12" s="18" t="str">
        <f>""</f>
        <v/>
      </c>
      <c r="AF12" s="18" t="str">
        <f>""</f>
        <v/>
      </c>
      <c r="AG12" s="18" t="str">
        <f>""</f>
        <v/>
      </c>
      <c r="AH12" s="18" t="str">
        <f>""</f>
        <v/>
      </c>
      <c r="AI12" s="18" t="str">
        <f>""</f>
        <v/>
      </c>
      <c r="AJ12" s="18" t="str">
        <f>""</f>
        <v/>
      </c>
      <c r="AK12" s="18" t="str">
        <f>""</f>
        <v/>
      </c>
      <c r="AL12" s="18" t="str">
        <f>""</f>
        <v/>
      </c>
      <c r="AM12" s="18" t="str">
        <f>""</f>
        <v/>
      </c>
    </row>
    <row r="13" spans="1:39" ht="15.75" customHeight="1" x14ac:dyDescent="0.25">
      <c r="A13" s="19" t="str">
        <f>IF('Step 1 - Budget Manager'!B10="","","Active")</f>
        <v/>
      </c>
      <c r="B13" s="20" t="str">
        <f>IF('Step 1 - Budget Manager'!B10="","",'Step 1 - Budget Manager'!B10)</f>
        <v/>
      </c>
      <c r="C13" s="20" t="str">
        <f>IF('Step 1 - Budget Manager'!B10="","",'Step 1 - Budget Manager'!B10)</f>
        <v/>
      </c>
      <c r="D13" s="19" t="str">
        <f>IF('Step 1 - Budget Manager'!B10="","",'Step 1 - Budget Manager'!F10)</f>
        <v/>
      </c>
      <c r="E13" s="19" t="str">
        <f>IF('Step 1 - Budget Manager'!B10="","",'Step 1 - Budget Manager'!G10)</f>
        <v/>
      </c>
      <c r="F13" s="20" t="str">
        <f>IF('Step 1 - Budget Manager'!B10="","",IF('Step 1 - Budget Manager'!C10="","","Fund Code"))</f>
        <v/>
      </c>
      <c r="G13" s="19" t="str">
        <f>IF('Step 1 - Budget Manager'!B10="","",IF('Step 1 - Budget Manager'!C10="","","Equals"))</f>
        <v/>
      </c>
      <c r="H13" s="20" t="str">
        <f>IF('Step 1 - Budget Manager'!B10="","",IF('Step 1 - Budget Manager'!C10="","",'Step 1 - Budget Manager'!C10))</f>
        <v/>
      </c>
      <c r="I13" s="20" t="str">
        <f>IF('Step 1 - Budget Manager'!B10="","","Organization Code")</f>
        <v/>
      </c>
      <c r="J13" s="19" t="str">
        <f>IF('Step 1 - Budget Manager'!B10="","","Equals")</f>
        <v/>
      </c>
      <c r="K13" s="20" t="str">
        <f>IF('Step 1 - Budget Manager'!B10="","",'Step 1 - Budget Manager'!D10)</f>
        <v/>
      </c>
      <c r="L13" s="20" t="str">
        <f>IF('Step 1 - Budget Manager'!B10="","","Other Criteria")</f>
        <v/>
      </c>
      <c r="M13" s="19" t="str">
        <f>IF('Step 1 - Budget Manager'!B10="","","Equals")</f>
        <v/>
      </c>
      <c r="N13" s="20" t="str">
        <f>IF('Step 1 - Budget Manager'!B10="","",'Step 1 - Budget Manager'!E10)</f>
        <v/>
      </c>
      <c r="O13" s="20" t="str">
        <f>""</f>
        <v/>
      </c>
      <c r="P13" s="20" t="str">
        <f>""</f>
        <v/>
      </c>
      <c r="Q13" s="20" t="str">
        <f>""</f>
        <v/>
      </c>
      <c r="R13" s="20" t="str">
        <f>""</f>
        <v/>
      </c>
      <c r="S13" s="20" t="str">
        <f>""</f>
        <v/>
      </c>
      <c r="T13" s="20" t="str">
        <f>""</f>
        <v/>
      </c>
      <c r="U13" s="20" t="str">
        <f>IF('Step 1 - Budget Manager'!B10="","",'Step 1 - Budget Manager'!H10)</f>
        <v/>
      </c>
      <c r="V13" s="19" t="str">
        <f>IF('Step 1 - Budget Manager'!B10="","",'Step 1 - Budget Manager'!J10)</f>
        <v/>
      </c>
      <c r="W13" s="20" t="str">
        <f>IF('Step 1 - Budget Manager'!B10="","",'Step 1 - Budget Manager'!K10)</f>
        <v/>
      </c>
      <c r="X13" s="19" t="str">
        <f>IF('Step 1 - Budget Manager'!B10="","",'Step 1 - Budget Manager'!M10)</f>
        <v/>
      </c>
      <c r="Y13" s="20" t="str">
        <f>IF('Step 1 - Budget Manager'!B10="","",'Step 1 - Budget Manager'!N10)</f>
        <v/>
      </c>
      <c r="Z13" s="20" t="str">
        <f>""</f>
        <v/>
      </c>
      <c r="AA13" s="20" t="str">
        <f>""</f>
        <v/>
      </c>
      <c r="AB13" s="20" t="str">
        <f>""</f>
        <v/>
      </c>
      <c r="AC13" s="20" t="str">
        <f>""</f>
        <v/>
      </c>
      <c r="AD13" s="20" t="str">
        <f>""</f>
        <v/>
      </c>
      <c r="AE13" s="20" t="str">
        <f>""</f>
        <v/>
      </c>
      <c r="AF13" s="20" t="str">
        <f>""</f>
        <v/>
      </c>
      <c r="AG13" s="20" t="str">
        <f>""</f>
        <v/>
      </c>
      <c r="AH13" s="20" t="str">
        <f>""</f>
        <v/>
      </c>
      <c r="AI13" s="20" t="str">
        <f>""</f>
        <v/>
      </c>
      <c r="AJ13" s="20" t="str">
        <f>""</f>
        <v/>
      </c>
      <c r="AK13" s="20" t="str">
        <f>""</f>
        <v/>
      </c>
      <c r="AL13" s="20" t="str">
        <f>""</f>
        <v/>
      </c>
      <c r="AM13" s="20" t="str">
        <f>""</f>
        <v/>
      </c>
    </row>
    <row r="14" spans="1:39" ht="15.75" customHeight="1" x14ac:dyDescent="0.25">
      <c r="A14" s="17" t="str">
        <f>IF('Step 1 - Budget Manager'!B11="","","Active")</f>
        <v/>
      </c>
      <c r="B14" s="18" t="str">
        <f>IF('Step 1 - Budget Manager'!B11="","",'Step 1 - Budget Manager'!B11)</f>
        <v/>
      </c>
      <c r="C14" s="18" t="str">
        <f>IF('Step 1 - Budget Manager'!B11="","",'Step 1 - Budget Manager'!B11)</f>
        <v/>
      </c>
      <c r="D14" s="17" t="str">
        <f>IF('Step 1 - Budget Manager'!B11="","",'Step 1 - Budget Manager'!F11)</f>
        <v/>
      </c>
      <c r="E14" s="17" t="str">
        <f>IF('Step 1 - Budget Manager'!B11="","",'Step 1 - Budget Manager'!G11)</f>
        <v/>
      </c>
      <c r="F14" s="18" t="str">
        <f>IF('Step 1 - Budget Manager'!B11="","",IF('Step 1 - Budget Manager'!C11="","","Fund Code"))</f>
        <v/>
      </c>
      <c r="G14" s="17" t="str">
        <f>IF('Step 1 - Budget Manager'!B11="","",IF('Step 1 - Budget Manager'!C11="","","Equals"))</f>
        <v/>
      </c>
      <c r="H14" s="18" t="str">
        <f>IF('Step 1 - Budget Manager'!B11="","",IF('Step 1 - Budget Manager'!C11="","",'Step 1 - Budget Manager'!C11))</f>
        <v/>
      </c>
      <c r="I14" s="18" t="str">
        <f>IF('Step 1 - Budget Manager'!B11="","","Organization Code")</f>
        <v/>
      </c>
      <c r="J14" s="17" t="str">
        <f>IF('Step 1 - Budget Manager'!B11="","","Equals")</f>
        <v/>
      </c>
      <c r="K14" s="18" t="str">
        <f>IF('Step 1 - Budget Manager'!B11="","",'Step 1 - Budget Manager'!D11)</f>
        <v/>
      </c>
      <c r="L14" s="18" t="str">
        <f>IF('Step 1 - Budget Manager'!B11="","","Other Criteria")</f>
        <v/>
      </c>
      <c r="M14" s="17" t="str">
        <f>IF('Step 1 - Budget Manager'!B11="","","Equals")</f>
        <v/>
      </c>
      <c r="N14" s="18" t="str">
        <f>IF('Step 1 - Budget Manager'!B11="","",'Step 1 - Budget Manager'!E11)</f>
        <v/>
      </c>
      <c r="O14" s="18" t="str">
        <f>""</f>
        <v/>
      </c>
      <c r="P14" s="18" t="str">
        <f>""</f>
        <v/>
      </c>
      <c r="Q14" s="18" t="str">
        <f>""</f>
        <v/>
      </c>
      <c r="R14" s="18" t="str">
        <f>""</f>
        <v/>
      </c>
      <c r="S14" s="18" t="str">
        <f>""</f>
        <v/>
      </c>
      <c r="T14" s="18" t="str">
        <f>""</f>
        <v/>
      </c>
      <c r="U14" s="18" t="str">
        <f>IF('Step 1 - Budget Manager'!B11="","",'Step 1 - Budget Manager'!H11)</f>
        <v/>
      </c>
      <c r="V14" s="17" t="str">
        <f>IF('Step 1 - Budget Manager'!B11="","",'Step 1 - Budget Manager'!J11)</f>
        <v/>
      </c>
      <c r="W14" s="18" t="str">
        <f>IF('Step 1 - Budget Manager'!B11="","",'Step 1 - Budget Manager'!K11)</f>
        <v/>
      </c>
      <c r="X14" s="17" t="str">
        <f>IF('Step 1 - Budget Manager'!B11="","",'Step 1 - Budget Manager'!M11)</f>
        <v/>
      </c>
      <c r="Y14" s="18" t="str">
        <f>IF('Step 1 - Budget Manager'!B11="","",'Step 1 - Budget Manager'!N11)</f>
        <v/>
      </c>
      <c r="Z14" s="18" t="str">
        <f>""</f>
        <v/>
      </c>
      <c r="AA14" s="18" t="str">
        <f>""</f>
        <v/>
      </c>
      <c r="AB14" s="18" t="str">
        <f>""</f>
        <v/>
      </c>
      <c r="AC14" s="18" t="str">
        <f>""</f>
        <v/>
      </c>
      <c r="AD14" s="18" t="str">
        <f>""</f>
        <v/>
      </c>
      <c r="AE14" s="18" t="str">
        <f>""</f>
        <v/>
      </c>
      <c r="AF14" s="18" t="str">
        <f>""</f>
        <v/>
      </c>
      <c r="AG14" s="18" t="str">
        <f>""</f>
        <v/>
      </c>
      <c r="AH14" s="18" t="str">
        <f>""</f>
        <v/>
      </c>
      <c r="AI14" s="18" t="str">
        <f>""</f>
        <v/>
      </c>
      <c r="AJ14" s="18" t="str">
        <f>""</f>
        <v/>
      </c>
      <c r="AK14" s="18" t="str">
        <f>""</f>
        <v/>
      </c>
      <c r="AL14" s="18" t="str">
        <f>""</f>
        <v/>
      </c>
      <c r="AM14" s="18" t="str">
        <f>""</f>
        <v/>
      </c>
    </row>
    <row r="15" spans="1:39" ht="15.75" customHeight="1" x14ac:dyDescent="0.25">
      <c r="A15" s="19" t="str">
        <f>IF('Step 1 - Budget Manager'!B12="","","Active")</f>
        <v/>
      </c>
      <c r="B15" s="20" t="str">
        <f>IF('Step 1 - Budget Manager'!B12="","",'Step 1 - Budget Manager'!B12)</f>
        <v/>
      </c>
      <c r="C15" s="20" t="str">
        <f>IF('Step 1 - Budget Manager'!B12="","",'Step 1 - Budget Manager'!B12)</f>
        <v/>
      </c>
      <c r="D15" s="19" t="str">
        <f>IF('Step 1 - Budget Manager'!B12="","",'Step 1 - Budget Manager'!F12)</f>
        <v/>
      </c>
      <c r="E15" s="19" t="str">
        <f>IF('Step 1 - Budget Manager'!B12="","",'Step 1 - Budget Manager'!G12)</f>
        <v/>
      </c>
      <c r="F15" s="20" t="str">
        <f>IF('Step 1 - Budget Manager'!B12="","",IF('Step 1 - Budget Manager'!C12="","","Fund Code"))</f>
        <v/>
      </c>
      <c r="G15" s="19" t="str">
        <f>IF('Step 1 - Budget Manager'!B12="","",IF('Step 1 - Budget Manager'!C12="","","Equals"))</f>
        <v/>
      </c>
      <c r="H15" s="20" t="str">
        <f>IF('Step 1 - Budget Manager'!B12="","",IF('Step 1 - Budget Manager'!C12="","",'Step 1 - Budget Manager'!C12))</f>
        <v/>
      </c>
      <c r="I15" s="20" t="str">
        <f>IF('Step 1 - Budget Manager'!B12="","","Organization Code")</f>
        <v/>
      </c>
      <c r="J15" s="19" t="str">
        <f>IF('Step 1 - Budget Manager'!B12="","","Equals")</f>
        <v/>
      </c>
      <c r="K15" s="20" t="str">
        <f>IF('Step 1 - Budget Manager'!B12="","",'Step 1 - Budget Manager'!D12)</f>
        <v/>
      </c>
      <c r="L15" s="20" t="str">
        <f>IF('Step 1 - Budget Manager'!B12="","","Other Criteria")</f>
        <v/>
      </c>
      <c r="M15" s="19" t="str">
        <f>IF('Step 1 - Budget Manager'!B12="","","Equals")</f>
        <v/>
      </c>
      <c r="N15" s="20" t="str">
        <f>IF('Step 1 - Budget Manager'!B12="","",'Step 1 - Budget Manager'!E12)</f>
        <v/>
      </c>
      <c r="O15" s="20" t="str">
        <f>""</f>
        <v/>
      </c>
      <c r="P15" s="20" t="str">
        <f>""</f>
        <v/>
      </c>
      <c r="Q15" s="20" t="str">
        <f>""</f>
        <v/>
      </c>
      <c r="R15" s="20" t="str">
        <f>""</f>
        <v/>
      </c>
      <c r="S15" s="20" t="str">
        <f>""</f>
        <v/>
      </c>
      <c r="T15" s="20" t="str">
        <f>""</f>
        <v/>
      </c>
      <c r="U15" s="20" t="str">
        <f>IF('Step 1 - Budget Manager'!B12="","",'Step 1 - Budget Manager'!H12)</f>
        <v/>
      </c>
      <c r="V15" s="19" t="str">
        <f>IF('Step 1 - Budget Manager'!B12="","",'Step 1 - Budget Manager'!J12)</f>
        <v/>
      </c>
      <c r="W15" s="20" t="str">
        <f>IF('Step 1 - Budget Manager'!B12="","",'Step 1 - Budget Manager'!K12)</f>
        <v/>
      </c>
      <c r="X15" s="19" t="str">
        <f>IF('Step 1 - Budget Manager'!B12="","",'Step 1 - Budget Manager'!M12)</f>
        <v/>
      </c>
      <c r="Y15" s="20" t="str">
        <f>IF('Step 1 - Budget Manager'!B12="","",'Step 1 - Budget Manager'!N12)</f>
        <v/>
      </c>
      <c r="Z15" s="20" t="str">
        <f>""</f>
        <v/>
      </c>
      <c r="AA15" s="20" t="str">
        <f>""</f>
        <v/>
      </c>
      <c r="AB15" s="20" t="str">
        <f>""</f>
        <v/>
      </c>
      <c r="AC15" s="20" t="str">
        <f>""</f>
        <v/>
      </c>
      <c r="AD15" s="20" t="str">
        <f>""</f>
        <v/>
      </c>
      <c r="AE15" s="20" t="str">
        <f>""</f>
        <v/>
      </c>
      <c r="AF15" s="20" t="str">
        <f>""</f>
        <v/>
      </c>
      <c r="AG15" s="20" t="str">
        <f>""</f>
        <v/>
      </c>
      <c r="AH15" s="20" t="str">
        <f>""</f>
        <v/>
      </c>
      <c r="AI15" s="20" t="str">
        <f>""</f>
        <v/>
      </c>
      <c r="AJ15" s="20" t="str">
        <f>""</f>
        <v/>
      </c>
      <c r="AK15" s="20" t="str">
        <f>""</f>
        <v/>
      </c>
      <c r="AL15" s="20" t="str">
        <f>""</f>
        <v/>
      </c>
      <c r="AM15" s="20" t="str">
        <f>""</f>
        <v/>
      </c>
    </row>
    <row r="16" spans="1:39" ht="15.75" customHeight="1" x14ac:dyDescent="0.25">
      <c r="A16" s="17" t="str">
        <f>IF('Step 1 - Budget Manager'!B13="","","Active")</f>
        <v/>
      </c>
      <c r="B16" s="18" t="str">
        <f>IF('Step 1 - Budget Manager'!B13="","",'Step 1 - Budget Manager'!B13)</f>
        <v/>
      </c>
      <c r="C16" s="18" t="str">
        <f>IF('Step 1 - Budget Manager'!B13="","",'Step 1 - Budget Manager'!B13)</f>
        <v/>
      </c>
      <c r="D16" s="17" t="str">
        <f>IF('Step 1 - Budget Manager'!B13="","",'Step 1 - Budget Manager'!F13)</f>
        <v/>
      </c>
      <c r="E16" s="17" t="str">
        <f>IF('Step 1 - Budget Manager'!B13="","",'Step 1 - Budget Manager'!G13)</f>
        <v/>
      </c>
      <c r="F16" s="18" t="str">
        <f>IF('Step 1 - Budget Manager'!B13="","",IF('Step 1 - Budget Manager'!C13="","","Fund Code"))</f>
        <v/>
      </c>
      <c r="G16" s="17" t="str">
        <f>IF('Step 1 - Budget Manager'!B13="","",IF('Step 1 - Budget Manager'!C13="","","Equals"))</f>
        <v/>
      </c>
      <c r="H16" s="18" t="str">
        <f>IF('Step 1 - Budget Manager'!B13="","",IF('Step 1 - Budget Manager'!C13="","",'Step 1 - Budget Manager'!C13))</f>
        <v/>
      </c>
      <c r="I16" s="18" t="str">
        <f>IF('Step 1 - Budget Manager'!B13="","","Organization Code")</f>
        <v/>
      </c>
      <c r="J16" s="17" t="str">
        <f>IF('Step 1 - Budget Manager'!B13="","","Equals")</f>
        <v/>
      </c>
      <c r="K16" s="18" t="str">
        <f>IF('Step 1 - Budget Manager'!B13="","",'Step 1 - Budget Manager'!D13)</f>
        <v/>
      </c>
      <c r="L16" s="18" t="str">
        <f>IF('Step 1 - Budget Manager'!B13="","","Other Criteria")</f>
        <v/>
      </c>
      <c r="M16" s="17" t="str">
        <f>IF('Step 1 - Budget Manager'!B13="","","Equals")</f>
        <v/>
      </c>
      <c r="N16" s="18" t="str">
        <f>IF('Step 1 - Budget Manager'!B13="","",'Step 1 - Budget Manager'!E13)</f>
        <v/>
      </c>
      <c r="O16" s="18" t="str">
        <f>""</f>
        <v/>
      </c>
      <c r="P16" s="18" t="str">
        <f>""</f>
        <v/>
      </c>
      <c r="Q16" s="18" t="str">
        <f>""</f>
        <v/>
      </c>
      <c r="R16" s="18" t="str">
        <f>""</f>
        <v/>
      </c>
      <c r="S16" s="18" t="str">
        <f>""</f>
        <v/>
      </c>
      <c r="T16" s="18" t="str">
        <f>""</f>
        <v/>
      </c>
      <c r="U16" s="18" t="str">
        <f>IF('Step 1 - Budget Manager'!B13="","",'Step 1 - Budget Manager'!H13)</f>
        <v/>
      </c>
      <c r="V16" s="17" t="str">
        <f>IF('Step 1 - Budget Manager'!B13="","",'Step 1 - Budget Manager'!J13)</f>
        <v/>
      </c>
      <c r="W16" s="18" t="str">
        <f>IF('Step 1 - Budget Manager'!B13="","",'Step 1 - Budget Manager'!K13)</f>
        <v/>
      </c>
      <c r="X16" s="17" t="str">
        <f>IF('Step 1 - Budget Manager'!B13="","",'Step 1 - Budget Manager'!M13)</f>
        <v/>
      </c>
      <c r="Y16" s="18" t="str">
        <f>IF('Step 1 - Budget Manager'!B13="","",'Step 1 - Budget Manager'!N13)</f>
        <v/>
      </c>
      <c r="Z16" s="18" t="str">
        <f>""</f>
        <v/>
      </c>
      <c r="AA16" s="18" t="str">
        <f>""</f>
        <v/>
      </c>
      <c r="AB16" s="18" t="str">
        <f>""</f>
        <v/>
      </c>
      <c r="AC16" s="18" t="str">
        <f>""</f>
        <v/>
      </c>
      <c r="AD16" s="18" t="str">
        <f>""</f>
        <v/>
      </c>
      <c r="AE16" s="18" t="str">
        <f>""</f>
        <v/>
      </c>
      <c r="AF16" s="18" t="str">
        <f>""</f>
        <v/>
      </c>
      <c r="AG16" s="18" t="str">
        <f>""</f>
        <v/>
      </c>
      <c r="AH16" s="18" t="str">
        <f>""</f>
        <v/>
      </c>
      <c r="AI16" s="18" t="str">
        <f>""</f>
        <v/>
      </c>
      <c r="AJ16" s="18" t="str">
        <f>""</f>
        <v/>
      </c>
      <c r="AK16" s="18" t="str">
        <f>""</f>
        <v/>
      </c>
      <c r="AL16" s="18" t="str">
        <f>""</f>
        <v/>
      </c>
      <c r="AM16" s="18" t="str">
        <f>""</f>
        <v/>
      </c>
    </row>
    <row r="17" spans="1:39" ht="15.75" customHeight="1" x14ac:dyDescent="0.25">
      <c r="A17" s="19" t="str">
        <f>IF('Step 1 - Budget Manager'!B14="","","Active")</f>
        <v/>
      </c>
      <c r="B17" s="20" t="str">
        <f>IF('Step 1 - Budget Manager'!B14="","",'Step 1 - Budget Manager'!B14)</f>
        <v/>
      </c>
      <c r="C17" s="20" t="str">
        <f>IF('Step 1 - Budget Manager'!B14="","",'Step 1 - Budget Manager'!B14)</f>
        <v/>
      </c>
      <c r="D17" s="19" t="str">
        <f>IF('Step 1 - Budget Manager'!B14="","",'Step 1 - Budget Manager'!F14)</f>
        <v/>
      </c>
      <c r="E17" s="19" t="str">
        <f>IF('Step 1 - Budget Manager'!B14="","",'Step 1 - Budget Manager'!G14)</f>
        <v/>
      </c>
      <c r="F17" s="20" t="str">
        <f>IF('Step 1 - Budget Manager'!B14="","",IF('Step 1 - Budget Manager'!C14="","","Fund Code"))</f>
        <v/>
      </c>
      <c r="G17" s="19" t="str">
        <f>IF('Step 1 - Budget Manager'!B14="","",IF('Step 1 - Budget Manager'!C14="","","Equals"))</f>
        <v/>
      </c>
      <c r="H17" s="20" t="str">
        <f>IF('Step 1 - Budget Manager'!B14="","",IF('Step 1 - Budget Manager'!C14="","",'Step 1 - Budget Manager'!C14))</f>
        <v/>
      </c>
      <c r="I17" s="20" t="str">
        <f>IF('Step 1 - Budget Manager'!B14="","","Organization Code")</f>
        <v/>
      </c>
      <c r="J17" s="19" t="str">
        <f>IF('Step 1 - Budget Manager'!B14="","","Equals")</f>
        <v/>
      </c>
      <c r="K17" s="20" t="str">
        <f>IF('Step 1 - Budget Manager'!B14="","",'Step 1 - Budget Manager'!D14)</f>
        <v/>
      </c>
      <c r="L17" s="20" t="str">
        <f>IF('Step 1 - Budget Manager'!B14="","","Other Criteria")</f>
        <v/>
      </c>
      <c r="M17" s="19" t="str">
        <f>IF('Step 1 - Budget Manager'!B14="","","Equals")</f>
        <v/>
      </c>
      <c r="N17" s="20" t="str">
        <f>IF('Step 1 - Budget Manager'!B14="","",'Step 1 - Budget Manager'!E14)</f>
        <v/>
      </c>
      <c r="O17" s="20" t="str">
        <f>""</f>
        <v/>
      </c>
      <c r="P17" s="20" t="str">
        <f>""</f>
        <v/>
      </c>
      <c r="Q17" s="20" t="str">
        <f>""</f>
        <v/>
      </c>
      <c r="R17" s="20" t="str">
        <f>""</f>
        <v/>
      </c>
      <c r="S17" s="20" t="str">
        <f>""</f>
        <v/>
      </c>
      <c r="T17" s="20" t="str">
        <f>""</f>
        <v/>
      </c>
      <c r="U17" s="20" t="str">
        <f>IF('Step 1 - Budget Manager'!B14="","",'Step 1 - Budget Manager'!H14)</f>
        <v/>
      </c>
      <c r="V17" s="19" t="str">
        <f>IF('Step 1 - Budget Manager'!B14="","",'Step 1 - Budget Manager'!J14)</f>
        <v/>
      </c>
      <c r="W17" s="20" t="str">
        <f>IF('Step 1 - Budget Manager'!B14="","",'Step 1 - Budget Manager'!K14)</f>
        <v/>
      </c>
      <c r="X17" s="19" t="str">
        <f>IF('Step 1 - Budget Manager'!B14="","",'Step 1 - Budget Manager'!M14)</f>
        <v/>
      </c>
      <c r="Y17" s="20" t="str">
        <f>IF('Step 1 - Budget Manager'!B14="","",'Step 1 - Budget Manager'!N14)</f>
        <v/>
      </c>
      <c r="Z17" s="20" t="str">
        <f>""</f>
        <v/>
      </c>
      <c r="AA17" s="20" t="str">
        <f>""</f>
        <v/>
      </c>
      <c r="AB17" s="20" t="str">
        <f>""</f>
        <v/>
      </c>
      <c r="AC17" s="20" t="str">
        <f>""</f>
        <v/>
      </c>
      <c r="AD17" s="20" t="str">
        <f>""</f>
        <v/>
      </c>
      <c r="AE17" s="20" t="str">
        <f>""</f>
        <v/>
      </c>
      <c r="AF17" s="20" t="str">
        <f>""</f>
        <v/>
      </c>
      <c r="AG17" s="20" t="str">
        <f>""</f>
        <v/>
      </c>
      <c r="AH17" s="20" t="str">
        <f>""</f>
        <v/>
      </c>
      <c r="AI17" s="20" t="str">
        <f>""</f>
        <v/>
      </c>
      <c r="AJ17" s="20" t="str">
        <f>""</f>
        <v/>
      </c>
      <c r="AK17" s="20" t="str">
        <f>""</f>
        <v/>
      </c>
      <c r="AL17" s="20" t="str">
        <f>""</f>
        <v/>
      </c>
      <c r="AM17" s="20" t="str">
        <f>""</f>
        <v/>
      </c>
    </row>
    <row r="18" spans="1:39" ht="15.75" customHeight="1" x14ac:dyDescent="0.25">
      <c r="A18" s="17" t="str">
        <f>IF('Step 1 - Budget Manager'!B15="","","Active")</f>
        <v/>
      </c>
      <c r="B18" s="18" t="str">
        <f>IF('Step 1 - Budget Manager'!B15="","",'Step 1 - Budget Manager'!B15)</f>
        <v/>
      </c>
      <c r="C18" s="18" t="str">
        <f>IF('Step 1 - Budget Manager'!B15="","",'Step 1 - Budget Manager'!B15)</f>
        <v/>
      </c>
      <c r="D18" s="17" t="str">
        <f>IF('Step 1 - Budget Manager'!B15="","",'Step 1 - Budget Manager'!F15)</f>
        <v/>
      </c>
      <c r="E18" s="17" t="str">
        <f>IF('Step 1 - Budget Manager'!B15="","",'Step 1 - Budget Manager'!G15)</f>
        <v/>
      </c>
      <c r="F18" s="18" t="str">
        <f>IF('Step 1 - Budget Manager'!B15="","",IF('Step 1 - Budget Manager'!C15="","","Fund Code"))</f>
        <v/>
      </c>
      <c r="G18" s="17" t="str">
        <f>IF('Step 1 - Budget Manager'!B15="","",IF('Step 1 - Budget Manager'!C15="","","Equals"))</f>
        <v/>
      </c>
      <c r="H18" s="18" t="str">
        <f>IF('Step 1 - Budget Manager'!B15="","",IF('Step 1 - Budget Manager'!C15="","",'Step 1 - Budget Manager'!C15))</f>
        <v/>
      </c>
      <c r="I18" s="18" t="str">
        <f>IF('Step 1 - Budget Manager'!B15="","","Organization Code")</f>
        <v/>
      </c>
      <c r="J18" s="17" t="str">
        <f>IF('Step 1 - Budget Manager'!B15="","","Equals")</f>
        <v/>
      </c>
      <c r="K18" s="18" t="str">
        <f>IF('Step 1 - Budget Manager'!B15="","",'Step 1 - Budget Manager'!D15)</f>
        <v/>
      </c>
      <c r="L18" s="18" t="str">
        <f>IF('Step 1 - Budget Manager'!B15="","","Other Criteria")</f>
        <v/>
      </c>
      <c r="M18" s="17" t="str">
        <f>IF('Step 1 - Budget Manager'!B15="","","Equals")</f>
        <v/>
      </c>
      <c r="N18" s="18" t="str">
        <f>IF('Step 1 - Budget Manager'!B15="","",'Step 1 - Budget Manager'!E15)</f>
        <v/>
      </c>
      <c r="O18" s="18" t="str">
        <f>""</f>
        <v/>
      </c>
      <c r="P18" s="18" t="str">
        <f>""</f>
        <v/>
      </c>
      <c r="Q18" s="18" t="str">
        <f>""</f>
        <v/>
      </c>
      <c r="R18" s="18" t="str">
        <f>""</f>
        <v/>
      </c>
      <c r="S18" s="18" t="str">
        <f>""</f>
        <v/>
      </c>
      <c r="T18" s="18" t="str">
        <f>""</f>
        <v/>
      </c>
      <c r="U18" s="18" t="str">
        <f>IF('Step 1 - Budget Manager'!B15="","",'Step 1 - Budget Manager'!H15)</f>
        <v/>
      </c>
      <c r="V18" s="17" t="str">
        <f>IF('Step 1 - Budget Manager'!B15="","",'Step 1 - Budget Manager'!J15)</f>
        <v/>
      </c>
      <c r="W18" s="18" t="str">
        <f>IF('Step 1 - Budget Manager'!B15="","",'Step 1 - Budget Manager'!K15)</f>
        <v/>
      </c>
      <c r="X18" s="17" t="str">
        <f>IF('Step 1 - Budget Manager'!B15="","",'Step 1 - Budget Manager'!M15)</f>
        <v/>
      </c>
      <c r="Y18" s="18" t="str">
        <f>IF('Step 1 - Budget Manager'!B15="","",'Step 1 - Budget Manager'!N15)</f>
        <v/>
      </c>
      <c r="Z18" s="18" t="str">
        <f>""</f>
        <v/>
      </c>
      <c r="AA18" s="18" t="str">
        <f>""</f>
        <v/>
      </c>
      <c r="AB18" s="18" t="str">
        <f>""</f>
        <v/>
      </c>
      <c r="AC18" s="18" t="str">
        <f>""</f>
        <v/>
      </c>
      <c r="AD18" s="18" t="str">
        <f>""</f>
        <v/>
      </c>
      <c r="AE18" s="18" t="str">
        <f>""</f>
        <v/>
      </c>
      <c r="AF18" s="18" t="str">
        <f>""</f>
        <v/>
      </c>
      <c r="AG18" s="18" t="str">
        <f>""</f>
        <v/>
      </c>
      <c r="AH18" s="18" t="str">
        <f>""</f>
        <v/>
      </c>
      <c r="AI18" s="18" t="str">
        <f>""</f>
        <v/>
      </c>
      <c r="AJ18" s="18" t="str">
        <f>""</f>
        <v/>
      </c>
      <c r="AK18" s="18" t="str">
        <f>""</f>
        <v/>
      </c>
      <c r="AL18" s="18" t="str">
        <f>""</f>
        <v/>
      </c>
      <c r="AM18" s="18" t="str">
        <f>""</f>
        <v/>
      </c>
    </row>
    <row r="19" spans="1:39" ht="15.75" customHeight="1" x14ac:dyDescent="0.25">
      <c r="A19" s="19" t="str">
        <f>IF('Step 1 - Budget Manager'!B16="","","Active")</f>
        <v/>
      </c>
      <c r="B19" s="20" t="str">
        <f>IF('Step 1 - Budget Manager'!B16="","",'Step 1 - Budget Manager'!B16)</f>
        <v/>
      </c>
      <c r="C19" s="20" t="str">
        <f>IF('Step 1 - Budget Manager'!B16="","",'Step 1 - Budget Manager'!B16)</f>
        <v/>
      </c>
      <c r="D19" s="19" t="str">
        <f>IF('Step 1 - Budget Manager'!B16="","",'Step 1 - Budget Manager'!F16)</f>
        <v/>
      </c>
      <c r="E19" s="19" t="str">
        <f>IF('Step 1 - Budget Manager'!B16="","",'Step 1 - Budget Manager'!G16)</f>
        <v/>
      </c>
      <c r="F19" s="20" t="str">
        <f>IF('Step 1 - Budget Manager'!B16="","",IF('Step 1 - Budget Manager'!C16="","","Fund Code"))</f>
        <v/>
      </c>
      <c r="G19" s="19" t="str">
        <f>IF('Step 1 - Budget Manager'!B16="","",IF('Step 1 - Budget Manager'!C16="","","Equals"))</f>
        <v/>
      </c>
      <c r="H19" s="20" t="str">
        <f>IF('Step 1 - Budget Manager'!B16="","",IF('Step 1 - Budget Manager'!C16="","",'Step 1 - Budget Manager'!C16))</f>
        <v/>
      </c>
      <c r="I19" s="20" t="str">
        <f>IF('Step 1 - Budget Manager'!B16="","","Organization Code")</f>
        <v/>
      </c>
      <c r="J19" s="19" t="str">
        <f>IF('Step 1 - Budget Manager'!B16="","","Equals")</f>
        <v/>
      </c>
      <c r="K19" s="20" t="str">
        <f>IF('Step 1 - Budget Manager'!B16="","",'Step 1 - Budget Manager'!D16)</f>
        <v/>
      </c>
      <c r="L19" s="20" t="str">
        <f>IF('Step 1 - Budget Manager'!B16="","","Other Criteria")</f>
        <v/>
      </c>
      <c r="M19" s="19" t="str">
        <f>IF('Step 1 - Budget Manager'!B16="","","Equals")</f>
        <v/>
      </c>
      <c r="N19" s="20" t="str">
        <f>IF('Step 1 - Budget Manager'!B16="","",'Step 1 - Budget Manager'!E16)</f>
        <v/>
      </c>
      <c r="O19" s="20" t="str">
        <f>""</f>
        <v/>
      </c>
      <c r="P19" s="20" t="str">
        <f>""</f>
        <v/>
      </c>
      <c r="Q19" s="20" t="str">
        <f>""</f>
        <v/>
      </c>
      <c r="R19" s="20" t="str">
        <f>""</f>
        <v/>
      </c>
      <c r="S19" s="20" t="str">
        <f>""</f>
        <v/>
      </c>
      <c r="T19" s="20" t="str">
        <f>""</f>
        <v/>
      </c>
      <c r="U19" s="20" t="str">
        <f>IF('Step 1 - Budget Manager'!B16="","",'Step 1 - Budget Manager'!H16)</f>
        <v/>
      </c>
      <c r="V19" s="19" t="str">
        <f>IF('Step 1 - Budget Manager'!B16="","",'Step 1 - Budget Manager'!J16)</f>
        <v/>
      </c>
      <c r="W19" s="20" t="str">
        <f>IF('Step 1 - Budget Manager'!B16="","",'Step 1 - Budget Manager'!K16)</f>
        <v/>
      </c>
      <c r="X19" s="19" t="str">
        <f>IF('Step 1 - Budget Manager'!B16="","",'Step 1 - Budget Manager'!M16)</f>
        <v/>
      </c>
      <c r="Y19" s="20" t="str">
        <f>IF('Step 1 - Budget Manager'!B16="","",'Step 1 - Budget Manager'!N16)</f>
        <v/>
      </c>
      <c r="Z19" s="20" t="str">
        <f>""</f>
        <v/>
      </c>
      <c r="AA19" s="20" t="str">
        <f>""</f>
        <v/>
      </c>
      <c r="AB19" s="20" t="str">
        <f>""</f>
        <v/>
      </c>
      <c r="AC19" s="20" t="str">
        <f>""</f>
        <v/>
      </c>
      <c r="AD19" s="20" t="str">
        <f>""</f>
        <v/>
      </c>
      <c r="AE19" s="20" t="str">
        <f>""</f>
        <v/>
      </c>
      <c r="AF19" s="20" t="str">
        <f>""</f>
        <v/>
      </c>
      <c r="AG19" s="20" t="str">
        <f>""</f>
        <v/>
      </c>
      <c r="AH19" s="20" t="str">
        <f>""</f>
        <v/>
      </c>
      <c r="AI19" s="20" t="str">
        <f>""</f>
        <v/>
      </c>
      <c r="AJ19" s="20" t="str">
        <f>""</f>
        <v/>
      </c>
      <c r="AK19" s="20" t="str">
        <f>""</f>
        <v/>
      </c>
      <c r="AL19" s="20" t="str">
        <f>""</f>
        <v/>
      </c>
      <c r="AM19" s="20" t="str">
        <f>""</f>
        <v/>
      </c>
    </row>
    <row r="20" spans="1:39" ht="15.75" customHeight="1" x14ac:dyDescent="0.25">
      <c r="A20" s="17" t="str">
        <f>IF('Step 1 - Budget Manager'!B17="","","Active")</f>
        <v/>
      </c>
      <c r="B20" s="18" t="str">
        <f>IF('Step 1 - Budget Manager'!B17="","",'Step 1 - Budget Manager'!B17)</f>
        <v/>
      </c>
      <c r="C20" s="18" t="str">
        <f>IF('Step 1 - Budget Manager'!B17="","",'Step 1 - Budget Manager'!B17)</f>
        <v/>
      </c>
      <c r="D20" s="17" t="str">
        <f>IF('Step 1 - Budget Manager'!B17="","",'Step 1 - Budget Manager'!F17)</f>
        <v/>
      </c>
      <c r="E20" s="17" t="str">
        <f>IF('Step 1 - Budget Manager'!B17="","",'Step 1 - Budget Manager'!G17)</f>
        <v/>
      </c>
      <c r="F20" s="18" t="str">
        <f>IF('Step 1 - Budget Manager'!B17="","",IF('Step 1 - Budget Manager'!C17="","","Fund Code"))</f>
        <v/>
      </c>
      <c r="G20" s="17" t="str">
        <f>IF('Step 1 - Budget Manager'!B17="","",IF('Step 1 - Budget Manager'!C17="","","Equals"))</f>
        <v/>
      </c>
      <c r="H20" s="18" t="str">
        <f>IF('Step 1 - Budget Manager'!B17="","",IF('Step 1 - Budget Manager'!C17="","",'Step 1 - Budget Manager'!C17))</f>
        <v/>
      </c>
      <c r="I20" s="18" t="str">
        <f>IF('Step 1 - Budget Manager'!B17="","","Organization Code")</f>
        <v/>
      </c>
      <c r="J20" s="17" t="str">
        <f>IF('Step 1 - Budget Manager'!B17="","","Equals")</f>
        <v/>
      </c>
      <c r="K20" s="18" t="str">
        <f>IF('Step 1 - Budget Manager'!B17="","",'Step 1 - Budget Manager'!D17)</f>
        <v/>
      </c>
      <c r="L20" s="18" t="str">
        <f>IF('Step 1 - Budget Manager'!B17="","","Other Criteria")</f>
        <v/>
      </c>
      <c r="M20" s="17" t="str">
        <f>IF('Step 1 - Budget Manager'!B17="","","Equals")</f>
        <v/>
      </c>
      <c r="N20" s="18" t="str">
        <f>IF('Step 1 - Budget Manager'!B17="","",'Step 1 - Budget Manager'!E17)</f>
        <v/>
      </c>
      <c r="O20" s="18" t="str">
        <f>""</f>
        <v/>
      </c>
      <c r="P20" s="18" t="str">
        <f>""</f>
        <v/>
      </c>
      <c r="Q20" s="18" t="str">
        <f>""</f>
        <v/>
      </c>
      <c r="R20" s="18" t="str">
        <f>""</f>
        <v/>
      </c>
      <c r="S20" s="18" t="str">
        <f>""</f>
        <v/>
      </c>
      <c r="T20" s="18" t="str">
        <f>""</f>
        <v/>
      </c>
      <c r="U20" s="18" t="str">
        <f>IF('Step 1 - Budget Manager'!B17="","",'Step 1 - Budget Manager'!H17)</f>
        <v/>
      </c>
      <c r="V20" s="17" t="str">
        <f>IF('Step 1 - Budget Manager'!B17="","",'Step 1 - Budget Manager'!J17)</f>
        <v/>
      </c>
      <c r="W20" s="18" t="str">
        <f>IF('Step 1 - Budget Manager'!B17="","",'Step 1 - Budget Manager'!K17)</f>
        <v/>
      </c>
      <c r="X20" s="17" t="str">
        <f>IF('Step 1 - Budget Manager'!B17="","",'Step 1 - Budget Manager'!M17)</f>
        <v/>
      </c>
      <c r="Y20" s="18" t="str">
        <f>IF('Step 1 - Budget Manager'!B17="","",'Step 1 - Budget Manager'!N17)</f>
        <v/>
      </c>
      <c r="Z20" s="18" t="str">
        <f>""</f>
        <v/>
      </c>
      <c r="AA20" s="18" t="str">
        <f>""</f>
        <v/>
      </c>
      <c r="AB20" s="18" t="str">
        <f>""</f>
        <v/>
      </c>
      <c r="AC20" s="18" t="str">
        <f>""</f>
        <v/>
      </c>
      <c r="AD20" s="18" t="str">
        <f>""</f>
        <v/>
      </c>
      <c r="AE20" s="18" t="str">
        <f>""</f>
        <v/>
      </c>
      <c r="AF20" s="18" t="str">
        <f>""</f>
        <v/>
      </c>
      <c r="AG20" s="18" t="str">
        <f>""</f>
        <v/>
      </c>
      <c r="AH20" s="18" t="str">
        <f>""</f>
        <v/>
      </c>
      <c r="AI20" s="18" t="str">
        <f>""</f>
        <v/>
      </c>
      <c r="AJ20" s="18" t="str">
        <f>""</f>
        <v/>
      </c>
      <c r="AK20" s="18" t="str">
        <f>""</f>
        <v/>
      </c>
      <c r="AL20" s="18" t="str">
        <f>""</f>
        <v/>
      </c>
      <c r="AM20" s="18" t="str">
        <f>""</f>
        <v/>
      </c>
    </row>
    <row r="21" spans="1:39" ht="15.75" customHeight="1" x14ac:dyDescent="0.25">
      <c r="A21" s="19" t="str">
        <f>IF('Step 1 - Budget Manager'!B18="","","Active")</f>
        <v/>
      </c>
      <c r="B21" s="20" t="str">
        <f>IF('Step 1 - Budget Manager'!B18="","",'Step 1 - Budget Manager'!B18)</f>
        <v/>
      </c>
      <c r="C21" s="20" t="str">
        <f>IF('Step 1 - Budget Manager'!B18="","",'Step 1 - Budget Manager'!B18)</f>
        <v/>
      </c>
      <c r="D21" s="19" t="str">
        <f>IF('Step 1 - Budget Manager'!B18="","",'Step 1 - Budget Manager'!F18)</f>
        <v/>
      </c>
      <c r="E21" s="19" t="str">
        <f>IF('Step 1 - Budget Manager'!B18="","",'Step 1 - Budget Manager'!G18)</f>
        <v/>
      </c>
      <c r="F21" s="20" t="str">
        <f>IF('Step 1 - Budget Manager'!B18="","",IF('Step 1 - Budget Manager'!C18="","","Fund Code"))</f>
        <v/>
      </c>
      <c r="G21" s="19" t="str">
        <f>IF('Step 1 - Budget Manager'!B18="","",IF('Step 1 - Budget Manager'!C18="","","Equals"))</f>
        <v/>
      </c>
      <c r="H21" s="20" t="str">
        <f>IF('Step 1 - Budget Manager'!B18="","",IF('Step 1 - Budget Manager'!C18="","",'Step 1 - Budget Manager'!C18))</f>
        <v/>
      </c>
      <c r="I21" s="20" t="str">
        <f>IF('Step 1 - Budget Manager'!B18="","","Organization Code")</f>
        <v/>
      </c>
      <c r="J21" s="19" t="str">
        <f>IF('Step 1 - Budget Manager'!B18="","","Equals")</f>
        <v/>
      </c>
      <c r="K21" s="20" t="str">
        <f>IF('Step 1 - Budget Manager'!B18="","",'Step 1 - Budget Manager'!D18)</f>
        <v/>
      </c>
      <c r="L21" s="20" t="str">
        <f>IF('Step 1 - Budget Manager'!B18="","","Other Criteria")</f>
        <v/>
      </c>
      <c r="M21" s="19" t="str">
        <f>IF('Step 1 - Budget Manager'!B18="","","Equals")</f>
        <v/>
      </c>
      <c r="N21" s="20" t="str">
        <f>IF('Step 1 - Budget Manager'!B18="","",'Step 1 - Budget Manager'!E18)</f>
        <v/>
      </c>
      <c r="O21" s="20" t="str">
        <f>""</f>
        <v/>
      </c>
      <c r="P21" s="20" t="str">
        <f>""</f>
        <v/>
      </c>
      <c r="Q21" s="20" t="str">
        <f>""</f>
        <v/>
      </c>
      <c r="R21" s="20" t="str">
        <f>""</f>
        <v/>
      </c>
      <c r="S21" s="20" t="str">
        <f>""</f>
        <v/>
      </c>
      <c r="T21" s="20" t="str">
        <f>""</f>
        <v/>
      </c>
      <c r="U21" s="20" t="str">
        <f>IF('Step 1 - Budget Manager'!B18="","",'Step 1 - Budget Manager'!H18)</f>
        <v/>
      </c>
      <c r="V21" s="19" t="str">
        <f>IF('Step 1 - Budget Manager'!B18="","",'Step 1 - Budget Manager'!J18)</f>
        <v/>
      </c>
      <c r="W21" s="20" t="str">
        <f>IF('Step 1 - Budget Manager'!B18="","",'Step 1 - Budget Manager'!K18)</f>
        <v/>
      </c>
      <c r="X21" s="19" t="str">
        <f>IF('Step 1 - Budget Manager'!B18="","",'Step 1 - Budget Manager'!M18)</f>
        <v/>
      </c>
      <c r="Y21" s="20" t="str">
        <f>IF('Step 1 - Budget Manager'!B18="","",'Step 1 - Budget Manager'!N18)</f>
        <v/>
      </c>
      <c r="Z21" s="20" t="str">
        <f>""</f>
        <v/>
      </c>
      <c r="AA21" s="20" t="str">
        <f>""</f>
        <v/>
      </c>
      <c r="AB21" s="20" t="str">
        <f>""</f>
        <v/>
      </c>
      <c r="AC21" s="20" t="str">
        <f>""</f>
        <v/>
      </c>
      <c r="AD21" s="20" t="str">
        <f>""</f>
        <v/>
      </c>
      <c r="AE21" s="20" t="str">
        <f>""</f>
        <v/>
      </c>
      <c r="AF21" s="20" t="str">
        <f>""</f>
        <v/>
      </c>
      <c r="AG21" s="20" t="str">
        <f>""</f>
        <v/>
      </c>
      <c r="AH21" s="20" t="str">
        <f>""</f>
        <v/>
      </c>
      <c r="AI21" s="20" t="str">
        <f>""</f>
        <v/>
      </c>
      <c r="AJ21" s="20" t="str">
        <f>""</f>
        <v/>
      </c>
      <c r="AK21" s="20" t="str">
        <f>""</f>
        <v/>
      </c>
      <c r="AL21" s="20" t="str">
        <f>""</f>
        <v/>
      </c>
      <c r="AM21" s="20" t="str">
        <f>""</f>
        <v/>
      </c>
    </row>
    <row r="22" spans="1:39" ht="15.75" customHeight="1" x14ac:dyDescent="0.25">
      <c r="A22" s="17" t="str">
        <f>IF('Step 1 - Budget Manager'!B19="","","Active")</f>
        <v/>
      </c>
      <c r="B22" s="18" t="str">
        <f>IF('Step 1 - Budget Manager'!B19="","",'Step 1 - Budget Manager'!B19)</f>
        <v/>
      </c>
      <c r="C22" s="18" t="str">
        <f>IF('Step 1 - Budget Manager'!B19="","",'Step 1 - Budget Manager'!B19)</f>
        <v/>
      </c>
      <c r="D22" s="17" t="str">
        <f>IF('Step 1 - Budget Manager'!B19="","",'Step 1 - Budget Manager'!F19)</f>
        <v/>
      </c>
      <c r="E22" s="17" t="str">
        <f>IF('Step 1 - Budget Manager'!B19="","",'Step 1 - Budget Manager'!G19)</f>
        <v/>
      </c>
      <c r="F22" s="18" t="str">
        <f>IF('Step 1 - Budget Manager'!B19="","",IF('Step 1 - Budget Manager'!C19="","","Fund Code"))</f>
        <v/>
      </c>
      <c r="G22" s="17" t="str">
        <f>IF('Step 1 - Budget Manager'!B19="","",IF('Step 1 - Budget Manager'!C19="","","Equals"))</f>
        <v/>
      </c>
      <c r="H22" s="18" t="str">
        <f>IF('Step 1 - Budget Manager'!B19="","",IF('Step 1 - Budget Manager'!C19="","",'Step 1 - Budget Manager'!C19))</f>
        <v/>
      </c>
      <c r="I22" s="18" t="str">
        <f>IF('Step 1 - Budget Manager'!B19="","","Organization Code")</f>
        <v/>
      </c>
      <c r="J22" s="17" t="str">
        <f>IF('Step 1 - Budget Manager'!B19="","","Equals")</f>
        <v/>
      </c>
      <c r="K22" s="18" t="str">
        <f>IF('Step 1 - Budget Manager'!B19="","",'Step 1 - Budget Manager'!D19)</f>
        <v/>
      </c>
      <c r="L22" s="18" t="str">
        <f>IF('Step 1 - Budget Manager'!B19="","","Other Criteria")</f>
        <v/>
      </c>
      <c r="M22" s="17" t="str">
        <f>IF('Step 1 - Budget Manager'!B19="","","Equals")</f>
        <v/>
      </c>
      <c r="N22" s="18" t="str">
        <f>IF('Step 1 - Budget Manager'!B19="","",'Step 1 - Budget Manager'!E19)</f>
        <v/>
      </c>
      <c r="O22" s="18" t="str">
        <f>""</f>
        <v/>
      </c>
      <c r="P22" s="18" t="str">
        <f>""</f>
        <v/>
      </c>
      <c r="Q22" s="18" t="str">
        <f>""</f>
        <v/>
      </c>
      <c r="R22" s="18" t="str">
        <f>""</f>
        <v/>
      </c>
      <c r="S22" s="18" t="str">
        <f>""</f>
        <v/>
      </c>
      <c r="T22" s="18" t="str">
        <f>""</f>
        <v/>
      </c>
      <c r="U22" s="18" t="str">
        <f>IF('Step 1 - Budget Manager'!B19="","",'Step 1 - Budget Manager'!H19)</f>
        <v/>
      </c>
      <c r="V22" s="17" t="str">
        <f>IF('Step 1 - Budget Manager'!B19="","",'Step 1 - Budget Manager'!J19)</f>
        <v/>
      </c>
      <c r="W22" s="18" t="str">
        <f>IF('Step 1 - Budget Manager'!B19="","",'Step 1 - Budget Manager'!K19)</f>
        <v/>
      </c>
      <c r="X22" s="17" t="str">
        <f>IF('Step 1 - Budget Manager'!B19="","",'Step 1 - Budget Manager'!M19)</f>
        <v/>
      </c>
      <c r="Y22" s="18" t="str">
        <f>IF('Step 1 - Budget Manager'!B19="","",'Step 1 - Budget Manager'!N19)</f>
        <v/>
      </c>
      <c r="Z22" s="18" t="str">
        <f>""</f>
        <v/>
      </c>
      <c r="AA22" s="18" t="str">
        <f>""</f>
        <v/>
      </c>
      <c r="AB22" s="18" t="str">
        <f>""</f>
        <v/>
      </c>
      <c r="AC22" s="18" t="str">
        <f>""</f>
        <v/>
      </c>
      <c r="AD22" s="18" t="str">
        <f>""</f>
        <v/>
      </c>
      <c r="AE22" s="18" t="str">
        <f>""</f>
        <v/>
      </c>
      <c r="AF22" s="18" t="str">
        <f>""</f>
        <v/>
      </c>
      <c r="AG22" s="18" t="str">
        <f>""</f>
        <v/>
      </c>
      <c r="AH22" s="18" t="str">
        <f>""</f>
        <v/>
      </c>
      <c r="AI22" s="18" t="str">
        <f>""</f>
        <v/>
      </c>
      <c r="AJ22" s="18" t="str">
        <f>""</f>
        <v/>
      </c>
      <c r="AK22" s="18" t="str">
        <f>""</f>
        <v/>
      </c>
      <c r="AL22" s="18" t="str">
        <f>""</f>
        <v/>
      </c>
      <c r="AM22" s="18" t="str">
        <f>""</f>
        <v/>
      </c>
    </row>
    <row r="23" spans="1:39" ht="15.75" customHeight="1" x14ac:dyDescent="0.25">
      <c r="A23" s="19" t="str">
        <f>IF('Step 1 - Budget Manager'!B20="","","Active")</f>
        <v/>
      </c>
      <c r="B23" s="20" t="str">
        <f>IF('Step 1 - Budget Manager'!B20="","",'Step 1 - Budget Manager'!B20)</f>
        <v/>
      </c>
      <c r="C23" s="20" t="str">
        <f>IF('Step 1 - Budget Manager'!B20="","",'Step 1 - Budget Manager'!B20)</f>
        <v/>
      </c>
      <c r="D23" s="19" t="str">
        <f>IF('Step 1 - Budget Manager'!B20="","",'Step 1 - Budget Manager'!F20)</f>
        <v/>
      </c>
      <c r="E23" s="19" t="str">
        <f>IF('Step 1 - Budget Manager'!B20="","",'Step 1 - Budget Manager'!G20)</f>
        <v/>
      </c>
      <c r="F23" s="20" t="str">
        <f>IF('Step 1 - Budget Manager'!B20="","",IF('Step 1 - Budget Manager'!C20="","","Fund Code"))</f>
        <v/>
      </c>
      <c r="G23" s="19" t="str">
        <f>IF('Step 1 - Budget Manager'!B20="","",IF('Step 1 - Budget Manager'!C20="","","Equals"))</f>
        <v/>
      </c>
      <c r="H23" s="20" t="str">
        <f>IF('Step 1 - Budget Manager'!B20="","",IF('Step 1 - Budget Manager'!C20="","",'Step 1 - Budget Manager'!C20))</f>
        <v/>
      </c>
      <c r="I23" s="20" t="str">
        <f>IF('Step 1 - Budget Manager'!B20="","","Organization Code")</f>
        <v/>
      </c>
      <c r="J23" s="19" t="str">
        <f>IF('Step 1 - Budget Manager'!B20="","","Equals")</f>
        <v/>
      </c>
      <c r="K23" s="20" t="str">
        <f>IF('Step 1 - Budget Manager'!B20="","",'Step 1 - Budget Manager'!D20)</f>
        <v/>
      </c>
      <c r="L23" s="20" t="str">
        <f>IF('Step 1 - Budget Manager'!B20="","","Other Criteria")</f>
        <v/>
      </c>
      <c r="M23" s="19" t="str">
        <f>IF('Step 1 - Budget Manager'!B20="","","Equals")</f>
        <v/>
      </c>
      <c r="N23" s="20" t="str">
        <f>IF('Step 1 - Budget Manager'!B20="","",'Step 1 - Budget Manager'!E20)</f>
        <v/>
      </c>
      <c r="O23" s="20" t="str">
        <f>""</f>
        <v/>
      </c>
      <c r="P23" s="20" t="str">
        <f>""</f>
        <v/>
      </c>
      <c r="Q23" s="20" t="str">
        <f>""</f>
        <v/>
      </c>
      <c r="R23" s="20" t="str">
        <f>""</f>
        <v/>
      </c>
      <c r="S23" s="20" t="str">
        <f>""</f>
        <v/>
      </c>
      <c r="T23" s="20" t="str">
        <f>""</f>
        <v/>
      </c>
      <c r="U23" s="20" t="str">
        <f>IF('Step 1 - Budget Manager'!B20="","",'Step 1 - Budget Manager'!H20)</f>
        <v/>
      </c>
      <c r="V23" s="19" t="str">
        <f>IF('Step 1 - Budget Manager'!B20="","",'Step 1 - Budget Manager'!J20)</f>
        <v/>
      </c>
      <c r="W23" s="20" t="str">
        <f>IF('Step 1 - Budget Manager'!B20="","",'Step 1 - Budget Manager'!K20)</f>
        <v/>
      </c>
      <c r="X23" s="19" t="str">
        <f>IF('Step 1 - Budget Manager'!B20="","",'Step 1 - Budget Manager'!M20)</f>
        <v/>
      </c>
      <c r="Y23" s="20" t="str">
        <f>IF('Step 1 - Budget Manager'!B20="","",'Step 1 - Budget Manager'!N20)</f>
        <v/>
      </c>
      <c r="Z23" s="20" t="str">
        <f>""</f>
        <v/>
      </c>
      <c r="AA23" s="20" t="str">
        <f>""</f>
        <v/>
      </c>
      <c r="AB23" s="20" t="str">
        <f>""</f>
        <v/>
      </c>
      <c r="AC23" s="20" t="str">
        <f>""</f>
        <v/>
      </c>
      <c r="AD23" s="20" t="str">
        <f>""</f>
        <v/>
      </c>
      <c r="AE23" s="20" t="str">
        <f>""</f>
        <v/>
      </c>
      <c r="AF23" s="20" t="str">
        <f>""</f>
        <v/>
      </c>
      <c r="AG23" s="20" t="str">
        <f>""</f>
        <v/>
      </c>
      <c r="AH23" s="20" t="str">
        <f>""</f>
        <v/>
      </c>
      <c r="AI23" s="20" t="str">
        <f>""</f>
        <v/>
      </c>
      <c r="AJ23" s="20" t="str">
        <f>""</f>
        <v/>
      </c>
      <c r="AK23" s="20" t="str">
        <f>""</f>
        <v/>
      </c>
      <c r="AL23" s="20" t="str">
        <f>""</f>
        <v/>
      </c>
      <c r="AM23" s="20" t="str">
        <f>""</f>
        <v/>
      </c>
    </row>
    <row r="24" spans="1:39" ht="15.75" customHeight="1" x14ac:dyDescent="0.25">
      <c r="A24" s="17" t="str">
        <f>IF('Step 1 - Budget Manager'!B21="","","Active")</f>
        <v/>
      </c>
      <c r="B24" s="18" t="str">
        <f>IF('Step 1 - Budget Manager'!B21="","",'Step 1 - Budget Manager'!B21)</f>
        <v/>
      </c>
      <c r="C24" s="18" t="str">
        <f>IF('Step 1 - Budget Manager'!B21="","",'Step 1 - Budget Manager'!B21)</f>
        <v/>
      </c>
      <c r="D24" s="17" t="str">
        <f>IF('Step 1 - Budget Manager'!B21="","",'Step 1 - Budget Manager'!F21)</f>
        <v/>
      </c>
      <c r="E24" s="17" t="str">
        <f>IF('Step 1 - Budget Manager'!B21="","",'Step 1 - Budget Manager'!G21)</f>
        <v/>
      </c>
      <c r="F24" s="18" t="str">
        <f>IF('Step 1 - Budget Manager'!B21="","",IF('Step 1 - Budget Manager'!C21="","","Fund Code"))</f>
        <v/>
      </c>
      <c r="G24" s="17" t="str">
        <f>IF('Step 1 - Budget Manager'!B21="","",IF('Step 1 - Budget Manager'!C21="","","Equals"))</f>
        <v/>
      </c>
      <c r="H24" s="18" t="str">
        <f>IF('Step 1 - Budget Manager'!B21="","",IF('Step 1 - Budget Manager'!C21="","",'Step 1 - Budget Manager'!C21))</f>
        <v/>
      </c>
      <c r="I24" s="18" t="str">
        <f>IF('Step 1 - Budget Manager'!B21="","","Organization Code")</f>
        <v/>
      </c>
      <c r="J24" s="17" t="str">
        <f>IF('Step 1 - Budget Manager'!B21="","","Equals")</f>
        <v/>
      </c>
      <c r="K24" s="18" t="str">
        <f>IF('Step 1 - Budget Manager'!B21="","",'Step 1 - Budget Manager'!D21)</f>
        <v/>
      </c>
      <c r="L24" s="18" t="str">
        <f>IF('Step 1 - Budget Manager'!B21="","","Other Criteria")</f>
        <v/>
      </c>
      <c r="M24" s="17" t="str">
        <f>IF('Step 1 - Budget Manager'!B21="","","Equals")</f>
        <v/>
      </c>
      <c r="N24" s="18" t="str">
        <f>IF('Step 1 - Budget Manager'!B21="","",'Step 1 - Budget Manager'!E21)</f>
        <v/>
      </c>
      <c r="O24" s="18" t="str">
        <f>""</f>
        <v/>
      </c>
      <c r="P24" s="18" t="str">
        <f>""</f>
        <v/>
      </c>
      <c r="Q24" s="18" t="str">
        <f>""</f>
        <v/>
      </c>
      <c r="R24" s="18" t="str">
        <f>""</f>
        <v/>
      </c>
      <c r="S24" s="18" t="str">
        <f>""</f>
        <v/>
      </c>
      <c r="T24" s="18" t="str">
        <f>""</f>
        <v/>
      </c>
      <c r="U24" s="18" t="str">
        <f>IF('Step 1 - Budget Manager'!B21="","",'Step 1 - Budget Manager'!H21)</f>
        <v/>
      </c>
      <c r="V24" s="17" t="str">
        <f>IF('Step 1 - Budget Manager'!B21="","",'Step 1 - Budget Manager'!J21)</f>
        <v/>
      </c>
      <c r="W24" s="18" t="str">
        <f>IF('Step 1 - Budget Manager'!B21="","",'Step 1 - Budget Manager'!K21)</f>
        <v/>
      </c>
      <c r="X24" s="17" t="str">
        <f>IF('Step 1 - Budget Manager'!B21="","",'Step 1 - Budget Manager'!M21)</f>
        <v/>
      </c>
      <c r="Y24" s="18" t="str">
        <f>IF('Step 1 - Budget Manager'!B21="","",'Step 1 - Budget Manager'!N21)</f>
        <v/>
      </c>
      <c r="Z24" s="18" t="str">
        <f>""</f>
        <v/>
      </c>
      <c r="AA24" s="18" t="str">
        <f>""</f>
        <v/>
      </c>
      <c r="AB24" s="18" t="str">
        <f>""</f>
        <v/>
      </c>
      <c r="AC24" s="18" t="str">
        <f>""</f>
        <v/>
      </c>
      <c r="AD24" s="18" t="str">
        <f>""</f>
        <v/>
      </c>
      <c r="AE24" s="18" t="str">
        <f>""</f>
        <v/>
      </c>
      <c r="AF24" s="18" t="str">
        <f>""</f>
        <v/>
      </c>
      <c r="AG24" s="18" t="str">
        <f>""</f>
        <v/>
      </c>
      <c r="AH24" s="18" t="str">
        <f>""</f>
        <v/>
      </c>
      <c r="AI24" s="18" t="str">
        <f>""</f>
        <v/>
      </c>
      <c r="AJ24" s="18" t="str">
        <f>""</f>
        <v/>
      </c>
      <c r="AK24" s="18" t="str">
        <f>""</f>
        <v/>
      </c>
      <c r="AL24" s="18" t="str">
        <f>""</f>
        <v/>
      </c>
      <c r="AM24" s="18" t="str">
        <f>""</f>
        <v/>
      </c>
    </row>
    <row r="25" spans="1:39" ht="15.75" customHeight="1" x14ac:dyDescent="0.25">
      <c r="A25" s="19" t="str">
        <f>IF('Step 1 - Budget Manager'!B22="","","Active")</f>
        <v/>
      </c>
      <c r="B25" s="20" t="str">
        <f>IF('Step 1 - Budget Manager'!B22="","",'Step 1 - Budget Manager'!B22)</f>
        <v/>
      </c>
      <c r="C25" s="20" t="str">
        <f>IF('Step 1 - Budget Manager'!B22="","",'Step 1 - Budget Manager'!B22)</f>
        <v/>
      </c>
      <c r="D25" s="19" t="str">
        <f>IF('Step 1 - Budget Manager'!B22="","",'Step 1 - Budget Manager'!F22)</f>
        <v/>
      </c>
      <c r="E25" s="19" t="str">
        <f>IF('Step 1 - Budget Manager'!B22="","",'Step 1 - Budget Manager'!G22)</f>
        <v/>
      </c>
      <c r="F25" s="20" t="str">
        <f>IF('Step 1 - Budget Manager'!B22="","",IF('Step 1 - Budget Manager'!C22="","","Fund Code"))</f>
        <v/>
      </c>
      <c r="G25" s="19" t="str">
        <f>IF('Step 1 - Budget Manager'!B22="","",IF('Step 1 - Budget Manager'!C22="","","Equals"))</f>
        <v/>
      </c>
      <c r="H25" s="20" t="str">
        <f>IF('Step 1 - Budget Manager'!B22="","",IF('Step 1 - Budget Manager'!C22="","",'Step 1 - Budget Manager'!C22))</f>
        <v/>
      </c>
      <c r="I25" s="20" t="str">
        <f>IF('Step 1 - Budget Manager'!B22="","","Organization Code")</f>
        <v/>
      </c>
      <c r="J25" s="19" t="str">
        <f>IF('Step 1 - Budget Manager'!B22="","","Equals")</f>
        <v/>
      </c>
      <c r="K25" s="20" t="str">
        <f>IF('Step 1 - Budget Manager'!B22="","",'Step 1 - Budget Manager'!D22)</f>
        <v/>
      </c>
      <c r="L25" s="20" t="str">
        <f>IF('Step 1 - Budget Manager'!B22="","","Other Criteria")</f>
        <v/>
      </c>
      <c r="M25" s="19" t="str">
        <f>IF('Step 1 - Budget Manager'!B22="","","Equals")</f>
        <v/>
      </c>
      <c r="N25" s="20" t="str">
        <f>IF('Step 1 - Budget Manager'!B22="","",'Step 1 - Budget Manager'!E22)</f>
        <v/>
      </c>
      <c r="O25" s="20" t="str">
        <f>""</f>
        <v/>
      </c>
      <c r="P25" s="20" t="str">
        <f>""</f>
        <v/>
      </c>
      <c r="Q25" s="20" t="str">
        <f>""</f>
        <v/>
      </c>
      <c r="R25" s="20" t="str">
        <f>""</f>
        <v/>
      </c>
      <c r="S25" s="20" t="str">
        <f>""</f>
        <v/>
      </c>
      <c r="T25" s="20" t="str">
        <f>""</f>
        <v/>
      </c>
      <c r="U25" s="20" t="str">
        <f>IF('Step 1 - Budget Manager'!B22="","",'Step 1 - Budget Manager'!H22)</f>
        <v/>
      </c>
      <c r="V25" s="19" t="str">
        <f>IF('Step 1 - Budget Manager'!B22="","",'Step 1 - Budget Manager'!J22)</f>
        <v/>
      </c>
      <c r="W25" s="20" t="str">
        <f>IF('Step 1 - Budget Manager'!B22="","",'Step 1 - Budget Manager'!K22)</f>
        <v/>
      </c>
      <c r="X25" s="19" t="str">
        <f>IF('Step 1 - Budget Manager'!B22="","",'Step 1 - Budget Manager'!M22)</f>
        <v/>
      </c>
      <c r="Y25" s="20" t="str">
        <f>IF('Step 1 - Budget Manager'!B22="","",'Step 1 - Budget Manager'!N22)</f>
        <v/>
      </c>
      <c r="Z25" s="20" t="str">
        <f>""</f>
        <v/>
      </c>
      <c r="AA25" s="20" t="str">
        <f>""</f>
        <v/>
      </c>
      <c r="AB25" s="20" t="str">
        <f>""</f>
        <v/>
      </c>
      <c r="AC25" s="20" t="str">
        <f>""</f>
        <v/>
      </c>
      <c r="AD25" s="20" t="str">
        <f>""</f>
        <v/>
      </c>
      <c r="AE25" s="20" t="str">
        <f>""</f>
        <v/>
      </c>
      <c r="AF25" s="20" t="str">
        <f>""</f>
        <v/>
      </c>
      <c r="AG25" s="20" t="str">
        <f>""</f>
        <v/>
      </c>
      <c r="AH25" s="20" t="str">
        <f>""</f>
        <v/>
      </c>
      <c r="AI25" s="20" t="str">
        <f>""</f>
        <v/>
      </c>
      <c r="AJ25" s="20" t="str">
        <f>""</f>
        <v/>
      </c>
      <c r="AK25" s="20" t="str">
        <f>""</f>
        <v/>
      </c>
      <c r="AL25" s="20" t="str">
        <f>""</f>
        <v/>
      </c>
      <c r="AM25" s="20" t="str">
        <f>""</f>
        <v/>
      </c>
    </row>
    <row r="26" spans="1:39" ht="15.75" customHeight="1" x14ac:dyDescent="0.25">
      <c r="A26" s="17" t="str">
        <f>IF('Step 1 - Budget Manager'!B23="","","Active")</f>
        <v/>
      </c>
      <c r="B26" s="18" t="str">
        <f>IF('Step 1 - Budget Manager'!B23="","",'Step 1 - Budget Manager'!B23)</f>
        <v/>
      </c>
      <c r="C26" s="18" t="str">
        <f>IF('Step 1 - Budget Manager'!B23="","",'Step 1 - Budget Manager'!B23)</f>
        <v/>
      </c>
      <c r="D26" s="17" t="str">
        <f>IF('Step 1 - Budget Manager'!B23="","",'Step 1 - Budget Manager'!F23)</f>
        <v/>
      </c>
      <c r="E26" s="17" t="str">
        <f>IF('Step 1 - Budget Manager'!B23="","",'Step 1 - Budget Manager'!G23)</f>
        <v/>
      </c>
      <c r="F26" s="18" t="str">
        <f>IF('Step 1 - Budget Manager'!B23="","",IF('Step 1 - Budget Manager'!C23="","","Fund Code"))</f>
        <v/>
      </c>
      <c r="G26" s="17" t="str">
        <f>IF('Step 1 - Budget Manager'!B23="","",IF('Step 1 - Budget Manager'!C23="","","Equals"))</f>
        <v/>
      </c>
      <c r="H26" s="18" t="str">
        <f>IF('Step 1 - Budget Manager'!B23="","",IF('Step 1 - Budget Manager'!C23="","",'Step 1 - Budget Manager'!C23))</f>
        <v/>
      </c>
      <c r="I26" s="18" t="str">
        <f>IF('Step 1 - Budget Manager'!B23="","","Organization Code")</f>
        <v/>
      </c>
      <c r="J26" s="17" t="str">
        <f>IF('Step 1 - Budget Manager'!B23="","","Equals")</f>
        <v/>
      </c>
      <c r="K26" s="18" t="str">
        <f>IF('Step 1 - Budget Manager'!B23="","",'Step 1 - Budget Manager'!D23)</f>
        <v/>
      </c>
      <c r="L26" s="18" t="str">
        <f>IF('Step 1 - Budget Manager'!B23="","","Other Criteria")</f>
        <v/>
      </c>
      <c r="M26" s="17" t="str">
        <f>IF('Step 1 - Budget Manager'!B23="","","Equals")</f>
        <v/>
      </c>
      <c r="N26" s="18" t="str">
        <f>IF('Step 1 - Budget Manager'!B23="","",'Step 1 - Budget Manager'!E23)</f>
        <v/>
      </c>
      <c r="O26" s="18" t="str">
        <f>""</f>
        <v/>
      </c>
      <c r="P26" s="18" t="str">
        <f>""</f>
        <v/>
      </c>
      <c r="Q26" s="18" t="str">
        <f>""</f>
        <v/>
      </c>
      <c r="R26" s="18" t="str">
        <f>""</f>
        <v/>
      </c>
      <c r="S26" s="18" t="str">
        <f>""</f>
        <v/>
      </c>
      <c r="T26" s="18" t="str">
        <f>""</f>
        <v/>
      </c>
      <c r="U26" s="18" t="str">
        <f>IF('Step 1 - Budget Manager'!B23="","",'Step 1 - Budget Manager'!H23)</f>
        <v/>
      </c>
      <c r="V26" s="17" t="str">
        <f>IF('Step 1 - Budget Manager'!B23="","",'Step 1 - Budget Manager'!J23)</f>
        <v/>
      </c>
      <c r="W26" s="18" t="str">
        <f>IF('Step 1 - Budget Manager'!B23="","",'Step 1 - Budget Manager'!K23)</f>
        <v/>
      </c>
      <c r="X26" s="17" t="str">
        <f>IF('Step 1 - Budget Manager'!B23="","",'Step 1 - Budget Manager'!M23)</f>
        <v/>
      </c>
      <c r="Y26" s="18" t="str">
        <f>IF('Step 1 - Budget Manager'!B23="","",'Step 1 - Budget Manager'!N23)</f>
        <v/>
      </c>
      <c r="Z26" s="18" t="str">
        <f>""</f>
        <v/>
      </c>
      <c r="AA26" s="18" t="str">
        <f>""</f>
        <v/>
      </c>
      <c r="AB26" s="18" t="str">
        <f>""</f>
        <v/>
      </c>
      <c r="AC26" s="18" t="str">
        <f>""</f>
        <v/>
      </c>
      <c r="AD26" s="18" t="str">
        <f>""</f>
        <v/>
      </c>
      <c r="AE26" s="18" t="str">
        <f>""</f>
        <v/>
      </c>
      <c r="AF26" s="18" t="str">
        <f>""</f>
        <v/>
      </c>
      <c r="AG26" s="18" t="str">
        <f>""</f>
        <v/>
      </c>
      <c r="AH26" s="18" t="str">
        <f>""</f>
        <v/>
      </c>
      <c r="AI26" s="18" t="str">
        <f>""</f>
        <v/>
      </c>
      <c r="AJ26" s="18" t="str">
        <f>""</f>
        <v/>
      </c>
      <c r="AK26" s="18" t="str">
        <f>""</f>
        <v/>
      </c>
      <c r="AL26" s="18" t="str">
        <f>""</f>
        <v/>
      </c>
      <c r="AM26" s="18" t="str">
        <f>""</f>
        <v/>
      </c>
    </row>
    <row r="27" spans="1:39" ht="15.75" customHeight="1" x14ac:dyDescent="0.25">
      <c r="A27" s="19" t="str">
        <f>IF('Step 1 - Budget Manager'!B24="","","Active")</f>
        <v/>
      </c>
      <c r="B27" s="20" t="str">
        <f>IF('Step 1 - Budget Manager'!B24="","",'Step 1 - Budget Manager'!B24)</f>
        <v/>
      </c>
      <c r="C27" s="20" t="str">
        <f>IF('Step 1 - Budget Manager'!B24="","",'Step 1 - Budget Manager'!B24)</f>
        <v/>
      </c>
      <c r="D27" s="19" t="str">
        <f>IF('Step 1 - Budget Manager'!B24="","",'Step 1 - Budget Manager'!F24)</f>
        <v/>
      </c>
      <c r="E27" s="19" t="str">
        <f>IF('Step 1 - Budget Manager'!B24="","",'Step 1 - Budget Manager'!G24)</f>
        <v/>
      </c>
      <c r="F27" s="20" t="str">
        <f>IF('Step 1 - Budget Manager'!B24="","",IF('Step 1 - Budget Manager'!C24="","","Fund Code"))</f>
        <v/>
      </c>
      <c r="G27" s="19" t="str">
        <f>IF('Step 1 - Budget Manager'!B24="","",IF('Step 1 - Budget Manager'!C24="","","Equals"))</f>
        <v/>
      </c>
      <c r="H27" s="20" t="str">
        <f>IF('Step 1 - Budget Manager'!B24="","",IF('Step 1 - Budget Manager'!C24="","",'Step 1 - Budget Manager'!C24))</f>
        <v/>
      </c>
      <c r="I27" s="20" t="str">
        <f>IF('Step 1 - Budget Manager'!B24="","","Organization Code")</f>
        <v/>
      </c>
      <c r="J27" s="19" t="str">
        <f>IF('Step 1 - Budget Manager'!B24="","","Equals")</f>
        <v/>
      </c>
      <c r="K27" s="20" t="str">
        <f>IF('Step 1 - Budget Manager'!B24="","",'Step 1 - Budget Manager'!D24)</f>
        <v/>
      </c>
      <c r="L27" s="20" t="str">
        <f>IF('Step 1 - Budget Manager'!B24="","","Other Criteria")</f>
        <v/>
      </c>
      <c r="M27" s="19" t="str">
        <f>IF('Step 1 - Budget Manager'!B24="","","Equals")</f>
        <v/>
      </c>
      <c r="N27" s="20" t="str">
        <f>IF('Step 1 - Budget Manager'!B24="","",'Step 1 - Budget Manager'!E24)</f>
        <v/>
      </c>
      <c r="O27" s="20" t="str">
        <f>""</f>
        <v/>
      </c>
      <c r="P27" s="20" t="str">
        <f>""</f>
        <v/>
      </c>
      <c r="Q27" s="20" t="str">
        <f>""</f>
        <v/>
      </c>
      <c r="R27" s="20" t="str">
        <f>""</f>
        <v/>
      </c>
      <c r="S27" s="20" t="str">
        <f>""</f>
        <v/>
      </c>
      <c r="T27" s="20" t="str">
        <f>""</f>
        <v/>
      </c>
      <c r="U27" s="20" t="str">
        <f>IF('Step 1 - Budget Manager'!B24="","",'Step 1 - Budget Manager'!H24)</f>
        <v/>
      </c>
      <c r="V27" s="19" t="str">
        <f>IF('Step 1 - Budget Manager'!B24="","",'Step 1 - Budget Manager'!J24)</f>
        <v/>
      </c>
      <c r="W27" s="20" t="str">
        <f>IF('Step 1 - Budget Manager'!B24="","",'Step 1 - Budget Manager'!K24)</f>
        <v/>
      </c>
      <c r="X27" s="19" t="str">
        <f>IF('Step 1 - Budget Manager'!B24="","",'Step 1 - Budget Manager'!M24)</f>
        <v/>
      </c>
      <c r="Y27" s="20" t="str">
        <f>IF('Step 1 - Budget Manager'!B24="","",'Step 1 - Budget Manager'!N24)</f>
        <v/>
      </c>
      <c r="Z27" s="20" t="str">
        <f>""</f>
        <v/>
      </c>
      <c r="AA27" s="20" t="str">
        <f>""</f>
        <v/>
      </c>
      <c r="AB27" s="20" t="str">
        <f>""</f>
        <v/>
      </c>
      <c r="AC27" s="20" t="str">
        <f>""</f>
        <v/>
      </c>
      <c r="AD27" s="20" t="str">
        <f>""</f>
        <v/>
      </c>
      <c r="AE27" s="20" t="str">
        <f>""</f>
        <v/>
      </c>
      <c r="AF27" s="20" t="str">
        <f>""</f>
        <v/>
      </c>
      <c r="AG27" s="20" t="str">
        <f>""</f>
        <v/>
      </c>
      <c r="AH27" s="20" t="str">
        <f>""</f>
        <v/>
      </c>
      <c r="AI27" s="20" t="str">
        <f>""</f>
        <v/>
      </c>
      <c r="AJ27" s="20" t="str">
        <f>""</f>
        <v/>
      </c>
      <c r="AK27" s="20" t="str">
        <f>""</f>
        <v/>
      </c>
      <c r="AL27" s="20" t="str">
        <f>""</f>
        <v/>
      </c>
      <c r="AM27" s="20" t="str">
        <f>""</f>
        <v/>
      </c>
    </row>
    <row r="28" spans="1:39" ht="15.75" customHeight="1" x14ac:dyDescent="0.25">
      <c r="A28" s="17" t="str">
        <f>IF('Step 1 - Budget Manager'!B25="","","Active")</f>
        <v/>
      </c>
      <c r="B28" s="18" t="str">
        <f>IF('Step 1 - Budget Manager'!B25="","",'Step 1 - Budget Manager'!B25)</f>
        <v/>
      </c>
      <c r="C28" s="18" t="str">
        <f>IF('Step 1 - Budget Manager'!B25="","",'Step 1 - Budget Manager'!B25)</f>
        <v/>
      </c>
      <c r="D28" s="17" t="str">
        <f>IF('Step 1 - Budget Manager'!B25="","",'Step 1 - Budget Manager'!F25)</f>
        <v/>
      </c>
      <c r="E28" s="17" t="str">
        <f>IF('Step 1 - Budget Manager'!B25="","",'Step 1 - Budget Manager'!G25)</f>
        <v/>
      </c>
      <c r="F28" s="18" t="str">
        <f>IF('Step 1 - Budget Manager'!B25="","",IF('Step 1 - Budget Manager'!C25="","","Fund Code"))</f>
        <v/>
      </c>
      <c r="G28" s="17" t="str">
        <f>IF('Step 1 - Budget Manager'!B25="","",IF('Step 1 - Budget Manager'!C25="","","Equals"))</f>
        <v/>
      </c>
      <c r="H28" s="18" t="str">
        <f>IF('Step 1 - Budget Manager'!B25="","",IF('Step 1 - Budget Manager'!C25="","",'Step 1 - Budget Manager'!C25))</f>
        <v/>
      </c>
      <c r="I28" s="18" t="str">
        <f>IF('Step 1 - Budget Manager'!B25="","","Organization Code")</f>
        <v/>
      </c>
      <c r="J28" s="17" t="str">
        <f>IF('Step 1 - Budget Manager'!B25="","","Equals")</f>
        <v/>
      </c>
      <c r="K28" s="18" t="str">
        <f>IF('Step 1 - Budget Manager'!B25="","",'Step 1 - Budget Manager'!D25)</f>
        <v/>
      </c>
      <c r="L28" s="18" t="str">
        <f>IF('Step 1 - Budget Manager'!B25="","","Other Criteria")</f>
        <v/>
      </c>
      <c r="M28" s="17" t="str">
        <f>IF('Step 1 - Budget Manager'!B25="","","Equals")</f>
        <v/>
      </c>
      <c r="N28" s="18" t="str">
        <f>IF('Step 1 - Budget Manager'!B25="","",'Step 1 - Budget Manager'!E25)</f>
        <v/>
      </c>
      <c r="O28" s="18" t="str">
        <f>""</f>
        <v/>
      </c>
      <c r="P28" s="18" t="str">
        <f>""</f>
        <v/>
      </c>
      <c r="Q28" s="18" t="str">
        <f>""</f>
        <v/>
      </c>
      <c r="R28" s="18" t="str">
        <f>""</f>
        <v/>
      </c>
      <c r="S28" s="18" t="str">
        <f>""</f>
        <v/>
      </c>
      <c r="T28" s="18" t="str">
        <f>""</f>
        <v/>
      </c>
      <c r="U28" s="18" t="str">
        <f>IF('Step 1 - Budget Manager'!B25="","",'Step 1 - Budget Manager'!H25)</f>
        <v/>
      </c>
      <c r="V28" s="17" t="str">
        <f>IF('Step 1 - Budget Manager'!B25="","",'Step 1 - Budget Manager'!J25)</f>
        <v/>
      </c>
      <c r="W28" s="18" t="str">
        <f>IF('Step 1 - Budget Manager'!B25="","",'Step 1 - Budget Manager'!K25)</f>
        <v/>
      </c>
      <c r="X28" s="17" t="str">
        <f>IF('Step 1 - Budget Manager'!B25="","",'Step 1 - Budget Manager'!M25)</f>
        <v/>
      </c>
      <c r="Y28" s="18" t="str">
        <f>IF('Step 1 - Budget Manager'!B25="","",'Step 1 - Budget Manager'!N25)</f>
        <v/>
      </c>
      <c r="Z28" s="18" t="str">
        <f>""</f>
        <v/>
      </c>
      <c r="AA28" s="18" t="str">
        <f>""</f>
        <v/>
      </c>
      <c r="AB28" s="18" t="str">
        <f>""</f>
        <v/>
      </c>
      <c r="AC28" s="18" t="str">
        <f>""</f>
        <v/>
      </c>
      <c r="AD28" s="18" t="str">
        <f>""</f>
        <v/>
      </c>
      <c r="AE28" s="18" t="str">
        <f>""</f>
        <v/>
      </c>
      <c r="AF28" s="18" t="str">
        <f>""</f>
        <v/>
      </c>
      <c r="AG28" s="18" t="str">
        <f>""</f>
        <v/>
      </c>
      <c r="AH28" s="18" t="str">
        <f>""</f>
        <v/>
      </c>
      <c r="AI28" s="18" t="str">
        <f>""</f>
        <v/>
      </c>
      <c r="AJ28" s="18" t="str">
        <f>""</f>
        <v/>
      </c>
      <c r="AK28" s="18" t="str">
        <f>""</f>
        <v/>
      </c>
      <c r="AL28" s="18" t="str">
        <f>""</f>
        <v/>
      </c>
      <c r="AM28" s="18" t="str">
        <f>""</f>
        <v/>
      </c>
    </row>
    <row r="29" spans="1:39" ht="15.75" customHeight="1" x14ac:dyDescent="0.25">
      <c r="A29" s="19" t="str">
        <f>IF('Step 1 - Budget Manager'!B26="","","Active")</f>
        <v/>
      </c>
      <c r="B29" s="20" t="str">
        <f>IF('Step 1 - Budget Manager'!B26="","",'Step 1 - Budget Manager'!B26)</f>
        <v/>
      </c>
      <c r="C29" s="20" t="str">
        <f>IF('Step 1 - Budget Manager'!B26="","",'Step 1 - Budget Manager'!B26)</f>
        <v/>
      </c>
      <c r="D29" s="19" t="str">
        <f>IF('Step 1 - Budget Manager'!B26="","",'Step 1 - Budget Manager'!F26)</f>
        <v/>
      </c>
      <c r="E29" s="19" t="str">
        <f>IF('Step 1 - Budget Manager'!B26="","",'Step 1 - Budget Manager'!G26)</f>
        <v/>
      </c>
      <c r="F29" s="20" t="str">
        <f>IF('Step 1 - Budget Manager'!B26="","",IF('Step 1 - Budget Manager'!C26="","","Fund Code"))</f>
        <v/>
      </c>
      <c r="G29" s="19" t="str">
        <f>IF('Step 1 - Budget Manager'!B26="","",IF('Step 1 - Budget Manager'!C26="","","Equals"))</f>
        <v/>
      </c>
      <c r="H29" s="20" t="str">
        <f>IF('Step 1 - Budget Manager'!B26="","",IF('Step 1 - Budget Manager'!C26="","",'Step 1 - Budget Manager'!C26))</f>
        <v/>
      </c>
      <c r="I29" s="20" t="str">
        <f>IF('Step 1 - Budget Manager'!B26="","","Organization Code")</f>
        <v/>
      </c>
      <c r="J29" s="19" t="str">
        <f>IF('Step 1 - Budget Manager'!B26="","","Equals")</f>
        <v/>
      </c>
      <c r="K29" s="20" t="str">
        <f>IF('Step 1 - Budget Manager'!B26="","",'Step 1 - Budget Manager'!D26)</f>
        <v/>
      </c>
      <c r="L29" s="20" t="str">
        <f>IF('Step 1 - Budget Manager'!B26="","","Other Criteria")</f>
        <v/>
      </c>
      <c r="M29" s="19" t="str">
        <f>IF('Step 1 - Budget Manager'!B26="","","Equals")</f>
        <v/>
      </c>
      <c r="N29" s="20" t="str">
        <f>IF('Step 1 - Budget Manager'!B26="","",'Step 1 - Budget Manager'!E26)</f>
        <v/>
      </c>
      <c r="O29" s="20" t="str">
        <f>""</f>
        <v/>
      </c>
      <c r="P29" s="20" t="str">
        <f>""</f>
        <v/>
      </c>
      <c r="Q29" s="20" t="str">
        <f>""</f>
        <v/>
      </c>
      <c r="R29" s="20" t="str">
        <f>""</f>
        <v/>
      </c>
      <c r="S29" s="20" t="str">
        <f>""</f>
        <v/>
      </c>
      <c r="T29" s="20" t="str">
        <f>""</f>
        <v/>
      </c>
      <c r="U29" s="20" t="str">
        <f>IF('Step 1 - Budget Manager'!B26="","",'Step 1 - Budget Manager'!H26)</f>
        <v/>
      </c>
      <c r="V29" s="19" t="str">
        <f>IF('Step 1 - Budget Manager'!B26="","",'Step 1 - Budget Manager'!J26)</f>
        <v/>
      </c>
      <c r="W29" s="20" t="str">
        <f>IF('Step 1 - Budget Manager'!B26="","",'Step 1 - Budget Manager'!K26)</f>
        <v/>
      </c>
      <c r="X29" s="19" t="str">
        <f>IF('Step 1 - Budget Manager'!B26="","",'Step 1 - Budget Manager'!M26)</f>
        <v/>
      </c>
      <c r="Y29" s="20" t="str">
        <f>IF('Step 1 - Budget Manager'!B26="","",'Step 1 - Budget Manager'!N26)</f>
        <v/>
      </c>
      <c r="Z29" s="20" t="str">
        <f>""</f>
        <v/>
      </c>
      <c r="AA29" s="20" t="str">
        <f>""</f>
        <v/>
      </c>
      <c r="AB29" s="20" t="str">
        <f>""</f>
        <v/>
      </c>
      <c r="AC29" s="20" t="str">
        <f>""</f>
        <v/>
      </c>
      <c r="AD29" s="20" t="str">
        <f>""</f>
        <v/>
      </c>
      <c r="AE29" s="20" t="str">
        <f>""</f>
        <v/>
      </c>
      <c r="AF29" s="20" t="str">
        <f>""</f>
        <v/>
      </c>
      <c r="AG29" s="20" t="str">
        <f>""</f>
        <v/>
      </c>
      <c r="AH29" s="20" t="str">
        <f>""</f>
        <v/>
      </c>
      <c r="AI29" s="20" t="str">
        <f>""</f>
        <v/>
      </c>
      <c r="AJ29" s="20" t="str">
        <f>""</f>
        <v/>
      </c>
      <c r="AK29" s="20" t="str">
        <f>""</f>
        <v/>
      </c>
      <c r="AL29" s="20" t="str">
        <f>""</f>
        <v/>
      </c>
      <c r="AM29" s="20" t="str">
        <f>""</f>
        <v/>
      </c>
    </row>
    <row r="30" spans="1:39" ht="15.75" customHeight="1" x14ac:dyDescent="0.25">
      <c r="A30" s="17" t="str">
        <f>IF('Step 1 - Budget Manager'!B27="","","Active")</f>
        <v/>
      </c>
      <c r="B30" s="18" t="str">
        <f>IF('Step 1 - Budget Manager'!B27="","",'Step 1 - Budget Manager'!B27)</f>
        <v/>
      </c>
      <c r="C30" s="18" t="str">
        <f>IF('Step 1 - Budget Manager'!B27="","",'Step 1 - Budget Manager'!B27)</f>
        <v/>
      </c>
      <c r="D30" s="17" t="str">
        <f>IF('Step 1 - Budget Manager'!B27="","",'Step 1 - Budget Manager'!F27)</f>
        <v/>
      </c>
      <c r="E30" s="17" t="str">
        <f>IF('Step 1 - Budget Manager'!B27="","",'Step 1 - Budget Manager'!G27)</f>
        <v/>
      </c>
      <c r="F30" s="18" t="str">
        <f>IF('Step 1 - Budget Manager'!B27="","",IF('Step 1 - Budget Manager'!C27="","","Fund Code"))</f>
        <v/>
      </c>
      <c r="G30" s="17" t="str">
        <f>IF('Step 1 - Budget Manager'!B27="","",IF('Step 1 - Budget Manager'!C27="","","Equals"))</f>
        <v/>
      </c>
      <c r="H30" s="18" t="str">
        <f>IF('Step 1 - Budget Manager'!B27="","",IF('Step 1 - Budget Manager'!C27="","",'Step 1 - Budget Manager'!C27))</f>
        <v/>
      </c>
      <c r="I30" s="18" t="str">
        <f>IF('Step 1 - Budget Manager'!B27="","","Organization Code")</f>
        <v/>
      </c>
      <c r="J30" s="17" t="str">
        <f>IF('Step 1 - Budget Manager'!B27="","","Equals")</f>
        <v/>
      </c>
      <c r="K30" s="18" t="str">
        <f>IF('Step 1 - Budget Manager'!B27="","",'Step 1 - Budget Manager'!D27)</f>
        <v/>
      </c>
      <c r="L30" s="18" t="str">
        <f>IF('Step 1 - Budget Manager'!B27="","","Other Criteria")</f>
        <v/>
      </c>
      <c r="M30" s="17" t="str">
        <f>IF('Step 1 - Budget Manager'!B27="","","Equals")</f>
        <v/>
      </c>
      <c r="N30" s="18" t="str">
        <f>IF('Step 1 - Budget Manager'!B27="","",'Step 1 - Budget Manager'!E27)</f>
        <v/>
      </c>
      <c r="O30" s="18" t="str">
        <f>""</f>
        <v/>
      </c>
      <c r="P30" s="18" t="str">
        <f>""</f>
        <v/>
      </c>
      <c r="Q30" s="18" t="str">
        <f>""</f>
        <v/>
      </c>
      <c r="R30" s="18" t="str">
        <f>""</f>
        <v/>
      </c>
      <c r="S30" s="18" t="str">
        <f>""</f>
        <v/>
      </c>
      <c r="T30" s="18" t="str">
        <f>""</f>
        <v/>
      </c>
      <c r="U30" s="18" t="str">
        <f>IF('Step 1 - Budget Manager'!B27="","",'Step 1 - Budget Manager'!H27)</f>
        <v/>
      </c>
      <c r="V30" s="17" t="str">
        <f>IF('Step 1 - Budget Manager'!B27="","",'Step 1 - Budget Manager'!J27)</f>
        <v/>
      </c>
      <c r="W30" s="18" t="str">
        <f>IF('Step 1 - Budget Manager'!B27="","",'Step 1 - Budget Manager'!K27)</f>
        <v/>
      </c>
      <c r="X30" s="17" t="str">
        <f>IF('Step 1 - Budget Manager'!B27="","",'Step 1 - Budget Manager'!M27)</f>
        <v/>
      </c>
      <c r="Y30" s="18" t="str">
        <f>IF('Step 1 - Budget Manager'!B27="","",'Step 1 - Budget Manager'!N27)</f>
        <v/>
      </c>
      <c r="Z30" s="18" t="str">
        <f>""</f>
        <v/>
      </c>
      <c r="AA30" s="18" t="str">
        <f>""</f>
        <v/>
      </c>
      <c r="AB30" s="18" t="str">
        <f>""</f>
        <v/>
      </c>
      <c r="AC30" s="18" t="str">
        <f>""</f>
        <v/>
      </c>
      <c r="AD30" s="18" t="str">
        <f>""</f>
        <v/>
      </c>
      <c r="AE30" s="18" t="str">
        <f>""</f>
        <v/>
      </c>
      <c r="AF30" s="18" t="str">
        <f>""</f>
        <v/>
      </c>
      <c r="AG30" s="18" t="str">
        <f>""</f>
        <v/>
      </c>
      <c r="AH30" s="18" t="str">
        <f>""</f>
        <v/>
      </c>
      <c r="AI30" s="18" t="str">
        <f>""</f>
        <v/>
      </c>
      <c r="AJ30" s="18" t="str">
        <f>""</f>
        <v/>
      </c>
      <c r="AK30" s="18" t="str">
        <f>""</f>
        <v/>
      </c>
      <c r="AL30" s="18" t="str">
        <f>""</f>
        <v/>
      </c>
      <c r="AM30" s="18" t="str">
        <f>""</f>
        <v/>
      </c>
    </row>
    <row r="31" spans="1:39" ht="15.75" customHeight="1" x14ac:dyDescent="0.25">
      <c r="A31" s="19" t="str">
        <f>IF('Step 1 - Budget Manager'!B28="","","Active")</f>
        <v/>
      </c>
      <c r="B31" s="20" t="str">
        <f>IF('Step 1 - Budget Manager'!B28="","",'Step 1 - Budget Manager'!B28)</f>
        <v/>
      </c>
      <c r="C31" s="20" t="str">
        <f>IF('Step 1 - Budget Manager'!B28="","",'Step 1 - Budget Manager'!B28)</f>
        <v/>
      </c>
      <c r="D31" s="19" t="str">
        <f>IF('Step 1 - Budget Manager'!B28="","",'Step 1 - Budget Manager'!F28)</f>
        <v/>
      </c>
      <c r="E31" s="19" t="str">
        <f>IF('Step 1 - Budget Manager'!B28="","",'Step 1 - Budget Manager'!G28)</f>
        <v/>
      </c>
      <c r="F31" s="20" t="str">
        <f>IF('Step 1 - Budget Manager'!B28="","",IF('Step 1 - Budget Manager'!C28="","","Fund Code"))</f>
        <v/>
      </c>
      <c r="G31" s="19" t="str">
        <f>IF('Step 1 - Budget Manager'!B28="","",IF('Step 1 - Budget Manager'!C28="","","Equals"))</f>
        <v/>
      </c>
      <c r="H31" s="20" t="str">
        <f>IF('Step 1 - Budget Manager'!B28="","",IF('Step 1 - Budget Manager'!C28="","",'Step 1 - Budget Manager'!C28))</f>
        <v/>
      </c>
      <c r="I31" s="20" t="str">
        <f>IF('Step 1 - Budget Manager'!B28="","","Organization Code")</f>
        <v/>
      </c>
      <c r="J31" s="19" t="str">
        <f>IF('Step 1 - Budget Manager'!B28="","","Equals")</f>
        <v/>
      </c>
      <c r="K31" s="20" t="str">
        <f>IF('Step 1 - Budget Manager'!B28="","",'Step 1 - Budget Manager'!D28)</f>
        <v/>
      </c>
      <c r="L31" s="20" t="str">
        <f>IF('Step 1 - Budget Manager'!B28="","","Other Criteria")</f>
        <v/>
      </c>
      <c r="M31" s="19" t="str">
        <f>IF('Step 1 - Budget Manager'!B28="","","Equals")</f>
        <v/>
      </c>
      <c r="N31" s="20" t="str">
        <f>IF('Step 1 - Budget Manager'!B28="","",'Step 1 - Budget Manager'!E28)</f>
        <v/>
      </c>
      <c r="O31" s="20" t="str">
        <f>""</f>
        <v/>
      </c>
      <c r="P31" s="20" t="str">
        <f>""</f>
        <v/>
      </c>
      <c r="Q31" s="20" t="str">
        <f>""</f>
        <v/>
      </c>
      <c r="R31" s="20" t="str">
        <f>""</f>
        <v/>
      </c>
      <c r="S31" s="20" t="str">
        <f>""</f>
        <v/>
      </c>
      <c r="T31" s="20" t="str">
        <f>""</f>
        <v/>
      </c>
      <c r="U31" s="20" t="str">
        <f>IF('Step 1 - Budget Manager'!B28="","",'Step 1 - Budget Manager'!H28)</f>
        <v/>
      </c>
      <c r="V31" s="19" t="str">
        <f>IF('Step 1 - Budget Manager'!B28="","",'Step 1 - Budget Manager'!J28)</f>
        <v/>
      </c>
      <c r="W31" s="20" t="str">
        <f>IF('Step 1 - Budget Manager'!B28="","",'Step 1 - Budget Manager'!K28)</f>
        <v/>
      </c>
      <c r="X31" s="19" t="str">
        <f>IF('Step 1 - Budget Manager'!B28="","",'Step 1 - Budget Manager'!M28)</f>
        <v/>
      </c>
      <c r="Y31" s="20" t="str">
        <f>IF('Step 1 - Budget Manager'!B28="","",'Step 1 - Budget Manager'!N28)</f>
        <v/>
      </c>
      <c r="Z31" s="20" t="str">
        <f>""</f>
        <v/>
      </c>
      <c r="AA31" s="20" t="str">
        <f>""</f>
        <v/>
      </c>
      <c r="AB31" s="20" t="str">
        <f>""</f>
        <v/>
      </c>
      <c r="AC31" s="20" t="str">
        <f>""</f>
        <v/>
      </c>
      <c r="AD31" s="20" t="str">
        <f>""</f>
        <v/>
      </c>
      <c r="AE31" s="20" t="str">
        <f>""</f>
        <v/>
      </c>
      <c r="AF31" s="20" t="str">
        <f>""</f>
        <v/>
      </c>
      <c r="AG31" s="20" t="str">
        <f>""</f>
        <v/>
      </c>
      <c r="AH31" s="20" t="str">
        <f>""</f>
        <v/>
      </c>
      <c r="AI31" s="20" t="str">
        <f>""</f>
        <v/>
      </c>
      <c r="AJ31" s="20" t="str">
        <f>""</f>
        <v/>
      </c>
      <c r="AK31" s="20" t="str">
        <f>""</f>
        <v/>
      </c>
      <c r="AL31" s="20" t="str">
        <f>""</f>
        <v/>
      </c>
      <c r="AM31" s="20" t="str">
        <f>""</f>
        <v/>
      </c>
    </row>
    <row r="32" spans="1:39" ht="15.75" customHeight="1" x14ac:dyDescent="0.25">
      <c r="A32" s="17" t="str">
        <f>IF('Step 1 - Budget Manager'!B29="","","Active")</f>
        <v/>
      </c>
      <c r="B32" s="18" t="str">
        <f>IF('Step 1 - Budget Manager'!B29="","",'Step 1 - Budget Manager'!B29)</f>
        <v/>
      </c>
      <c r="C32" s="18" t="str">
        <f>IF('Step 1 - Budget Manager'!B29="","",'Step 1 - Budget Manager'!B29)</f>
        <v/>
      </c>
      <c r="D32" s="17" t="str">
        <f>IF('Step 1 - Budget Manager'!B29="","",'Step 1 - Budget Manager'!F29)</f>
        <v/>
      </c>
      <c r="E32" s="17" t="str">
        <f>IF('Step 1 - Budget Manager'!B29="","",'Step 1 - Budget Manager'!G29)</f>
        <v/>
      </c>
      <c r="F32" s="18" t="str">
        <f>IF('Step 1 - Budget Manager'!B29="","",IF('Step 1 - Budget Manager'!C29="","","Fund Code"))</f>
        <v/>
      </c>
      <c r="G32" s="17" t="str">
        <f>IF('Step 1 - Budget Manager'!B29="","",IF('Step 1 - Budget Manager'!C29="","","Equals"))</f>
        <v/>
      </c>
      <c r="H32" s="18" t="str">
        <f>IF('Step 1 - Budget Manager'!B29="","",IF('Step 1 - Budget Manager'!C29="","",'Step 1 - Budget Manager'!C29))</f>
        <v/>
      </c>
      <c r="I32" s="18" t="str">
        <f>IF('Step 1 - Budget Manager'!B29="","","Organization Code")</f>
        <v/>
      </c>
      <c r="J32" s="17" t="str">
        <f>IF('Step 1 - Budget Manager'!B29="","","Equals")</f>
        <v/>
      </c>
      <c r="K32" s="18" t="str">
        <f>IF('Step 1 - Budget Manager'!B29="","",'Step 1 - Budget Manager'!D29)</f>
        <v/>
      </c>
      <c r="L32" s="18" t="str">
        <f>IF('Step 1 - Budget Manager'!B29="","","Other Criteria")</f>
        <v/>
      </c>
      <c r="M32" s="17" t="str">
        <f>IF('Step 1 - Budget Manager'!B29="","","Equals")</f>
        <v/>
      </c>
      <c r="N32" s="18" t="str">
        <f>IF('Step 1 - Budget Manager'!B29="","",'Step 1 - Budget Manager'!E29)</f>
        <v/>
      </c>
      <c r="O32" s="18" t="str">
        <f>""</f>
        <v/>
      </c>
      <c r="P32" s="18" t="str">
        <f>""</f>
        <v/>
      </c>
      <c r="Q32" s="18" t="str">
        <f>""</f>
        <v/>
      </c>
      <c r="R32" s="18" t="str">
        <f>""</f>
        <v/>
      </c>
      <c r="S32" s="18" t="str">
        <f>""</f>
        <v/>
      </c>
      <c r="T32" s="18" t="str">
        <f>""</f>
        <v/>
      </c>
      <c r="U32" s="18" t="str">
        <f>IF('Step 1 - Budget Manager'!B29="","",'Step 1 - Budget Manager'!H29)</f>
        <v/>
      </c>
      <c r="V32" s="17" t="str">
        <f>IF('Step 1 - Budget Manager'!B29="","",'Step 1 - Budget Manager'!J29)</f>
        <v/>
      </c>
      <c r="W32" s="18" t="str">
        <f>IF('Step 1 - Budget Manager'!B29="","",'Step 1 - Budget Manager'!K29)</f>
        <v/>
      </c>
      <c r="X32" s="17" t="str">
        <f>IF('Step 1 - Budget Manager'!B29="","",'Step 1 - Budget Manager'!M29)</f>
        <v/>
      </c>
      <c r="Y32" s="18" t="str">
        <f>IF('Step 1 - Budget Manager'!B29="","",'Step 1 - Budget Manager'!N29)</f>
        <v/>
      </c>
      <c r="Z32" s="18" t="str">
        <f>""</f>
        <v/>
      </c>
      <c r="AA32" s="18" t="str">
        <f>""</f>
        <v/>
      </c>
      <c r="AB32" s="18" t="str">
        <f>""</f>
        <v/>
      </c>
      <c r="AC32" s="18" t="str">
        <f>""</f>
        <v/>
      </c>
      <c r="AD32" s="18" t="str">
        <f>""</f>
        <v/>
      </c>
      <c r="AE32" s="18" t="str">
        <f>""</f>
        <v/>
      </c>
      <c r="AF32" s="18" t="str">
        <f>""</f>
        <v/>
      </c>
      <c r="AG32" s="18" t="str">
        <f>""</f>
        <v/>
      </c>
      <c r="AH32" s="18" t="str">
        <f>""</f>
        <v/>
      </c>
      <c r="AI32" s="18" t="str">
        <f>""</f>
        <v/>
      </c>
      <c r="AJ32" s="18" t="str">
        <f>""</f>
        <v/>
      </c>
      <c r="AK32" s="18" t="str">
        <f>""</f>
        <v/>
      </c>
      <c r="AL32" s="18" t="str">
        <f>""</f>
        <v/>
      </c>
      <c r="AM32" s="18" t="str">
        <f>""</f>
        <v/>
      </c>
    </row>
    <row r="33" spans="1:39" ht="15.75" customHeight="1" x14ac:dyDescent="0.25">
      <c r="A33" s="19" t="str">
        <f>IF('Step 1 - Budget Manager'!B30="","","Active")</f>
        <v/>
      </c>
      <c r="B33" s="20" t="str">
        <f>IF('Step 1 - Budget Manager'!B30="","",'Step 1 - Budget Manager'!B30)</f>
        <v/>
      </c>
      <c r="C33" s="20" t="str">
        <f>IF('Step 1 - Budget Manager'!B30="","",'Step 1 - Budget Manager'!B30)</f>
        <v/>
      </c>
      <c r="D33" s="19" t="str">
        <f>IF('Step 1 - Budget Manager'!B30="","",'Step 1 - Budget Manager'!F30)</f>
        <v/>
      </c>
      <c r="E33" s="19" t="str">
        <f>IF('Step 1 - Budget Manager'!B30="","",'Step 1 - Budget Manager'!G30)</f>
        <v/>
      </c>
      <c r="F33" s="20" t="str">
        <f>IF('Step 1 - Budget Manager'!B30="","",IF('Step 1 - Budget Manager'!C30="","","Fund Code"))</f>
        <v/>
      </c>
      <c r="G33" s="19" t="str">
        <f>IF('Step 1 - Budget Manager'!B30="","",IF('Step 1 - Budget Manager'!C30="","","Equals"))</f>
        <v/>
      </c>
      <c r="H33" s="20" t="str">
        <f>IF('Step 1 - Budget Manager'!B30="","",IF('Step 1 - Budget Manager'!C30="","",'Step 1 - Budget Manager'!C30))</f>
        <v/>
      </c>
      <c r="I33" s="20" t="str">
        <f>IF('Step 1 - Budget Manager'!B30="","","Organization Code")</f>
        <v/>
      </c>
      <c r="J33" s="19" t="str">
        <f>IF('Step 1 - Budget Manager'!B30="","","Equals")</f>
        <v/>
      </c>
      <c r="K33" s="20" t="str">
        <f>IF('Step 1 - Budget Manager'!B30="","",'Step 1 - Budget Manager'!D30)</f>
        <v/>
      </c>
      <c r="L33" s="20" t="str">
        <f>IF('Step 1 - Budget Manager'!B30="","","Other Criteria")</f>
        <v/>
      </c>
      <c r="M33" s="19" t="str">
        <f>IF('Step 1 - Budget Manager'!B30="","","Equals")</f>
        <v/>
      </c>
      <c r="N33" s="20" t="str">
        <f>IF('Step 1 - Budget Manager'!B30="","",'Step 1 - Budget Manager'!E30)</f>
        <v/>
      </c>
      <c r="O33" s="20" t="str">
        <f>""</f>
        <v/>
      </c>
      <c r="P33" s="20" t="str">
        <f>""</f>
        <v/>
      </c>
      <c r="Q33" s="20" t="str">
        <f>""</f>
        <v/>
      </c>
      <c r="R33" s="20" t="str">
        <f>""</f>
        <v/>
      </c>
      <c r="S33" s="20" t="str">
        <f>""</f>
        <v/>
      </c>
      <c r="T33" s="20" t="str">
        <f>""</f>
        <v/>
      </c>
      <c r="U33" s="20" t="str">
        <f>IF('Step 1 - Budget Manager'!B30="","",'Step 1 - Budget Manager'!H30)</f>
        <v/>
      </c>
      <c r="V33" s="19" t="str">
        <f>IF('Step 1 - Budget Manager'!B30="","",'Step 1 - Budget Manager'!J30)</f>
        <v/>
      </c>
      <c r="W33" s="20" t="str">
        <f>IF('Step 1 - Budget Manager'!B30="","",'Step 1 - Budget Manager'!K30)</f>
        <v/>
      </c>
      <c r="X33" s="19" t="str">
        <f>IF('Step 1 - Budget Manager'!B30="","",'Step 1 - Budget Manager'!M30)</f>
        <v/>
      </c>
      <c r="Y33" s="20" t="str">
        <f>IF('Step 1 - Budget Manager'!B30="","",'Step 1 - Budget Manager'!N30)</f>
        <v/>
      </c>
      <c r="Z33" s="20" t="str">
        <f>""</f>
        <v/>
      </c>
      <c r="AA33" s="20" t="str">
        <f>""</f>
        <v/>
      </c>
      <c r="AB33" s="20" t="str">
        <f>""</f>
        <v/>
      </c>
      <c r="AC33" s="20" t="str">
        <f>""</f>
        <v/>
      </c>
      <c r="AD33" s="20" t="str">
        <f>""</f>
        <v/>
      </c>
      <c r="AE33" s="20" t="str">
        <f>""</f>
        <v/>
      </c>
      <c r="AF33" s="20" t="str">
        <f>""</f>
        <v/>
      </c>
      <c r="AG33" s="20" t="str">
        <f>""</f>
        <v/>
      </c>
      <c r="AH33" s="20" t="str">
        <f>""</f>
        <v/>
      </c>
      <c r="AI33" s="20" t="str">
        <f>""</f>
        <v/>
      </c>
      <c r="AJ33" s="20" t="str">
        <f>""</f>
        <v/>
      </c>
      <c r="AK33" s="20" t="str">
        <f>""</f>
        <v/>
      </c>
      <c r="AL33" s="20" t="str">
        <f>""</f>
        <v/>
      </c>
      <c r="AM33" s="20" t="str">
        <f>""</f>
        <v/>
      </c>
    </row>
    <row r="34" spans="1:39" ht="15.75" customHeight="1" x14ac:dyDescent="0.25">
      <c r="A34" s="17" t="str">
        <f>IF('Step 1 - Budget Manager'!B31="","","Active")</f>
        <v/>
      </c>
      <c r="B34" s="18" t="str">
        <f>IF('Step 1 - Budget Manager'!B31="","",'Step 1 - Budget Manager'!B31)</f>
        <v/>
      </c>
      <c r="C34" s="18" t="str">
        <f>IF('Step 1 - Budget Manager'!B31="","",'Step 1 - Budget Manager'!B31)</f>
        <v/>
      </c>
      <c r="D34" s="17" t="str">
        <f>IF('Step 1 - Budget Manager'!B31="","",'Step 1 - Budget Manager'!F31)</f>
        <v/>
      </c>
      <c r="E34" s="17" t="str">
        <f>IF('Step 1 - Budget Manager'!B31="","",'Step 1 - Budget Manager'!G31)</f>
        <v/>
      </c>
      <c r="F34" s="18" t="str">
        <f>IF('Step 1 - Budget Manager'!B31="","",IF('Step 1 - Budget Manager'!C31="","","Fund Code"))</f>
        <v/>
      </c>
      <c r="G34" s="17" t="str">
        <f>IF('Step 1 - Budget Manager'!B31="","",IF('Step 1 - Budget Manager'!C31="","","Equals"))</f>
        <v/>
      </c>
      <c r="H34" s="18" t="str">
        <f>IF('Step 1 - Budget Manager'!B31="","",IF('Step 1 - Budget Manager'!C31="","",'Step 1 - Budget Manager'!C31))</f>
        <v/>
      </c>
      <c r="I34" s="18" t="str">
        <f>IF('Step 1 - Budget Manager'!B31="","","Organization Code")</f>
        <v/>
      </c>
      <c r="J34" s="17" t="str">
        <f>IF('Step 1 - Budget Manager'!B31="","","Equals")</f>
        <v/>
      </c>
      <c r="K34" s="18" t="str">
        <f>IF('Step 1 - Budget Manager'!B31="","",'Step 1 - Budget Manager'!D31)</f>
        <v/>
      </c>
      <c r="L34" s="18" t="str">
        <f>IF('Step 1 - Budget Manager'!B31="","","Other Criteria")</f>
        <v/>
      </c>
      <c r="M34" s="17" t="str">
        <f>IF('Step 1 - Budget Manager'!B31="","","Equals")</f>
        <v/>
      </c>
      <c r="N34" s="18" t="str">
        <f>IF('Step 1 - Budget Manager'!B31="","",'Step 1 - Budget Manager'!E31)</f>
        <v/>
      </c>
      <c r="O34" s="18" t="str">
        <f>""</f>
        <v/>
      </c>
      <c r="P34" s="18" t="str">
        <f>""</f>
        <v/>
      </c>
      <c r="Q34" s="18" t="str">
        <f>""</f>
        <v/>
      </c>
      <c r="R34" s="18" t="str">
        <f>""</f>
        <v/>
      </c>
      <c r="S34" s="18" t="str">
        <f>""</f>
        <v/>
      </c>
      <c r="T34" s="18" t="str">
        <f>""</f>
        <v/>
      </c>
      <c r="U34" s="18" t="str">
        <f>IF('Step 1 - Budget Manager'!B31="","",'Step 1 - Budget Manager'!H31)</f>
        <v/>
      </c>
      <c r="V34" s="17" t="str">
        <f>IF('Step 1 - Budget Manager'!B31="","",'Step 1 - Budget Manager'!J31)</f>
        <v/>
      </c>
      <c r="W34" s="18" t="str">
        <f>IF('Step 1 - Budget Manager'!B31="","",'Step 1 - Budget Manager'!K31)</f>
        <v/>
      </c>
      <c r="X34" s="17" t="str">
        <f>IF('Step 1 - Budget Manager'!B31="","",'Step 1 - Budget Manager'!M31)</f>
        <v/>
      </c>
      <c r="Y34" s="18" t="str">
        <f>IF('Step 1 - Budget Manager'!B31="","",'Step 1 - Budget Manager'!N31)</f>
        <v/>
      </c>
      <c r="Z34" s="18" t="str">
        <f>""</f>
        <v/>
      </c>
      <c r="AA34" s="18" t="str">
        <f>""</f>
        <v/>
      </c>
      <c r="AB34" s="18" t="str">
        <f>""</f>
        <v/>
      </c>
      <c r="AC34" s="18" t="str">
        <f>""</f>
        <v/>
      </c>
      <c r="AD34" s="18" t="str">
        <f>""</f>
        <v/>
      </c>
      <c r="AE34" s="18" t="str">
        <f>""</f>
        <v/>
      </c>
      <c r="AF34" s="18" t="str">
        <f>""</f>
        <v/>
      </c>
      <c r="AG34" s="18" t="str">
        <f>""</f>
        <v/>
      </c>
      <c r="AH34" s="18" t="str">
        <f>""</f>
        <v/>
      </c>
      <c r="AI34" s="18" t="str">
        <f>""</f>
        <v/>
      </c>
      <c r="AJ34" s="18" t="str">
        <f>""</f>
        <v/>
      </c>
      <c r="AK34" s="18" t="str">
        <f>""</f>
        <v/>
      </c>
      <c r="AL34" s="18" t="str">
        <f>""</f>
        <v/>
      </c>
      <c r="AM34" s="18" t="str">
        <f>""</f>
        <v/>
      </c>
    </row>
    <row r="35" spans="1:39" ht="15.75" customHeight="1" x14ac:dyDescent="0.25">
      <c r="A35" s="19" t="str">
        <f>IF('Step 1 - Budget Manager'!B32="","","Active")</f>
        <v/>
      </c>
      <c r="B35" s="20" t="str">
        <f>IF('Step 1 - Budget Manager'!B32="","",'Step 1 - Budget Manager'!B32)</f>
        <v/>
      </c>
      <c r="C35" s="20" t="str">
        <f>IF('Step 1 - Budget Manager'!B32="","",'Step 1 - Budget Manager'!B32)</f>
        <v/>
      </c>
      <c r="D35" s="19" t="str">
        <f>IF('Step 1 - Budget Manager'!B32="","",'Step 1 - Budget Manager'!F32)</f>
        <v/>
      </c>
      <c r="E35" s="19" t="str">
        <f>IF('Step 1 - Budget Manager'!B32="","",'Step 1 - Budget Manager'!G32)</f>
        <v/>
      </c>
      <c r="F35" s="20" t="str">
        <f>IF('Step 1 - Budget Manager'!B32="","",IF('Step 1 - Budget Manager'!C32="","","Fund Code"))</f>
        <v/>
      </c>
      <c r="G35" s="19" t="str">
        <f>IF('Step 1 - Budget Manager'!B32="","",IF('Step 1 - Budget Manager'!C32="","","Equals"))</f>
        <v/>
      </c>
      <c r="H35" s="20" t="str">
        <f>IF('Step 1 - Budget Manager'!B32="","",IF('Step 1 - Budget Manager'!C32="","",'Step 1 - Budget Manager'!C32))</f>
        <v/>
      </c>
      <c r="I35" s="20" t="str">
        <f>IF('Step 1 - Budget Manager'!B32="","","Organization Code")</f>
        <v/>
      </c>
      <c r="J35" s="19" t="str">
        <f>IF('Step 1 - Budget Manager'!B32="","","Equals")</f>
        <v/>
      </c>
      <c r="K35" s="20" t="str">
        <f>IF('Step 1 - Budget Manager'!B32="","",'Step 1 - Budget Manager'!D32)</f>
        <v/>
      </c>
      <c r="L35" s="20" t="str">
        <f>IF('Step 1 - Budget Manager'!B32="","","Other Criteria")</f>
        <v/>
      </c>
      <c r="M35" s="19" t="str">
        <f>IF('Step 1 - Budget Manager'!B32="","","Equals")</f>
        <v/>
      </c>
      <c r="N35" s="20" t="str">
        <f>IF('Step 1 - Budget Manager'!B32="","",'Step 1 - Budget Manager'!E32)</f>
        <v/>
      </c>
      <c r="O35" s="20" t="str">
        <f>""</f>
        <v/>
      </c>
      <c r="P35" s="20" t="str">
        <f>""</f>
        <v/>
      </c>
      <c r="Q35" s="20" t="str">
        <f>""</f>
        <v/>
      </c>
      <c r="R35" s="20" t="str">
        <f>""</f>
        <v/>
      </c>
      <c r="S35" s="20" t="str">
        <f>""</f>
        <v/>
      </c>
      <c r="T35" s="20" t="str">
        <f>""</f>
        <v/>
      </c>
      <c r="U35" s="20" t="str">
        <f>IF('Step 1 - Budget Manager'!B32="","",'Step 1 - Budget Manager'!H32)</f>
        <v/>
      </c>
      <c r="V35" s="19" t="str">
        <f>IF('Step 1 - Budget Manager'!B32="","",'Step 1 - Budget Manager'!J32)</f>
        <v/>
      </c>
      <c r="W35" s="20" t="str">
        <f>IF('Step 1 - Budget Manager'!B32="","",'Step 1 - Budget Manager'!K32)</f>
        <v/>
      </c>
      <c r="X35" s="19" t="str">
        <f>IF('Step 1 - Budget Manager'!B32="","",'Step 1 - Budget Manager'!M32)</f>
        <v/>
      </c>
      <c r="Y35" s="20" t="str">
        <f>IF('Step 1 - Budget Manager'!B32="","",'Step 1 - Budget Manager'!N32)</f>
        <v/>
      </c>
      <c r="Z35" s="20" t="str">
        <f>""</f>
        <v/>
      </c>
      <c r="AA35" s="20" t="str">
        <f>""</f>
        <v/>
      </c>
      <c r="AB35" s="20" t="str">
        <f>""</f>
        <v/>
      </c>
      <c r="AC35" s="20" t="str">
        <f>""</f>
        <v/>
      </c>
      <c r="AD35" s="20" t="str">
        <f>""</f>
        <v/>
      </c>
      <c r="AE35" s="20" t="str">
        <f>""</f>
        <v/>
      </c>
      <c r="AF35" s="20" t="str">
        <f>""</f>
        <v/>
      </c>
      <c r="AG35" s="20" t="str">
        <f>""</f>
        <v/>
      </c>
      <c r="AH35" s="20" t="str">
        <f>""</f>
        <v/>
      </c>
      <c r="AI35" s="20" t="str">
        <f>""</f>
        <v/>
      </c>
      <c r="AJ35" s="20" t="str">
        <f>""</f>
        <v/>
      </c>
      <c r="AK35" s="20" t="str">
        <f>""</f>
        <v/>
      </c>
      <c r="AL35" s="20" t="str">
        <f>""</f>
        <v/>
      </c>
      <c r="AM35" s="20" t="str">
        <f>""</f>
        <v/>
      </c>
    </row>
    <row r="36" spans="1:39" ht="15.75" customHeight="1" x14ac:dyDescent="0.25">
      <c r="A36" s="17" t="str">
        <f>IF('Step 1 - Budget Manager'!B33="","","Active")</f>
        <v/>
      </c>
      <c r="B36" s="18" t="str">
        <f>IF('Step 1 - Budget Manager'!B33="","",'Step 1 - Budget Manager'!B33)</f>
        <v/>
      </c>
      <c r="C36" s="18" t="str">
        <f>IF('Step 1 - Budget Manager'!B33="","",'Step 1 - Budget Manager'!B33)</f>
        <v/>
      </c>
      <c r="D36" s="17" t="str">
        <f>IF('Step 1 - Budget Manager'!B33="","",'Step 1 - Budget Manager'!F33)</f>
        <v/>
      </c>
      <c r="E36" s="17" t="str">
        <f>IF('Step 1 - Budget Manager'!B33="","",'Step 1 - Budget Manager'!G33)</f>
        <v/>
      </c>
      <c r="F36" s="18" t="str">
        <f>IF('Step 1 - Budget Manager'!B33="","",IF('Step 1 - Budget Manager'!C33="","","Fund Code"))</f>
        <v/>
      </c>
      <c r="G36" s="17" t="str">
        <f>IF('Step 1 - Budget Manager'!B33="","",IF('Step 1 - Budget Manager'!C33="","","Equals"))</f>
        <v/>
      </c>
      <c r="H36" s="18" t="str">
        <f>IF('Step 1 - Budget Manager'!B33="","",IF('Step 1 - Budget Manager'!C33="","",'Step 1 - Budget Manager'!C33))</f>
        <v/>
      </c>
      <c r="I36" s="18" t="str">
        <f>IF('Step 1 - Budget Manager'!B33="","","Organization Code")</f>
        <v/>
      </c>
      <c r="J36" s="17" t="str">
        <f>IF('Step 1 - Budget Manager'!B33="","","Equals")</f>
        <v/>
      </c>
      <c r="K36" s="18" t="str">
        <f>IF('Step 1 - Budget Manager'!B33="","",'Step 1 - Budget Manager'!D33)</f>
        <v/>
      </c>
      <c r="L36" s="18" t="str">
        <f>IF('Step 1 - Budget Manager'!B33="","","Other Criteria")</f>
        <v/>
      </c>
      <c r="M36" s="17" t="str">
        <f>IF('Step 1 - Budget Manager'!B33="","","Equals")</f>
        <v/>
      </c>
      <c r="N36" s="18" t="str">
        <f>IF('Step 1 - Budget Manager'!B33="","",'Step 1 - Budget Manager'!E33)</f>
        <v/>
      </c>
      <c r="O36" s="18" t="str">
        <f>""</f>
        <v/>
      </c>
      <c r="P36" s="18" t="str">
        <f>""</f>
        <v/>
      </c>
      <c r="Q36" s="18" t="str">
        <f>""</f>
        <v/>
      </c>
      <c r="R36" s="18" t="str">
        <f>""</f>
        <v/>
      </c>
      <c r="S36" s="18" t="str">
        <f>""</f>
        <v/>
      </c>
      <c r="T36" s="18" t="str">
        <f>""</f>
        <v/>
      </c>
      <c r="U36" s="18" t="str">
        <f>IF('Step 1 - Budget Manager'!B33="","",'Step 1 - Budget Manager'!H33)</f>
        <v/>
      </c>
      <c r="V36" s="17" t="str">
        <f>IF('Step 1 - Budget Manager'!B33="","",'Step 1 - Budget Manager'!J33)</f>
        <v/>
      </c>
      <c r="W36" s="18" t="str">
        <f>IF('Step 1 - Budget Manager'!B33="","",'Step 1 - Budget Manager'!K33)</f>
        <v/>
      </c>
      <c r="X36" s="17" t="str">
        <f>IF('Step 1 - Budget Manager'!B33="","",'Step 1 - Budget Manager'!M33)</f>
        <v/>
      </c>
      <c r="Y36" s="18" t="str">
        <f>IF('Step 1 - Budget Manager'!B33="","",'Step 1 - Budget Manager'!N33)</f>
        <v/>
      </c>
      <c r="Z36" s="18" t="str">
        <f>""</f>
        <v/>
      </c>
      <c r="AA36" s="18" t="str">
        <f>""</f>
        <v/>
      </c>
      <c r="AB36" s="18" t="str">
        <f>""</f>
        <v/>
      </c>
      <c r="AC36" s="18" t="str">
        <f>""</f>
        <v/>
      </c>
      <c r="AD36" s="18" t="str">
        <f>""</f>
        <v/>
      </c>
      <c r="AE36" s="18" t="str">
        <f>""</f>
        <v/>
      </c>
      <c r="AF36" s="18" t="str">
        <f>""</f>
        <v/>
      </c>
      <c r="AG36" s="18" t="str">
        <f>""</f>
        <v/>
      </c>
      <c r="AH36" s="18" t="str">
        <f>""</f>
        <v/>
      </c>
      <c r="AI36" s="18" t="str">
        <f>""</f>
        <v/>
      </c>
      <c r="AJ36" s="18" t="str">
        <f>""</f>
        <v/>
      </c>
      <c r="AK36" s="18" t="str">
        <f>""</f>
        <v/>
      </c>
      <c r="AL36" s="18" t="str">
        <f>""</f>
        <v/>
      </c>
      <c r="AM36" s="18" t="str">
        <f>""</f>
        <v/>
      </c>
    </row>
    <row r="37" spans="1:39" ht="15.75" customHeight="1" x14ac:dyDescent="0.25">
      <c r="A37" s="19" t="str">
        <f>IF('Step 1 - Budget Manager'!B34="","","Active")</f>
        <v/>
      </c>
      <c r="B37" s="20" t="str">
        <f>IF('Step 1 - Budget Manager'!B34="","",'Step 1 - Budget Manager'!B34)</f>
        <v/>
      </c>
      <c r="C37" s="20" t="str">
        <f>IF('Step 1 - Budget Manager'!B34="","",'Step 1 - Budget Manager'!B34)</f>
        <v/>
      </c>
      <c r="D37" s="19" t="str">
        <f>IF('Step 1 - Budget Manager'!B34="","",'Step 1 - Budget Manager'!F34)</f>
        <v/>
      </c>
      <c r="E37" s="19" t="str">
        <f>IF('Step 1 - Budget Manager'!B34="","",'Step 1 - Budget Manager'!G34)</f>
        <v/>
      </c>
      <c r="F37" s="20" t="str">
        <f>IF('Step 1 - Budget Manager'!B34="","",IF('Step 1 - Budget Manager'!C34="","","Fund Code"))</f>
        <v/>
      </c>
      <c r="G37" s="19" t="str">
        <f>IF('Step 1 - Budget Manager'!B34="","",IF('Step 1 - Budget Manager'!C34="","","Equals"))</f>
        <v/>
      </c>
      <c r="H37" s="20" t="str">
        <f>IF('Step 1 - Budget Manager'!B34="","",IF('Step 1 - Budget Manager'!C34="","",'Step 1 - Budget Manager'!C34))</f>
        <v/>
      </c>
      <c r="I37" s="20" t="str">
        <f>IF('Step 1 - Budget Manager'!B34="","","Organization Code")</f>
        <v/>
      </c>
      <c r="J37" s="19" t="str">
        <f>IF('Step 1 - Budget Manager'!B34="","","Equals")</f>
        <v/>
      </c>
      <c r="K37" s="20" t="str">
        <f>IF('Step 1 - Budget Manager'!B34="","",'Step 1 - Budget Manager'!D34)</f>
        <v/>
      </c>
      <c r="L37" s="20" t="str">
        <f>IF('Step 1 - Budget Manager'!B34="","","Other Criteria")</f>
        <v/>
      </c>
      <c r="M37" s="19" t="str">
        <f>IF('Step 1 - Budget Manager'!B34="","","Equals")</f>
        <v/>
      </c>
      <c r="N37" s="20" t="str">
        <f>IF('Step 1 - Budget Manager'!B34="","",'Step 1 - Budget Manager'!E34)</f>
        <v/>
      </c>
      <c r="O37" s="20" t="str">
        <f>""</f>
        <v/>
      </c>
      <c r="P37" s="20" t="str">
        <f>""</f>
        <v/>
      </c>
      <c r="Q37" s="20" t="str">
        <f>""</f>
        <v/>
      </c>
      <c r="R37" s="20" t="str">
        <f>""</f>
        <v/>
      </c>
      <c r="S37" s="20" t="str">
        <f>""</f>
        <v/>
      </c>
      <c r="T37" s="20" t="str">
        <f>""</f>
        <v/>
      </c>
      <c r="U37" s="20" t="str">
        <f>IF('Step 1 - Budget Manager'!B34="","",'Step 1 - Budget Manager'!H34)</f>
        <v/>
      </c>
      <c r="V37" s="19" t="str">
        <f>IF('Step 1 - Budget Manager'!B34="","",'Step 1 - Budget Manager'!J34)</f>
        <v/>
      </c>
      <c r="W37" s="20" t="str">
        <f>IF('Step 1 - Budget Manager'!B34="","",'Step 1 - Budget Manager'!K34)</f>
        <v/>
      </c>
      <c r="X37" s="19" t="str">
        <f>IF('Step 1 - Budget Manager'!B34="","",'Step 1 - Budget Manager'!M34)</f>
        <v/>
      </c>
      <c r="Y37" s="20" t="str">
        <f>IF('Step 1 - Budget Manager'!B34="","",'Step 1 - Budget Manager'!N34)</f>
        <v/>
      </c>
      <c r="Z37" s="20" t="str">
        <f>""</f>
        <v/>
      </c>
      <c r="AA37" s="20" t="str">
        <f>""</f>
        <v/>
      </c>
      <c r="AB37" s="20" t="str">
        <f>""</f>
        <v/>
      </c>
      <c r="AC37" s="20" t="str">
        <f>""</f>
        <v/>
      </c>
      <c r="AD37" s="20" t="str">
        <f>""</f>
        <v/>
      </c>
      <c r="AE37" s="20" t="str">
        <f>""</f>
        <v/>
      </c>
      <c r="AF37" s="20" t="str">
        <f>""</f>
        <v/>
      </c>
      <c r="AG37" s="20" t="str">
        <f>""</f>
        <v/>
      </c>
      <c r="AH37" s="20" t="str">
        <f>""</f>
        <v/>
      </c>
      <c r="AI37" s="20" t="str">
        <f>""</f>
        <v/>
      </c>
      <c r="AJ37" s="20" t="str">
        <f>""</f>
        <v/>
      </c>
      <c r="AK37" s="20" t="str">
        <f>""</f>
        <v/>
      </c>
      <c r="AL37" s="20" t="str">
        <f>""</f>
        <v/>
      </c>
      <c r="AM37" s="20" t="str">
        <f>""</f>
        <v/>
      </c>
    </row>
    <row r="38" spans="1:39" ht="15.75" customHeight="1" x14ac:dyDescent="0.25">
      <c r="A38" s="17" t="str">
        <f>IF('Step 1 - Budget Manager'!B35="","","Active")</f>
        <v/>
      </c>
      <c r="B38" s="18" t="str">
        <f>IF('Step 1 - Budget Manager'!B35="","",'Step 1 - Budget Manager'!B35)</f>
        <v/>
      </c>
      <c r="C38" s="18" t="str">
        <f>IF('Step 1 - Budget Manager'!B35="","",'Step 1 - Budget Manager'!B35)</f>
        <v/>
      </c>
      <c r="D38" s="17" t="str">
        <f>IF('Step 1 - Budget Manager'!B35="","",'Step 1 - Budget Manager'!F35)</f>
        <v/>
      </c>
      <c r="E38" s="17" t="str">
        <f>IF('Step 1 - Budget Manager'!B35="","",'Step 1 - Budget Manager'!G35)</f>
        <v/>
      </c>
      <c r="F38" s="18" t="str">
        <f>IF('Step 1 - Budget Manager'!B35="","",IF('Step 1 - Budget Manager'!C35="","","Fund Code"))</f>
        <v/>
      </c>
      <c r="G38" s="17" t="str">
        <f>IF('Step 1 - Budget Manager'!B35="","",IF('Step 1 - Budget Manager'!C35="","","Equals"))</f>
        <v/>
      </c>
      <c r="H38" s="18" t="str">
        <f>IF('Step 1 - Budget Manager'!B35="","",IF('Step 1 - Budget Manager'!C35="","",'Step 1 - Budget Manager'!C35))</f>
        <v/>
      </c>
      <c r="I38" s="18" t="str">
        <f>IF('Step 1 - Budget Manager'!B35="","","Organization Code")</f>
        <v/>
      </c>
      <c r="J38" s="17" t="str">
        <f>IF('Step 1 - Budget Manager'!B35="","","Equals")</f>
        <v/>
      </c>
      <c r="K38" s="18" t="str">
        <f>IF('Step 1 - Budget Manager'!B35="","",'Step 1 - Budget Manager'!D35)</f>
        <v/>
      </c>
      <c r="L38" s="18" t="str">
        <f>IF('Step 1 - Budget Manager'!B35="","","Other Criteria")</f>
        <v/>
      </c>
      <c r="M38" s="17" t="str">
        <f>IF('Step 1 - Budget Manager'!B35="","","Equals")</f>
        <v/>
      </c>
      <c r="N38" s="18" t="str">
        <f>IF('Step 1 - Budget Manager'!B35="","",'Step 1 - Budget Manager'!E35)</f>
        <v/>
      </c>
      <c r="O38" s="18" t="str">
        <f>""</f>
        <v/>
      </c>
      <c r="P38" s="18" t="str">
        <f>""</f>
        <v/>
      </c>
      <c r="Q38" s="18" t="str">
        <f>""</f>
        <v/>
      </c>
      <c r="R38" s="18" t="str">
        <f>""</f>
        <v/>
      </c>
      <c r="S38" s="18" t="str">
        <f>""</f>
        <v/>
      </c>
      <c r="T38" s="18" t="str">
        <f>""</f>
        <v/>
      </c>
      <c r="U38" s="18" t="str">
        <f>IF('Step 1 - Budget Manager'!B35="","",'Step 1 - Budget Manager'!H35)</f>
        <v/>
      </c>
      <c r="V38" s="17" t="str">
        <f>IF('Step 1 - Budget Manager'!B35="","",'Step 1 - Budget Manager'!J35)</f>
        <v/>
      </c>
      <c r="W38" s="18" t="str">
        <f>IF('Step 1 - Budget Manager'!B35="","",'Step 1 - Budget Manager'!K35)</f>
        <v/>
      </c>
      <c r="X38" s="17" t="str">
        <f>IF('Step 1 - Budget Manager'!B35="","",'Step 1 - Budget Manager'!M35)</f>
        <v/>
      </c>
      <c r="Y38" s="18" t="str">
        <f>IF('Step 1 - Budget Manager'!B35="","",'Step 1 - Budget Manager'!N35)</f>
        <v/>
      </c>
      <c r="Z38" s="18" t="str">
        <f>""</f>
        <v/>
      </c>
      <c r="AA38" s="18" t="str">
        <f>""</f>
        <v/>
      </c>
      <c r="AB38" s="18" t="str">
        <f>""</f>
        <v/>
      </c>
      <c r="AC38" s="18" t="str">
        <f>""</f>
        <v/>
      </c>
      <c r="AD38" s="18" t="str">
        <f>""</f>
        <v/>
      </c>
      <c r="AE38" s="18" t="str">
        <f>""</f>
        <v/>
      </c>
      <c r="AF38" s="18" t="str">
        <f>""</f>
        <v/>
      </c>
      <c r="AG38" s="18" t="str">
        <f>""</f>
        <v/>
      </c>
      <c r="AH38" s="18" t="str">
        <f>""</f>
        <v/>
      </c>
      <c r="AI38" s="18" t="str">
        <f>""</f>
        <v/>
      </c>
      <c r="AJ38" s="18" t="str">
        <f>""</f>
        <v/>
      </c>
      <c r="AK38" s="18" t="str">
        <f>""</f>
        <v/>
      </c>
      <c r="AL38" s="18" t="str">
        <f>""</f>
        <v/>
      </c>
      <c r="AM38" s="18" t="str">
        <f>""</f>
        <v/>
      </c>
    </row>
    <row r="39" spans="1:39" ht="15.75" customHeight="1" x14ac:dyDescent="0.25">
      <c r="A39" s="19" t="str">
        <f>IF('Step 1 - Budget Manager'!B36="","","Active")</f>
        <v/>
      </c>
      <c r="B39" s="20" t="str">
        <f>IF('Step 1 - Budget Manager'!B36="","",'Step 1 - Budget Manager'!B36)</f>
        <v/>
      </c>
      <c r="C39" s="20" t="str">
        <f>IF('Step 1 - Budget Manager'!B36="","",'Step 1 - Budget Manager'!B36)</f>
        <v/>
      </c>
      <c r="D39" s="19" t="str">
        <f>IF('Step 1 - Budget Manager'!B36="","",'Step 1 - Budget Manager'!F36)</f>
        <v/>
      </c>
      <c r="E39" s="19" t="str">
        <f>IF('Step 1 - Budget Manager'!B36="","",'Step 1 - Budget Manager'!G36)</f>
        <v/>
      </c>
      <c r="F39" s="20" t="str">
        <f>IF('Step 1 - Budget Manager'!B36="","",IF('Step 1 - Budget Manager'!C36="","","Fund Code"))</f>
        <v/>
      </c>
      <c r="G39" s="19" t="str">
        <f>IF('Step 1 - Budget Manager'!B36="","",IF('Step 1 - Budget Manager'!C36="","","Equals"))</f>
        <v/>
      </c>
      <c r="H39" s="20" t="str">
        <f>IF('Step 1 - Budget Manager'!B36="","",IF('Step 1 - Budget Manager'!C36="","",'Step 1 - Budget Manager'!C36))</f>
        <v/>
      </c>
      <c r="I39" s="20" t="str">
        <f>IF('Step 1 - Budget Manager'!B36="","","Organization Code")</f>
        <v/>
      </c>
      <c r="J39" s="19" t="str">
        <f>IF('Step 1 - Budget Manager'!B36="","","Equals")</f>
        <v/>
      </c>
      <c r="K39" s="20" t="str">
        <f>IF('Step 1 - Budget Manager'!B36="","",'Step 1 - Budget Manager'!D36)</f>
        <v/>
      </c>
      <c r="L39" s="20" t="str">
        <f>IF('Step 1 - Budget Manager'!B36="","","Other Criteria")</f>
        <v/>
      </c>
      <c r="M39" s="19" t="str">
        <f>IF('Step 1 - Budget Manager'!B36="","","Equals")</f>
        <v/>
      </c>
      <c r="N39" s="20" t="str">
        <f>IF('Step 1 - Budget Manager'!B36="","",'Step 1 - Budget Manager'!E36)</f>
        <v/>
      </c>
      <c r="O39" s="20" t="str">
        <f>""</f>
        <v/>
      </c>
      <c r="P39" s="20" t="str">
        <f>""</f>
        <v/>
      </c>
      <c r="Q39" s="20" t="str">
        <f>""</f>
        <v/>
      </c>
      <c r="R39" s="20" t="str">
        <f>""</f>
        <v/>
      </c>
      <c r="S39" s="20" t="str">
        <f>""</f>
        <v/>
      </c>
      <c r="T39" s="20" t="str">
        <f>""</f>
        <v/>
      </c>
      <c r="U39" s="20" t="str">
        <f>IF('Step 1 - Budget Manager'!B36="","",'Step 1 - Budget Manager'!H36)</f>
        <v/>
      </c>
      <c r="V39" s="19" t="str">
        <f>IF('Step 1 - Budget Manager'!B36="","",'Step 1 - Budget Manager'!J36)</f>
        <v/>
      </c>
      <c r="W39" s="20" t="str">
        <f>IF('Step 1 - Budget Manager'!B36="","",'Step 1 - Budget Manager'!K36)</f>
        <v/>
      </c>
      <c r="X39" s="19" t="str">
        <f>IF('Step 1 - Budget Manager'!B36="","",'Step 1 - Budget Manager'!M36)</f>
        <v/>
      </c>
      <c r="Y39" s="20" t="str">
        <f>IF('Step 1 - Budget Manager'!B36="","",'Step 1 - Budget Manager'!N36)</f>
        <v/>
      </c>
      <c r="Z39" s="20" t="str">
        <f>""</f>
        <v/>
      </c>
      <c r="AA39" s="20" t="str">
        <f>""</f>
        <v/>
      </c>
      <c r="AB39" s="20" t="str">
        <f>""</f>
        <v/>
      </c>
      <c r="AC39" s="20" t="str">
        <f>""</f>
        <v/>
      </c>
      <c r="AD39" s="20" t="str">
        <f>""</f>
        <v/>
      </c>
      <c r="AE39" s="20" t="str">
        <f>""</f>
        <v/>
      </c>
      <c r="AF39" s="20" t="str">
        <f>""</f>
        <v/>
      </c>
      <c r="AG39" s="20" t="str">
        <f>""</f>
        <v/>
      </c>
      <c r="AH39" s="20" t="str">
        <f>""</f>
        <v/>
      </c>
      <c r="AI39" s="20" t="str">
        <f>""</f>
        <v/>
      </c>
      <c r="AJ39" s="20" t="str">
        <f>""</f>
        <v/>
      </c>
      <c r="AK39" s="20" t="str">
        <f>""</f>
        <v/>
      </c>
      <c r="AL39" s="20" t="str">
        <f>""</f>
        <v/>
      </c>
      <c r="AM39" s="20" t="str">
        <f>""</f>
        <v/>
      </c>
    </row>
    <row r="40" spans="1:39" ht="15.75" customHeight="1" x14ac:dyDescent="0.25">
      <c r="A40" s="17" t="str">
        <f>IF('Step 1 - Budget Manager'!B37="","","Active")</f>
        <v/>
      </c>
      <c r="B40" s="18" t="str">
        <f>IF('Step 1 - Budget Manager'!B37="","",'Step 1 - Budget Manager'!B37)</f>
        <v/>
      </c>
      <c r="C40" s="18" t="str">
        <f>IF('Step 1 - Budget Manager'!B37="","",'Step 1 - Budget Manager'!B37)</f>
        <v/>
      </c>
      <c r="D40" s="17" t="str">
        <f>IF('Step 1 - Budget Manager'!B37="","",'Step 1 - Budget Manager'!F37)</f>
        <v/>
      </c>
      <c r="E40" s="17" t="str">
        <f>IF('Step 1 - Budget Manager'!B37="","",'Step 1 - Budget Manager'!G37)</f>
        <v/>
      </c>
      <c r="F40" s="18" t="str">
        <f>IF('Step 1 - Budget Manager'!B37="","",IF('Step 1 - Budget Manager'!C37="","","Fund Code"))</f>
        <v/>
      </c>
      <c r="G40" s="17" t="str">
        <f>IF('Step 1 - Budget Manager'!B37="","",IF('Step 1 - Budget Manager'!C37="","","Equals"))</f>
        <v/>
      </c>
      <c r="H40" s="18" t="str">
        <f>IF('Step 1 - Budget Manager'!B37="","",IF('Step 1 - Budget Manager'!C37="","",'Step 1 - Budget Manager'!C37))</f>
        <v/>
      </c>
      <c r="I40" s="18" t="str">
        <f>IF('Step 1 - Budget Manager'!B37="","","Organization Code")</f>
        <v/>
      </c>
      <c r="J40" s="17" t="str">
        <f>IF('Step 1 - Budget Manager'!B37="","","Equals")</f>
        <v/>
      </c>
      <c r="K40" s="18" t="str">
        <f>IF('Step 1 - Budget Manager'!B37="","",'Step 1 - Budget Manager'!D37)</f>
        <v/>
      </c>
      <c r="L40" s="18" t="str">
        <f>IF('Step 1 - Budget Manager'!B37="","","Other Criteria")</f>
        <v/>
      </c>
      <c r="M40" s="17" t="str">
        <f>IF('Step 1 - Budget Manager'!B37="","","Equals")</f>
        <v/>
      </c>
      <c r="N40" s="18" t="str">
        <f>IF('Step 1 - Budget Manager'!B37="","",'Step 1 - Budget Manager'!E37)</f>
        <v/>
      </c>
      <c r="O40" s="18" t="str">
        <f>""</f>
        <v/>
      </c>
      <c r="P40" s="18" t="str">
        <f>""</f>
        <v/>
      </c>
      <c r="Q40" s="18" t="str">
        <f>""</f>
        <v/>
      </c>
      <c r="R40" s="18" t="str">
        <f>""</f>
        <v/>
      </c>
      <c r="S40" s="18" t="str">
        <f>""</f>
        <v/>
      </c>
      <c r="T40" s="18" t="str">
        <f>""</f>
        <v/>
      </c>
      <c r="U40" s="18" t="str">
        <f>IF('Step 1 - Budget Manager'!B37="","",'Step 1 - Budget Manager'!H37)</f>
        <v/>
      </c>
      <c r="V40" s="17" t="str">
        <f>IF('Step 1 - Budget Manager'!B37="","",'Step 1 - Budget Manager'!J37)</f>
        <v/>
      </c>
      <c r="W40" s="18" t="str">
        <f>IF('Step 1 - Budget Manager'!B37="","",'Step 1 - Budget Manager'!K37)</f>
        <v/>
      </c>
      <c r="X40" s="17" t="str">
        <f>IF('Step 1 - Budget Manager'!B37="","",'Step 1 - Budget Manager'!M37)</f>
        <v/>
      </c>
      <c r="Y40" s="18" t="str">
        <f>IF('Step 1 - Budget Manager'!B37="","",'Step 1 - Budget Manager'!N37)</f>
        <v/>
      </c>
      <c r="Z40" s="18" t="str">
        <f>""</f>
        <v/>
      </c>
      <c r="AA40" s="18" t="str">
        <f>""</f>
        <v/>
      </c>
      <c r="AB40" s="18" t="str">
        <f>""</f>
        <v/>
      </c>
      <c r="AC40" s="18" t="str">
        <f>""</f>
        <v/>
      </c>
      <c r="AD40" s="18" t="str">
        <f>""</f>
        <v/>
      </c>
      <c r="AE40" s="18" t="str">
        <f>""</f>
        <v/>
      </c>
      <c r="AF40" s="18" t="str">
        <f>""</f>
        <v/>
      </c>
      <c r="AG40" s="18" t="str">
        <f>""</f>
        <v/>
      </c>
      <c r="AH40" s="18" t="str">
        <f>""</f>
        <v/>
      </c>
      <c r="AI40" s="18" t="str">
        <f>""</f>
        <v/>
      </c>
      <c r="AJ40" s="18" t="str">
        <f>""</f>
        <v/>
      </c>
      <c r="AK40" s="18" t="str">
        <f>""</f>
        <v/>
      </c>
      <c r="AL40" s="18" t="str">
        <f>""</f>
        <v/>
      </c>
      <c r="AM40" s="18" t="str">
        <f>""</f>
        <v/>
      </c>
    </row>
    <row r="41" spans="1:39" ht="15.75" customHeight="1" x14ac:dyDescent="0.25">
      <c r="A41" s="19" t="str">
        <f>IF('Step 1 - Budget Manager'!B38="","","Active")</f>
        <v/>
      </c>
      <c r="B41" s="20" t="str">
        <f>IF('Step 1 - Budget Manager'!B38="","",'Step 1 - Budget Manager'!B38)</f>
        <v/>
      </c>
      <c r="C41" s="20" t="str">
        <f>IF('Step 1 - Budget Manager'!B38="","",'Step 1 - Budget Manager'!B38)</f>
        <v/>
      </c>
      <c r="D41" s="19" t="str">
        <f>IF('Step 1 - Budget Manager'!B38="","",'Step 1 - Budget Manager'!F38)</f>
        <v/>
      </c>
      <c r="E41" s="19" t="str">
        <f>IF('Step 1 - Budget Manager'!B38="","",'Step 1 - Budget Manager'!G38)</f>
        <v/>
      </c>
      <c r="F41" s="20" t="str">
        <f>IF('Step 1 - Budget Manager'!B38="","",IF('Step 1 - Budget Manager'!C38="","","Fund Code"))</f>
        <v/>
      </c>
      <c r="G41" s="19" t="str">
        <f>IF('Step 1 - Budget Manager'!B38="","",IF('Step 1 - Budget Manager'!C38="","","Equals"))</f>
        <v/>
      </c>
      <c r="H41" s="20" t="str">
        <f>IF('Step 1 - Budget Manager'!B38="","",IF('Step 1 - Budget Manager'!C38="","",'Step 1 - Budget Manager'!C38))</f>
        <v/>
      </c>
      <c r="I41" s="20" t="str">
        <f>IF('Step 1 - Budget Manager'!B38="","","Organization Code")</f>
        <v/>
      </c>
      <c r="J41" s="19" t="str">
        <f>IF('Step 1 - Budget Manager'!B38="","","Equals")</f>
        <v/>
      </c>
      <c r="K41" s="20" t="str">
        <f>IF('Step 1 - Budget Manager'!B38="","",'Step 1 - Budget Manager'!D38)</f>
        <v/>
      </c>
      <c r="L41" s="20" t="str">
        <f>IF('Step 1 - Budget Manager'!B38="","","Other Criteria")</f>
        <v/>
      </c>
      <c r="M41" s="19" t="str">
        <f>IF('Step 1 - Budget Manager'!B38="","","Equals")</f>
        <v/>
      </c>
      <c r="N41" s="20" t="str">
        <f>IF('Step 1 - Budget Manager'!B38="","",'Step 1 - Budget Manager'!E38)</f>
        <v/>
      </c>
      <c r="O41" s="20" t="str">
        <f>""</f>
        <v/>
      </c>
      <c r="P41" s="20" t="str">
        <f>""</f>
        <v/>
      </c>
      <c r="Q41" s="20" t="str">
        <f>""</f>
        <v/>
      </c>
      <c r="R41" s="20" t="str">
        <f>""</f>
        <v/>
      </c>
      <c r="S41" s="20" t="str">
        <f>""</f>
        <v/>
      </c>
      <c r="T41" s="20" t="str">
        <f>""</f>
        <v/>
      </c>
      <c r="U41" s="20" t="str">
        <f>IF('Step 1 - Budget Manager'!B38="","",'Step 1 - Budget Manager'!H38)</f>
        <v/>
      </c>
      <c r="V41" s="19" t="str">
        <f>IF('Step 1 - Budget Manager'!B38="","",'Step 1 - Budget Manager'!J38)</f>
        <v/>
      </c>
      <c r="W41" s="20" t="str">
        <f>IF('Step 1 - Budget Manager'!B38="","",'Step 1 - Budget Manager'!K38)</f>
        <v/>
      </c>
      <c r="X41" s="19" t="str">
        <f>IF('Step 1 - Budget Manager'!B38="","",'Step 1 - Budget Manager'!M38)</f>
        <v/>
      </c>
      <c r="Y41" s="20" t="str">
        <f>IF('Step 1 - Budget Manager'!B38="","",'Step 1 - Budget Manager'!N38)</f>
        <v/>
      </c>
      <c r="Z41" s="20" t="str">
        <f>""</f>
        <v/>
      </c>
      <c r="AA41" s="20" t="str">
        <f>""</f>
        <v/>
      </c>
      <c r="AB41" s="20" t="str">
        <f>""</f>
        <v/>
      </c>
      <c r="AC41" s="20" t="str">
        <f>""</f>
        <v/>
      </c>
      <c r="AD41" s="20" t="str">
        <f>""</f>
        <v/>
      </c>
      <c r="AE41" s="20" t="str">
        <f>""</f>
        <v/>
      </c>
      <c r="AF41" s="20" t="str">
        <f>""</f>
        <v/>
      </c>
      <c r="AG41" s="20" t="str">
        <f>""</f>
        <v/>
      </c>
      <c r="AH41" s="20" t="str">
        <f>""</f>
        <v/>
      </c>
      <c r="AI41" s="20" t="str">
        <f>""</f>
        <v/>
      </c>
      <c r="AJ41" s="20" t="str">
        <f>""</f>
        <v/>
      </c>
      <c r="AK41" s="20" t="str">
        <f>""</f>
        <v/>
      </c>
      <c r="AL41" s="20" t="str">
        <f>""</f>
        <v/>
      </c>
      <c r="AM41" s="20" t="str">
        <f>""</f>
        <v/>
      </c>
    </row>
    <row r="42" spans="1:39" ht="15.75" customHeight="1" x14ac:dyDescent="0.25">
      <c r="A42" s="17" t="str">
        <f>IF('Step 1 - Budget Manager'!B39="","","Active")</f>
        <v/>
      </c>
      <c r="B42" s="18" t="str">
        <f>IF('Step 1 - Budget Manager'!B39="","",'Step 1 - Budget Manager'!B39)</f>
        <v/>
      </c>
      <c r="C42" s="18" t="str">
        <f>IF('Step 1 - Budget Manager'!B39="","",'Step 1 - Budget Manager'!B39)</f>
        <v/>
      </c>
      <c r="D42" s="17" t="str">
        <f>IF('Step 1 - Budget Manager'!B39="","",'Step 1 - Budget Manager'!F39)</f>
        <v/>
      </c>
      <c r="E42" s="17" t="str">
        <f>IF('Step 1 - Budget Manager'!B39="","",'Step 1 - Budget Manager'!G39)</f>
        <v/>
      </c>
      <c r="F42" s="18" t="str">
        <f>IF('Step 1 - Budget Manager'!B39="","",IF('Step 1 - Budget Manager'!C39="","","Fund Code"))</f>
        <v/>
      </c>
      <c r="G42" s="17" t="str">
        <f>IF('Step 1 - Budget Manager'!B39="","",IF('Step 1 - Budget Manager'!C39="","","Equals"))</f>
        <v/>
      </c>
      <c r="H42" s="18" t="str">
        <f>IF('Step 1 - Budget Manager'!B39="","",IF('Step 1 - Budget Manager'!C39="","",'Step 1 - Budget Manager'!C39))</f>
        <v/>
      </c>
      <c r="I42" s="18" t="str">
        <f>IF('Step 1 - Budget Manager'!B39="","","Organization Code")</f>
        <v/>
      </c>
      <c r="J42" s="17" t="str">
        <f>IF('Step 1 - Budget Manager'!B39="","","Equals")</f>
        <v/>
      </c>
      <c r="K42" s="18" t="str">
        <f>IF('Step 1 - Budget Manager'!B39="","",'Step 1 - Budget Manager'!D39)</f>
        <v/>
      </c>
      <c r="L42" s="18" t="str">
        <f>IF('Step 1 - Budget Manager'!B39="","","Other Criteria")</f>
        <v/>
      </c>
      <c r="M42" s="17" t="str">
        <f>IF('Step 1 - Budget Manager'!B39="","","Equals")</f>
        <v/>
      </c>
      <c r="N42" s="18" t="str">
        <f>IF('Step 1 - Budget Manager'!B39="","",'Step 1 - Budget Manager'!E39)</f>
        <v/>
      </c>
      <c r="O42" s="18" t="str">
        <f>""</f>
        <v/>
      </c>
      <c r="P42" s="18" t="str">
        <f>""</f>
        <v/>
      </c>
      <c r="Q42" s="18" t="str">
        <f>""</f>
        <v/>
      </c>
      <c r="R42" s="18" t="str">
        <f>""</f>
        <v/>
      </c>
      <c r="S42" s="18" t="str">
        <f>""</f>
        <v/>
      </c>
      <c r="T42" s="18" t="str">
        <f>""</f>
        <v/>
      </c>
      <c r="U42" s="18" t="str">
        <f>IF('Step 1 - Budget Manager'!B39="","",'Step 1 - Budget Manager'!H39)</f>
        <v/>
      </c>
      <c r="V42" s="17" t="str">
        <f>IF('Step 1 - Budget Manager'!B39="","",'Step 1 - Budget Manager'!J39)</f>
        <v/>
      </c>
      <c r="W42" s="18" t="str">
        <f>IF('Step 1 - Budget Manager'!B39="","",'Step 1 - Budget Manager'!K39)</f>
        <v/>
      </c>
      <c r="X42" s="17" t="str">
        <f>IF('Step 1 - Budget Manager'!B39="","",'Step 1 - Budget Manager'!M39)</f>
        <v/>
      </c>
      <c r="Y42" s="18" t="str">
        <f>IF('Step 1 - Budget Manager'!B39="","",'Step 1 - Budget Manager'!N39)</f>
        <v/>
      </c>
      <c r="Z42" s="18" t="str">
        <f>""</f>
        <v/>
      </c>
      <c r="AA42" s="18" t="str">
        <f>""</f>
        <v/>
      </c>
      <c r="AB42" s="18" t="str">
        <f>""</f>
        <v/>
      </c>
      <c r="AC42" s="18" t="str">
        <f>""</f>
        <v/>
      </c>
      <c r="AD42" s="18" t="str">
        <f>""</f>
        <v/>
      </c>
      <c r="AE42" s="18" t="str">
        <f>""</f>
        <v/>
      </c>
      <c r="AF42" s="18" t="str">
        <f>""</f>
        <v/>
      </c>
      <c r="AG42" s="18" t="str">
        <f>""</f>
        <v/>
      </c>
      <c r="AH42" s="18" t="str">
        <f>""</f>
        <v/>
      </c>
      <c r="AI42" s="18" t="str">
        <f>""</f>
        <v/>
      </c>
      <c r="AJ42" s="18" t="str">
        <f>""</f>
        <v/>
      </c>
      <c r="AK42" s="18" t="str">
        <f>""</f>
        <v/>
      </c>
      <c r="AL42" s="18" t="str">
        <f>""</f>
        <v/>
      </c>
      <c r="AM42" s="18" t="str">
        <f>""</f>
        <v/>
      </c>
    </row>
    <row r="43" spans="1:39" ht="15.75" customHeight="1" x14ac:dyDescent="0.25">
      <c r="A43" s="19" t="str">
        <f>IF('Step 1 - Budget Manager'!B40="","","Active")</f>
        <v/>
      </c>
      <c r="B43" s="20" t="str">
        <f>IF('Step 1 - Budget Manager'!B40="","",'Step 1 - Budget Manager'!B40)</f>
        <v/>
      </c>
      <c r="C43" s="20" t="str">
        <f>IF('Step 1 - Budget Manager'!B40="","",'Step 1 - Budget Manager'!B40)</f>
        <v/>
      </c>
      <c r="D43" s="19" t="str">
        <f>IF('Step 1 - Budget Manager'!B40="","",'Step 1 - Budget Manager'!F40)</f>
        <v/>
      </c>
      <c r="E43" s="19" t="str">
        <f>IF('Step 1 - Budget Manager'!B40="","",'Step 1 - Budget Manager'!G40)</f>
        <v/>
      </c>
      <c r="F43" s="20" t="str">
        <f>IF('Step 1 - Budget Manager'!B40="","",IF('Step 1 - Budget Manager'!C40="","","Fund Code"))</f>
        <v/>
      </c>
      <c r="G43" s="19" t="str">
        <f>IF('Step 1 - Budget Manager'!B40="","",IF('Step 1 - Budget Manager'!C40="","","Equals"))</f>
        <v/>
      </c>
      <c r="H43" s="20" t="str">
        <f>IF('Step 1 - Budget Manager'!B40="","",IF('Step 1 - Budget Manager'!C40="","",'Step 1 - Budget Manager'!C40))</f>
        <v/>
      </c>
      <c r="I43" s="20" t="str">
        <f>IF('Step 1 - Budget Manager'!B40="","","Organization Code")</f>
        <v/>
      </c>
      <c r="J43" s="19" t="str">
        <f>IF('Step 1 - Budget Manager'!B40="","","Equals")</f>
        <v/>
      </c>
      <c r="K43" s="20" t="str">
        <f>IF('Step 1 - Budget Manager'!B40="","",'Step 1 - Budget Manager'!D40)</f>
        <v/>
      </c>
      <c r="L43" s="20" t="str">
        <f>IF('Step 1 - Budget Manager'!B40="","","Other Criteria")</f>
        <v/>
      </c>
      <c r="M43" s="19" t="str">
        <f>IF('Step 1 - Budget Manager'!B40="","","Equals")</f>
        <v/>
      </c>
      <c r="N43" s="20" t="str">
        <f>IF('Step 1 - Budget Manager'!B40="","",'Step 1 - Budget Manager'!E40)</f>
        <v/>
      </c>
      <c r="O43" s="20" t="str">
        <f>""</f>
        <v/>
      </c>
      <c r="P43" s="20" t="str">
        <f>""</f>
        <v/>
      </c>
      <c r="Q43" s="20" t="str">
        <f>""</f>
        <v/>
      </c>
      <c r="R43" s="20" t="str">
        <f>""</f>
        <v/>
      </c>
      <c r="S43" s="20" t="str">
        <f>""</f>
        <v/>
      </c>
      <c r="T43" s="20" t="str">
        <f>""</f>
        <v/>
      </c>
      <c r="U43" s="20" t="str">
        <f>IF('Step 1 - Budget Manager'!B40="","",'Step 1 - Budget Manager'!H40)</f>
        <v/>
      </c>
      <c r="V43" s="19" t="str">
        <f>IF('Step 1 - Budget Manager'!B40="","",'Step 1 - Budget Manager'!J40)</f>
        <v/>
      </c>
      <c r="W43" s="20" t="str">
        <f>IF('Step 1 - Budget Manager'!B40="","",'Step 1 - Budget Manager'!K40)</f>
        <v/>
      </c>
      <c r="X43" s="19" t="str">
        <f>IF('Step 1 - Budget Manager'!B40="","",'Step 1 - Budget Manager'!M40)</f>
        <v/>
      </c>
      <c r="Y43" s="20" t="str">
        <f>IF('Step 1 - Budget Manager'!B40="","",'Step 1 - Budget Manager'!N40)</f>
        <v/>
      </c>
      <c r="Z43" s="20" t="str">
        <f>""</f>
        <v/>
      </c>
      <c r="AA43" s="20" t="str">
        <f>""</f>
        <v/>
      </c>
      <c r="AB43" s="20" t="str">
        <f>""</f>
        <v/>
      </c>
      <c r="AC43" s="20" t="str">
        <f>""</f>
        <v/>
      </c>
      <c r="AD43" s="20" t="str">
        <f>""</f>
        <v/>
      </c>
      <c r="AE43" s="20" t="str">
        <f>""</f>
        <v/>
      </c>
      <c r="AF43" s="20" t="str">
        <f>""</f>
        <v/>
      </c>
      <c r="AG43" s="20" t="str">
        <f>""</f>
        <v/>
      </c>
      <c r="AH43" s="20" t="str">
        <f>""</f>
        <v/>
      </c>
      <c r="AI43" s="20" t="str">
        <f>""</f>
        <v/>
      </c>
      <c r="AJ43" s="20" t="str">
        <f>""</f>
        <v/>
      </c>
      <c r="AK43" s="20" t="str">
        <f>""</f>
        <v/>
      </c>
      <c r="AL43" s="20" t="str">
        <f>""</f>
        <v/>
      </c>
      <c r="AM43" s="20" t="str">
        <f>""</f>
        <v/>
      </c>
    </row>
    <row r="44" spans="1:39" ht="15.75" customHeight="1" x14ac:dyDescent="0.25">
      <c r="A44" s="17" t="str">
        <f>IF('Step 1 - Budget Manager'!B41="","","Active")</f>
        <v/>
      </c>
      <c r="B44" s="18" t="str">
        <f>IF('Step 1 - Budget Manager'!B41="","",'Step 1 - Budget Manager'!B41)</f>
        <v/>
      </c>
      <c r="C44" s="18" t="str">
        <f>IF('Step 1 - Budget Manager'!B41="","",'Step 1 - Budget Manager'!B41)</f>
        <v/>
      </c>
      <c r="D44" s="17" t="str">
        <f>IF('Step 1 - Budget Manager'!B41="","",'Step 1 - Budget Manager'!F41)</f>
        <v/>
      </c>
      <c r="E44" s="17" t="str">
        <f>IF('Step 1 - Budget Manager'!B41="","",'Step 1 - Budget Manager'!G41)</f>
        <v/>
      </c>
      <c r="F44" s="18" t="str">
        <f>IF('Step 1 - Budget Manager'!B41="","",IF('Step 1 - Budget Manager'!C41="","","Fund Code"))</f>
        <v/>
      </c>
      <c r="G44" s="17" t="str">
        <f>IF('Step 1 - Budget Manager'!B41="","",IF('Step 1 - Budget Manager'!C41="","","Equals"))</f>
        <v/>
      </c>
      <c r="H44" s="18" t="str">
        <f>IF('Step 1 - Budget Manager'!B41="","",IF('Step 1 - Budget Manager'!C41="","",'Step 1 - Budget Manager'!C41))</f>
        <v/>
      </c>
      <c r="I44" s="18" t="str">
        <f>IF('Step 1 - Budget Manager'!B41="","","Organization Code")</f>
        <v/>
      </c>
      <c r="J44" s="17" t="str">
        <f>IF('Step 1 - Budget Manager'!B41="","","Equals")</f>
        <v/>
      </c>
      <c r="K44" s="18" t="str">
        <f>IF('Step 1 - Budget Manager'!B41="","",'Step 1 - Budget Manager'!D41)</f>
        <v/>
      </c>
      <c r="L44" s="18" t="str">
        <f>IF('Step 1 - Budget Manager'!B41="","","Other Criteria")</f>
        <v/>
      </c>
      <c r="M44" s="17" t="str">
        <f>IF('Step 1 - Budget Manager'!B41="","","Equals")</f>
        <v/>
      </c>
      <c r="N44" s="18" t="str">
        <f>IF('Step 1 - Budget Manager'!B41="","",'Step 1 - Budget Manager'!E41)</f>
        <v/>
      </c>
      <c r="O44" s="18" t="str">
        <f>""</f>
        <v/>
      </c>
      <c r="P44" s="18" t="str">
        <f>""</f>
        <v/>
      </c>
      <c r="Q44" s="18" t="str">
        <f>""</f>
        <v/>
      </c>
      <c r="R44" s="18" t="str">
        <f>""</f>
        <v/>
      </c>
      <c r="S44" s="18" t="str">
        <f>""</f>
        <v/>
      </c>
      <c r="T44" s="18" t="str">
        <f>""</f>
        <v/>
      </c>
      <c r="U44" s="18" t="str">
        <f>IF('Step 1 - Budget Manager'!B41="","",'Step 1 - Budget Manager'!H41)</f>
        <v/>
      </c>
      <c r="V44" s="17" t="str">
        <f>IF('Step 1 - Budget Manager'!B41="","",'Step 1 - Budget Manager'!J41)</f>
        <v/>
      </c>
      <c r="W44" s="18" t="str">
        <f>IF('Step 1 - Budget Manager'!B41="","",'Step 1 - Budget Manager'!K41)</f>
        <v/>
      </c>
      <c r="X44" s="17" t="str">
        <f>IF('Step 1 - Budget Manager'!B41="","",'Step 1 - Budget Manager'!M41)</f>
        <v/>
      </c>
      <c r="Y44" s="18" t="str">
        <f>IF('Step 1 - Budget Manager'!B41="","",'Step 1 - Budget Manager'!N41)</f>
        <v/>
      </c>
      <c r="Z44" s="18" t="str">
        <f>""</f>
        <v/>
      </c>
      <c r="AA44" s="18" t="str">
        <f>""</f>
        <v/>
      </c>
      <c r="AB44" s="18" t="str">
        <f>""</f>
        <v/>
      </c>
      <c r="AC44" s="18" t="str">
        <f>""</f>
        <v/>
      </c>
      <c r="AD44" s="18" t="str">
        <f>""</f>
        <v/>
      </c>
      <c r="AE44" s="18" t="str">
        <f>""</f>
        <v/>
      </c>
      <c r="AF44" s="18" t="str">
        <f>""</f>
        <v/>
      </c>
      <c r="AG44" s="18" t="str">
        <f>""</f>
        <v/>
      </c>
      <c r="AH44" s="18" t="str">
        <f>""</f>
        <v/>
      </c>
      <c r="AI44" s="18" t="str">
        <f>""</f>
        <v/>
      </c>
      <c r="AJ44" s="18" t="str">
        <f>""</f>
        <v/>
      </c>
      <c r="AK44" s="18" t="str">
        <f>""</f>
        <v/>
      </c>
      <c r="AL44" s="18" t="str">
        <f>""</f>
        <v/>
      </c>
      <c r="AM44" s="18" t="str">
        <f>""</f>
        <v/>
      </c>
    </row>
    <row r="45" spans="1:39" ht="15.75" customHeight="1" x14ac:dyDescent="0.25">
      <c r="A45" s="19" t="str">
        <f>IF('Step 1 - Budget Manager'!B42="","","Active")</f>
        <v/>
      </c>
      <c r="B45" s="20" t="str">
        <f>IF('Step 1 - Budget Manager'!B42="","",'Step 1 - Budget Manager'!B42)</f>
        <v/>
      </c>
      <c r="C45" s="20" t="str">
        <f>IF('Step 1 - Budget Manager'!B42="","",'Step 1 - Budget Manager'!B42)</f>
        <v/>
      </c>
      <c r="D45" s="19" t="str">
        <f>IF('Step 1 - Budget Manager'!B42="","",'Step 1 - Budget Manager'!F42)</f>
        <v/>
      </c>
      <c r="E45" s="19" t="str">
        <f>IF('Step 1 - Budget Manager'!B42="","",'Step 1 - Budget Manager'!G42)</f>
        <v/>
      </c>
      <c r="F45" s="20" t="str">
        <f>IF('Step 1 - Budget Manager'!B42="","",IF('Step 1 - Budget Manager'!C42="","","Fund Code"))</f>
        <v/>
      </c>
      <c r="G45" s="19" t="str">
        <f>IF('Step 1 - Budget Manager'!B42="","",IF('Step 1 - Budget Manager'!C42="","","Equals"))</f>
        <v/>
      </c>
      <c r="H45" s="20" t="str">
        <f>IF('Step 1 - Budget Manager'!B42="","",IF('Step 1 - Budget Manager'!C42="","",'Step 1 - Budget Manager'!C42))</f>
        <v/>
      </c>
      <c r="I45" s="20" t="str">
        <f>IF('Step 1 - Budget Manager'!B42="","","Organization Code")</f>
        <v/>
      </c>
      <c r="J45" s="19" t="str">
        <f>IF('Step 1 - Budget Manager'!B42="","","Equals")</f>
        <v/>
      </c>
      <c r="K45" s="20" t="str">
        <f>IF('Step 1 - Budget Manager'!B42="","",'Step 1 - Budget Manager'!D42)</f>
        <v/>
      </c>
      <c r="L45" s="20" t="str">
        <f>IF('Step 1 - Budget Manager'!B42="","","Other Criteria")</f>
        <v/>
      </c>
      <c r="M45" s="19" t="str">
        <f>IF('Step 1 - Budget Manager'!B42="","","Equals")</f>
        <v/>
      </c>
      <c r="N45" s="20" t="str">
        <f>IF('Step 1 - Budget Manager'!B42="","",'Step 1 - Budget Manager'!E42)</f>
        <v/>
      </c>
      <c r="O45" s="20" t="str">
        <f>""</f>
        <v/>
      </c>
      <c r="P45" s="20" t="str">
        <f>""</f>
        <v/>
      </c>
      <c r="Q45" s="20" t="str">
        <f>""</f>
        <v/>
      </c>
      <c r="R45" s="20" t="str">
        <f>""</f>
        <v/>
      </c>
      <c r="S45" s="20" t="str">
        <f>""</f>
        <v/>
      </c>
      <c r="T45" s="20" t="str">
        <f>""</f>
        <v/>
      </c>
      <c r="U45" s="20" t="str">
        <f>IF('Step 1 - Budget Manager'!B42="","",'Step 1 - Budget Manager'!H42)</f>
        <v/>
      </c>
      <c r="V45" s="19" t="str">
        <f>IF('Step 1 - Budget Manager'!B42="","",'Step 1 - Budget Manager'!J42)</f>
        <v/>
      </c>
      <c r="W45" s="20" t="str">
        <f>IF('Step 1 - Budget Manager'!B42="","",'Step 1 - Budget Manager'!K42)</f>
        <v/>
      </c>
      <c r="X45" s="19" t="str">
        <f>IF('Step 1 - Budget Manager'!B42="","",'Step 1 - Budget Manager'!M42)</f>
        <v/>
      </c>
      <c r="Y45" s="20" t="str">
        <f>IF('Step 1 - Budget Manager'!B42="","",'Step 1 - Budget Manager'!N42)</f>
        <v/>
      </c>
      <c r="Z45" s="20" t="str">
        <f>""</f>
        <v/>
      </c>
      <c r="AA45" s="20" t="str">
        <f>""</f>
        <v/>
      </c>
      <c r="AB45" s="20" t="str">
        <f>""</f>
        <v/>
      </c>
      <c r="AC45" s="20" t="str">
        <f>""</f>
        <v/>
      </c>
      <c r="AD45" s="20" t="str">
        <f>""</f>
        <v/>
      </c>
      <c r="AE45" s="20" t="str">
        <f>""</f>
        <v/>
      </c>
      <c r="AF45" s="20" t="str">
        <f>""</f>
        <v/>
      </c>
      <c r="AG45" s="20" t="str">
        <f>""</f>
        <v/>
      </c>
      <c r="AH45" s="20" t="str">
        <f>""</f>
        <v/>
      </c>
      <c r="AI45" s="20" t="str">
        <f>""</f>
        <v/>
      </c>
      <c r="AJ45" s="20" t="str">
        <f>""</f>
        <v/>
      </c>
      <c r="AK45" s="20" t="str">
        <f>""</f>
        <v/>
      </c>
      <c r="AL45" s="20" t="str">
        <f>""</f>
        <v/>
      </c>
      <c r="AM45" s="20" t="str">
        <f>""</f>
        <v/>
      </c>
    </row>
    <row r="46" spans="1:39" ht="15.75" customHeight="1" x14ac:dyDescent="0.25">
      <c r="A46" s="17" t="str">
        <f>IF('Step 1 - Budget Manager'!B43="","","Active")</f>
        <v/>
      </c>
      <c r="B46" s="18" t="str">
        <f>IF('Step 1 - Budget Manager'!B43="","",'Step 1 - Budget Manager'!B43)</f>
        <v/>
      </c>
      <c r="C46" s="18" t="str">
        <f>IF('Step 1 - Budget Manager'!B43="","",'Step 1 - Budget Manager'!B43)</f>
        <v/>
      </c>
      <c r="D46" s="17" t="str">
        <f>IF('Step 1 - Budget Manager'!B43="","",'Step 1 - Budget Manager'!F43)</f>
        <v/>
      </c>
      <c r="E46" s="17" t="str">
        <f>IF('Step 1 - Budget Manager'!B43="","",'Step 1 - Budget Manager'!G43)</f>
        <v/>
      </c>
      <c r="F46" s="18" t="str">
        <f>IF('Step 1 - Budget Manager'!B43="","",IF('Step 1 - Budget Manager'!C43="","","Fund Code"))</f>
        <v/>
      </c>
      <c r="G46" s="17" t="str">
        <f>IF('Step 1 - Budget Manager'!B43="","",IF('Step 1 - Budget Manager'!C43="","","Equals"))</f>
        <v/>
      </c>
      <c r="H46" s="18" t="str">
        <f>IF('Step 1 - Budget Manager'!B43="","",IF('Step 1 - Budget Manager'!C43="","",'Step 1 - Budget Manager'!C43))</f>
        <v/>
      </c>
      <c r="I46" s="18" t="str">
        <f>IF('Step 1 - Budget Manager'!B43="","","Organization Code")</f>
        <v/>
      </c>
      <c r="J46" s="17" t="str">
        <f>IF('Step 1 - Budget Manager'!B43="","","Equals")</f>
        <v/>
      </c>
      <c r="K46" s="18" t="str">
        <f>IF('Step 1 - Budget Manager'!B43="","",'Step 1 - Budget Manager'!D43)</f>
        <v/>
      </c>
      <c r="L46" s="18" t="str">
        <f>IF('Step 1 - Budget Manager'!B43="","","Other Criteria")</f>
        <v/>
      </c>
      <c r="M46" s="17" t="str">
        <f>IF('Step 1 - Budget Manager'!B43="","","Equals")</f>
        <v/>
      </c>
      <c r="N46" s="18" t="str">
        <f>IF('Step 1 - Budget Manager'!B43="","",'Step 1 - Budget Manager'!E43)</f>
        <v/>
      </c>
      <c r="O46" s="18" t="str">
        <f>""</f>
        <v/>
      </c>
      <c r="P46" s="18" t="str">
        <f>""</f>
        <v/>
      </c>
      <c r="Q46" s="18" t="str">
        <f>""</f>
        <v/>
      </c>
      <c r="R46" s="18" t="str">
        <f>""</f>
        <v/>
      </c>
      <c r="S46" s="18" t="str">
        <f>""</f>
        <v/>
      </c>
      <c r="T46" s="18" t="str">
        <f>""</f>
        <v/>
      </c>
      <c r="U46" s="18" t="str">
        <f>IF('Step 1 - Budget Manager'!B43="","",'Step 1 - Budget Manager'!H43)</f>
        <v/>
      </c>
      <c r="V46" s="17" t="str">
        <f>IF('Step 1 - Budget Manager'!B43="","",'Step 1 - Budget Manager'!J43)</f>
        <v/>
      </c>
      <c r="W46" s="18" t="str">
        <f>IF('Step 1 - Budget Manager'!B43="","",'Step 1 - Budget Manager'!K43)</f>
        <v/>
      </c>
      <c r="X46" s="17" t="str">
        <f>IF('Step 1 - Budget Manager'!B43="","",'Step 1 - Budget Manager'!M43)</f>
        <v/>
      </c>
      <c r="Y46" s="18" t="str">
        <f>IF('Step 1 - Budget Manager'!B43="","",'Step 1 - Budget Manager'!N43)</f>
        <v/>
      </c>
      <c r="Z46" s="18" t="str">
        <f>""</f>
        <v/>
      </c>
      <c r="AA46" s="18" t="str">
        <f>""</f>
        <v/>
      </c>
      <c r="AB46" s="18" t="str">
        <f>""</f>
        <v/>
      </c>
      <c r="AC46" s="18" t="str">
        <f>""</f>
        <v/>
      </c>
      <c r="AD46" s="18" t="str">
        <f>""</f>
        <v/>
      </c>
      <c r="AE46" s="18" t="str">
        <f>""</f>
        <v/>
      </c>
      <c r="AF46" s="18" t="str">
        <f>""</f>
        <v/>
      </c>
      <c r="AG46" s="18" t="str">
        <f>""</f>
        <v/>
      </c>
      <c r="AH46" s="18" t="str">
        <f>""</f>
        <v/>
      </c>
      <c r="AI46" s="18" t="str">
        <f>""</f>
        <v/>
      </c>
      <c r="AJ46" s="18" t="str">
        <f>""</f>
        <v/>
      </c>
      <c r="AK46" s="18" t="str">
        <f>""</f>
        <v/>
      </c>
      <c r="AL46" s="18" t="str">
        <f>""</f>
        <v/>
      </c>
      <c r="AM46" s="18" t="str">
        <f>""</f>
        <v/>
      </c>
    </row>
    <row r="47" spans="1:39" ht="15.75" customHeight="1" x14ac:dyDescent="0.25">
      <c r="A47" s="19" t="str">
        <f>IF('Step 1 - Budget Manager'!B44="","","Active")</f>
        <v/>
      </c>
      <c r="B47" s="20" t="str">
        <f>IF('Step 1 - Budget Manager'!B44="","",'Step 1 - Budget Manager'!B44)</f>
        <v/>
      </c>
      <c r="C47" s="20" t="str">
        <f>IF('Step 1 - Budget Manager'!B44="","",'Step 1 - Budget Manager'!B44)</f>
        <v/>
      </c>
      <c r="D47" s="19" t="str">
        <f>IF('Step 1 - Budget Manager'!B44="","",'Step 1 - Budget Manager'!F44)</f>
        <v/>
      </c>
      <c r="E47" s="19" t="str">
        <f>IF('Step 1 - Budget Manager'!B44="","",'Step 1 - Budget Manager'!G44)</f>
        <v/>
      </c>
      <c r="F47" s="20" t="str">
        <f>IF('Step 1 - Budget Manager'!B44="","",IF('Step 1 - Budget Manager'!C44="","","Fund Code"))</f>
        <v/>
      </c>
      <c r="G47" s="19" t="str">
        <f>IF('Step 1 - Budget Manager'!B44="","",IF('Step 1 - Budget Manager'!C44="","","Equals"))</f>
        <v/>
      </c>
      <c r="H47" s="20" t="str">
        <f>IF('Step 1 - Budget Manager'!B44="","",IF('Step 1 - Budget Manager'!C44="","",'Step 1 - Budget Manager'!C44))</f>
        <v/>
      </c>
      <c r="I47" s="20" t="str">
        <f>IF('Step 1 - Budget Manager'!B44="","","Organization Code")</f>
        <v/>
      </c>
      <c r="J47" s="19" t="str">
        <f>IF('Step 1 - Budget Manager'!B44="","","Equals")</f>
        <v/>
      </c>
      <c r="K47" s="20" t="str">
        <f>IF('Step 1 - Budget Manager'!B44="","",'Step 1 - Budget Manager'!D44)</f>
        <v/>
      </c>
      <c r="L47" s="20" t="str">
        <f>IF('Step 1 - Budget Manager'!B44="","","Other Criteria")</f>
        <v/>
      </c>
      <c r="M47" s="19" t="str">
        <f>IF('Step 1 - Budget Manager'!B44="","","Equals")</f>
        <v/>
      </c>
      <c r="N47" s="20" t="str">
        <f>IF('Step 1 - Budget Manager'!B44="","",'Step 1 - Budget Manager'!E44)</f>
        <v/>
      </c>
      <c r="O47" s="20" t="str">
        <f>""</f>
        <v/>
      </c>
      <c r="P47" s="20" t="str">
        <f>""</f>
        <v/>
      </c>
      <c r="Q47" s="20" t="str">
        <f>""</f>
        <v/>
      </c>
      <c r="R47" s="20" t="str">
        <f>""</f>
        <v/>
      </c>
      <c r="S47" s="20" t="str">
        <f>""</f>
        <v/>
      </c>
      <c r="T47" s="20" t="str">
        <f>""</f>
        <v/>
      </c>
      <c r="U47" s="20" t="str">
        <f>IF('Step 1 - Budget Manager'!B44="","",'Step 1 - Budget Manager'!H44)</f>
        <v/>
      </c>
      <c r="V47" s="19" t="str">
        <f>IF('Step 1 - Budget Manager'!B44="","",'Step 1 - Budget Manager'!J44)</f>
        <v/>
      </c>
      <c r="W47" s="20" t="str">
        <f>IF('Step 1 - Budget Manager'!B44="","",'Step 1 - Budget Manager'!K44)</f>
        <v/>
      </c>
      <c r="X47" s="19" t="str">
        <f>IF('Step 1 - Budget Manager'!B44="","",'Step 1 - Budget Manager'!M44)</f>
        <v/>
      </c>
      <c r="Y47" s="20" t="str">
        <f>IF('Step 1 - Budget Manager'!B44="","",'Step 1 - Budget Manager'!N44)</f>
        <v/>
      </c>
      <c r="Z47" s="20" t="str">
        <f>""</f>
        <v/>
      </c>
      <c r="AA47" s="20" t="str">
        <f>""</f>
        <v/>
      </c>
      <c r="AB47" s="20" t="str">
        <f>""</f>
        <v/>
      </c>
      <c r="AC47" s="20" t="str">
        <f>""</f>
        <v/>
      </c>
      <c r="AD47" s="20" t="str">
        <f>""</f>
        <v/>
      </c>
      <c r="AE47" s="20" t="str">
        <f>""</f>
        <v/>
      </c>
      <c r="AF47" s="20" t="str">
        <f>""</f>
        <v/>
      </c>
      <c r="AG47" s="20" t="str">
        <f>""</f>
        <v/>
      </c>
      <c r="AH47" s="20" t="str">
        <f>""</f>
        <v/>
      </c>
      <c r="AI47" s="20" t="str">
        <f>""</f>
        <v/>
      </c>
      <c r="AJ47" s="20" t="str">
        <f>""</f>
        <v/>
      </c>
      <c r="AK47" s="20" t="str">
        <f>""</f>
        <v/>
      </c>
      <c r="AL47" s="20" t="str">
        <f>""</f>
        <v/>
      </c>
      <c r="AM47" s="20" t="str">
        <f>""</f>
        <v/>
      </c>
    </row>
    <row r="48" spans="1:39" ht="15.75" customHeight="1" x14ac:dyDescent="0.25">
      <c r="A48" s="17" t="str">
        <f>IF('Step 1 - Budget Manager'!B45="","","Active")</f>
        <v/>
      </c>
      <c r="B48" s="18" t="str">
        <f>IF('Step 1 - Budget Manager'!B45="","",'Step 1 - Budget Manager'!B45)</f>
        <v/>
      </c>
      <c r="C48" s="18" t="str">
        <f>IF('Step 1 - Budget Manager'!B45="","",'Step 1 - Budget Manager'!B45)</f>
        <v/>
      </c>
      <c r="D48" s="17" t="str">
        <f>IF('Step 1 - Budget Manager'!B45="","",'Step 1 - Budget Manager'!F45)</f>
        <v/>
      </c>
      <c r="E48" s="17" t="str">
        <f>IF('Step 1 - Budget Manager'!B45="","",'Step 1 - Budget Manager'!G45)</f>
        <v/>
      </c>
      <c r="F48" s="18" t="str">
        <f>IF('Step 1 - Budget Manager'!B45="","",IF('Step 1 - Budget Manager'!C45="","","Fund Code"))</f>
        <v/>
      </c>
      <c r="G48" s="17" t="str">
        <f>IF('Step 1 - Budget Manager'!B45="","",IF('Step 1 - Budget Manager'!C45="","","Equals"))</f>
        <v/>
      </c>
      <c r="H48" s="18" t="str">
        <f>IF('Step 1 - Budget Manager'!B45="","",IF('Step 1 - Budget Manager'!C45="","",'Step 1 - Budget Manager'!C45))</f>
        <v/>
      </c>
      <c r="I48" s="18" t="str">
        <f>IF('Step 1 - Budget Manager'!B45="","","Organization Code")</f>
        <v/>
      </c>
      <c r="J48" s="17" t="str">
        <f>IF('Step 1 - Budget Manager'!B45="","","Equals")</f>
        <v/>
      </c>
      <c r="K48" s="18" t="str">
        <f>IF('Step 1 - Budget Manager'!B45="","",'Step 1 - Budget Manager'!D45)</f>
        <v/>
      </c>
      <c r="L48" s="18" t="str">
        <f>IF('Step 1 - Budget Manager'!B45="","","Other Criteria")</f>
        <v/>
      </c>
      <c r="M48" s="17" t="str">
        <f>IF('Step 1 - Budget Manager'!B45="","","Equals")</f>
        <v/>
      </c>
      <c r="N48" s="18" t="str">
        <f>IF('Step 1 - Budget Manager'!B45="","",'Step 1 - Budget Manager'!E45)</f>
        <v/>
      </c>
      <c r="O48" s="18" t="str">
        <f>""</f>
        <v/>
      </c>
      <c r="P48" s="18" t="str">
        <f>""</f>
        <v/>
      </c>
      <c r="Q48" s="18" t="str">
        <f>""</f>
        <v/>
      </c>
      <c r="R48" s="18" t="str">
        <f>""</f>
        <v/>
      </c>
      <c r="S48" s="18" t="str">
        <f>""</f>
        <v/>
      </c>
      <c r="T48" s="18" t="str">
        <f>""</f>
        <v/>
      </c>
      <c r="U48" s="18" t="str">
        <f>IF('Step 1 - Budget Manager'!B45="","",'Step 1 - Budget Manager'!H45)</f>
        <v/>
      </c>
      <c r="V48" s="17" t="str">
        <f>IF('Step 1 - Budget Manager'!B45="","",'Step 1 - Budget Manager'!J45)</f>
        <v/>
      </c>
      <c r="W48" s="18" t="str">
        <f>IF('Step 1 - Budget Manager'!B45="","",'Step 1 - Budget Manager'!K45)</f>
        <v/>
      </c>
      <c r="X48" s="17" t="str">
        <f>IF('Step 1 - Budget Manager'!B45="","",'Step 1 - Budget Manager'!M45)</f>
        <v/>
      </c>
      <c r="Y48" s="18" t="str">
        <f>IF('Step 1 - Budget Manager'!B45="","",'Step 1 - Budget Manager'!N45)</f>
        <v/>
      </c>
      <c r="Z48" s="18" t="str">
        <f>""</f>
        <v/>
      </c>
      <c r="AA48" s="18" t="str">
        <f>""</f>
        <v/>
      </c>
      <c r="AB48" s="18" t="str">
        <f>""</f>
        <v/>
      </c>
      <c r="AC48" s="18" t="str">
        <f>""</f>
        <v/>
      </c>
      <c r="AD48" s="18" t="str">
        <f>""</f>
        <v/>
      </c>
      <c r="AE48" s="18" t="str">
        <f>""</f>
        <v/>
      </c>
      <c r="AF48" s="18" t="str">
        <f>""</f>
        <v/>
      </c>
      <c r="AG48" s="18" t="str">
        <f>""</f>
        <v/>
      </c>
      <c r="AH48" s="18" t="str">
        <f>""</f>
        <v/>
      </c>
      <c r="AI48" s="18" t="str">
        <f>""</f>
        <v/>
      </c>
      <c r="AJ48" s="18" t="str">
        <f>""</f>
        <v/>
      </c>
      <c r="AK48" s="18" t="str">
        <f>""</f>
        <v/>
      </c>
      <c r="AL48" s="18" t="str">
        <f>""</f>
        <v/>
      </c>
      <c r="AM48" s="18" t="str">
        <f>""</f>
        <v/>
      </c>
    </row>
    <row r="49" spans="1:39" ht="15.75" customHeight="1" x14ac:dyDescent="0.25">
      <c r="A49" s="19" t="str">
        <f>IF('Step 1 - Budget Manager'!B46="","","Active")</f>
        <v/>
      </c>
      <c r="B49" s="20" t="str">
        <f>IF('Step 1 - Budget Manager'!B46="","",'Step 1 - Budget Manager'!B46)</f>
        <v/>
      </c>
      <c r="C49" s="20" t="str">
        <f>IF('Step 1 - Budget Manager'!B46="","",'Step 1 - Budget Manager'!B46)</f>
        <v/>
      </c>
      <c r="D49" s="19" t="str">
        <f>IF('Step 1 - Budget Manager'!B46="","",'Step 1 - Budget Manager'!F46)</f>
        <v/>
      </c>
      <c r="E49" s="19" t="str">
        <f>IF('Step 1 - Budget Manager'!B46="","",'Step 1 - Budget Manager'!G46)</f>
        <v/>
      </c>
      <c r="F49" s="20" t="str">
        <f>IF('Step 1 - Budget Manager'!B46="","",IF('Step 1 - Budget Manager'!C46="","","Fund Code"))</f>
        <v/>
      </c>
      <c r="G49" s="19" t="str">
        <f>IF('Step 1 - Budget Manager'!B46="","",IF('Step 1 - Budget Manager'!C46="","","Equals"))</f>
        <v/>
      </c>
      <c r="H49" s="20" t="str">
        <f>IF('Step 1 - Budget Manager'!B46="","",IF('Step 1 - Budget Manager'!C46="","",'Step 1 - Budget Manager'!C46))</f>
        <v/>
      </c>
      <c r="I49" s="20" t="str">
        <f>IF('Step 1 - Budget Manager'!B46="","","Organization Code")</f>
        <v/>
      </c>
      <c r="J49" s="19" t="str">
        <f>IF('Step 1 - Budget Manager'!B46="","","Equals")</f>
        <v/>
      </c>
      <c r="K49" s="20" t="str">
        <f>IF('Step 1 - Budget Manager'!B46="","",'Step 1 - Budget Manager'!D46)</f>
        <v/>
      </c>
      <c r="L49" s="20" t="str">
        <f>IF('Step 1 - Budget Manager'!B46="","","Other Criteria")</f>
        <v/>
      </c>
      <c r="M49" s="19" t="str">
        <f>IF('Step 1 - Budget Manager'!B46="","","Equals")</f>
        <v/>
      </c>
      <c r="N49" s="20" t="str">
        <f>IF('Step 1 - Budget Manager'!B46="","",'Step 1 - Budget Manager'!E46)</f>
        <v/>
      </c>
      <c r="O49" s="20" t="str">
        <f>""</f>
        <v/>
      </c>
      <c r="P49" s="20" t="str">
        <f>""</f>
        <v/>
      </c>
      <c r="Q49" s="20" t="str">
        <f>""</f>
        <v/>
      </c>
      <c r="R49" s="20" t="str">
        <f>""</f>
        <v/>
      </c>
      <c r="S49" s="20" t="str">
        <f>""</f>
        <v/>
      </c>
      <c r="T49" s="20" t="str">
        <f>""</f>
        <v/>
      </c>
      <c r="U49" s="20" t="str">
        <f>IF('Step 1 - Budget Manager'!B46="","",'Step 1 - Budget Manager'!H46)</f>
        <v/>
      </c>
      <c r="V49" s="19" t="str">
        <f>IF('Step 1 - Budget Manager'!B46="","",'Step 1 - Budget Manager'!J46)</f>
        <v/>
      </c>
      <c r="W49" s="20" t="str">
        <f>IF('Step 1 - Budget Manager'!B46="","",'Step 1 - Budget Manager'!K46)</f>
        <v/>
      </c>
      <c r="X49" s="19" t="str">
        <f>IF('Step 1 - Budget Manager'!B46="","",'Step 1 - Budget Manager'!M46)</f>
        <v/>
      </c>
      <c r="Y49" s="20" t="str">
        <f>IF('Step 1 - Budget Manager'!B46="","",'Step 1 - Budget Manager'!N46)</f>
        <v/>
      </c>
      <c r="Z49" s="20" t="str">
        <f>""</f>
        <v/>
      </c>
      <c r="AA49" s="20" t="str">
        <f>""</f>
        <v/>
      </c>
      <c r="AB49" s="20" t="str">
        <f>""</f>
        <v/>
      </c>
      <c r="AC49" s="20" t="str">
        <f>""</f>
        <v/>
      </c>
      <c r="AD49" s="20" t="str">
        <f>""</f>
        <v/>
      </c>
      <c r="AE49" s="20" t="str">
        <f>""</f>
        <v/>
      </c>
      <c r="AF49" s="20" t="str">
        <f>""</f>
        <v/>
      </c>
      <c r="AG49" s="20" t="str">
        <f>""</f>
        <v/>
      </c>
      <c r="AH49" s="20" t="str">
        <f>""</f>
        <v/>
      </c>
      <c r="AI49" s="20" t="str">
        <f>""</f>
        <v/>
      </c>
      <c r="AJ49" s="20" t="str">
        <f>""</f>
        <v/>
      </c>
      <c r="AK49" s="20" t="str">
        <f>""</f>
        <v/>
      </c>
      <c r="AL49" s="20" t="str">
        <f>""</f>
        <v/>
      </c>
      <c r="AM49" s="20" t="str">
        <f>""</f>
        <v/>
      </c>
    </row>
    <row r="50" spans="1:39" ht="15.75" customHeight="1" x14ac:dyDescent="0.25">
      <c r="A50" s="17" t="str">
        <f>IF('Step 1 - Budget Manager'!B47="","","Active")</f>
        <v/>
      </c>
      <c r="B50" s="18" t="str">
        <f>IF('Step 1 - Budget Manager'!B47="","",'Step 1 - Budget Manager'!B47)</f>
        <v/>
      </c>
      <c r="C50" s="18" t="str">
        <f>IF('Step 1 - Budget Manager'!B47="","",'Step 1 - Budget Manager'!B47)</f>
        <v/>
      </c>
      <c r="D50" s="17" t="str">
        <f>IF('Step 1 - Budget Manager'!B47="","",'Step 1 - Budget Manager'!F47)</f>
        <v/>
      </c>
      <c r="E50" s="17" t="str">
        <f>IF('Step 1 - Budget Manager'!B47="","",'Step 1 - Budget Manager'!G47)</f>
        <v/>
      </c>
      <c r="F50" s="18" t="str">
        <f>IF('Step 1 - Budget Manager'!B47="","",IF('Step 1 - Budget Manager'!C47="","","Fund Code"))</f>
        <v/>
      </c>
      <c r="G50" s="17" t="str">
        <f>IF('Step 1 - Budget Manager'!B47="","",IF('Step 1 - Budget Manager'!C47="","","Equals"))</f>
        <v/>
      </c>
      <c r="H50" s="18" t="str">
        <f>IF('Step 1 - Budget Manager'!B47="","",IF('Step 1 - Budget Manager'!C47="","",'Step 1 - Budget Manager'!C47))</f>
        <v/>
      </c>
      <c r="I50" s="18" t="str">
        <f>IF('Step 1 - Budget Manager'!B47="","","Organization Code")</f>
        <v/>
      </c>
      <c r="J50" s="17" t="str">
        <f>IF('Step 1 - Budget Manager'!B47="","","Equals")</f>
        <v/>
      </c>
      <c r="K50" s="18" t="str">
        <f>IF('Step 1 - Budget Manager'!B47="","",'Step 1 - Budget Manager'!D47)</f>
        <v/>
      </c>
      <c r="L50" s="18" t="str">
        <f>IF('Step 1 - Budget Manager'!B47="","","Other Criteria")</f>
        <v/>
      </c>
      <c r="M50" s="17" t="str">
        <f>IF('Step 1 - Budget Manager'!B47="","","Equals")</f>
        <v/>
      </c>
      <c r="N50" s="18" t="str">
        <f>IF('Step 1 - Budget Manager'!B47="","",'Step 1 - Budget Manager'!E47)</f>
        <v/>
      </c>
      <c r="O50" s="18" t="str">
        <f>""</f>
        <v/>
      </c>
      <c r="P50" s="18" t="str">
        <f>""</f>
        <v/>
      </c>
      <c r="Q50" s="18" t="str">
        <f>""</f>
        <v/>
      </c>
      <c r="R50" s="18" t="str">
        <f>""</f>
        <v/>
      </c>
      <c r="S50" s="18" t="str">
        <f>""</f>
        <v/>
      </c>
      <c r="T50" s="18" t="str">
        <f>""</f>
        <v/>
      </c>
      <c r="U50" s="18" t="str">
        <f>IF('Step 1 - Budget Manager'!B47="","",'Step 1 - Budget Manager'!H47)</f>
        <v/>
      </c>
      <c r="V50" s="17" t="str">
        <f>IF('Step 1 - Budget Manager'!B47="","",'Step 1 - Budget Manager'!J47)</f>
        <v/>
      </c>
      <c r="W50" s="18" t="str">
        <f>IF('Step 1 - Budget Manager'!B47="","",'Step 1 - Budget Manager'!K47)</f>
        <v/>
      </c>
      <c r="X50" s="17" t="str">
        <f>IF('Step 1 - Budget Manager'!B47="","",'Step 1 - Budget Manager'!M47)</f>
        <v/>
      </c>
      <c r="Y50" s="18" t="str">
        <f>IF('Step 1 - Budget Manager'!B47="","",'Step 1 - Budget Manager'!N47)</f>
        <v/>
      </c>
      <c r="Z50" s="18" t="str">
        <f>""</f>
        <v/>
      </c>
      <c r="AA50" s="18" t="str">
        <f>""</f>
        <v/>
      </c>
      <c r="AB50" s="18" t="str">
        <f>""</f>
        <v/>
      </c>
      <c r="AC50" s="18" t="str">
        <f>""</f>
        <v/>
      </c>
      <c r="AD50" s="18" t="str">
        <f>""</f>
        <v/>
      </c>
      <c r="AE50" s="18" t="str">
        <f>""</f>
        <v/>
      </c>
      <c r="AF50" s="18" t="str">
        <f>""</f>
        <v/>
      </c>
      <c r="AG50" s="18" t="str">
        <f>""</f>
        <v/>
      </c>
      <c r="AH50" s="18" t="str">
        <f>""</f>
        <v/>
      </c>
      <c r="AI50" s="18" t="str">
        <f>""</f>
        <v/>
      </c>
      <c r="AJ50" s="18" t="str">
        <f>""</f>
        <v/>
      </c>
      <c r="AK50" s="18" t="str">
        <f>""</f>
        <v/>
      </c>
      <c r="AL50" s="18" t="str">
        <f>""</f>
        <v/>
      </c>
      <c r="AM50" s="18" t="str">
        <f>""</f>
        <v/>
      </c>
    </row>
    <row r="51" spans="1:39" ht="15.75" customHeight="1" x14ac:dyDescent="0.25">
      <c r="A51" s="19" t="str">
        <f>IF('Step 1 - Budget Manager'!B48="","","Active")</f>
        <v/>
      </c>
      <c r="B51" s="20" t="str">
        <f>IF('Step 1 - Budget Manager'!B48="","",'Step 1 - Budget Manager'!B48)</f>
        <v/>
      </c>
      <c r="C51" s="20" t="str">
        <f>IF('Step 1 - Budget Manager'!B48="","",'Step 1 - Budget Manager'!B48)</f>
        <v/>
      </c>
      <c r="D51" s="19" t="str">
        <f>IF('Step 1 - Budget Manager'!B48="","",'Step 1 - Budget Manager'!F48)</f>
        <v/>
      </c>
      <c r="E51" s="19" t="str">
        <f>IF('Step 1 - Budget Manager'!B48="","",'Step 1 - Budget Manager'!G48)</f>
        <v/>
      </c>
      <c r="F51" s="20" t="str">
        <f>IF('Step 1 - Budget Manager'!B48="","",IF('Step 1 - Budget Manager'!C48="","","Fund Code"))</f>
        <v/>
      </c>
      <c r="G51" s="19" t="str">
        <f>IF('Step 1 - Budget Manager'!B48="","",IF('Step 1 - Budget Manager'!C48="","","Equals"))</f>
        <v/>
      </c>
      <c r="H51" s="20" t="str">
        <f>IF('Step 1 - Budget Manager'!B48="","",IF('Step 1 - Budget Manager'!C48="","",'Step 1 - Budget Manager'!C48))</f>
        <v/>
      </c>
      <c r="I51" s="20" t="str">
        <f>IF('Step 1 - Budget Manager'!B48="","","Organization Code")</f>
        <v/>
      </c>
      <c r="J51" s="19" t="str">
        <f>IF('Step 1 - Budget Manager'!B48="","","Equals")</f>
        <v/>
      </c>
      <c r="K51" s="20" t="str">
        <f>IF('Step 1 - Budget Manager'!B48="","",'Step 1 - Budget Manager'!D48)</f>
        <v/>
      </c>
      <c r="L51" s="20" t="str">
        <f>IF('Step 1 - Budget Manager'!B48="","","Other Criteria")</f>
        <v/>
      </c>
      <c r="M51" s="19" t="str">
        <f>IF('Step 1 - Budget Manager'!B48="","","Equals")</f>
        <v/>
      </c>
      <c r="N51" s="20" t="str">
        <f>IF('Step 1 - Budget Manager'!B48="","",'Step 1 - Budget Manager'!E48)</f>
        <v/>
      </c>
      <c r="O51" s="20" t="str">
        <f>""</f>
        <v/>
      </c>
      <c r="P51" s="20" t="str">
        <f>""</f>
        <v/>
      </c>
      <c r="Q51" s="20" t="str">
        <f>""</f>
        <v/>
      </c>
      <c r="R51" s="20" t="str">
        <f>""</f>
        <v/>
      </c>
      <c r="S51" s="20" t="str">
        <f>""</f>
        <v/>
      </c>
      <c r="T51" s="20" t="str">
        <f>""</f>
        <v/>
      </c>
      <c r="U51" s="20" t="str">
        <f>IF('Step 1 - Budget Manager'!B48="","",'Step 1 - Budget Manager'!H48)</f>
        <v/>
      </c>
      <c r="V51" s="19" t="str">
        <f>IF('Step 1 - Budget Manager'!B48="","",'Step 1 - Budget Manager'!J48)</f>
        <v/>
      </c>
      <c r="W51" s="20" t="str">
        <f>IF('Step 1 - Budget Manager'!B48="","",'Step 1 - Budget Manager'!K48)</f>
        <v/>
      </c>
      <c r="X51" s="19" t="str">
        <f>IF('Step 1 - Budget Manager'!B48="","",'Step 1 - Budget Manager'!M48)</f>
        <v/>
      </c>
      <c r="Y51" s="20" t="str">
        <f>IF('Step 1 - Budget Manager'!B48="","",'Step 1 - Budget Manager'!N48)</f>
        <v/>
      </c>
      <c r="Z51" s="20" t="str">
        <f>""</f>
        <v/>
      </c>
      <c r="AA51" s="20" t="str">
        <f>""</f>
        <v/>
      </c>
      <c r="AB51" s="20" t="str">
        <f>""</f>
        <v/>
      </c>
      <c r="AC51" s="20" t="str">
        <f>""</f>
        <v/>
      </c>
      <c r="AD51" s="20" t="str">
        <f>""</f>
        <v/>
      </c>
      <c r="AE51" s="20" t="str">
        <f>""</f>
        <v/>
      </c>
      <c r="AF51" s="20" t="str">
        <f>""</f>
        <v/>
      </c>
      <c r="AG51" s="20" t="str">
        <f>""</f>
        <v/>
      </c>
      <c r="AH51" s="20" t="str">
        <f>""</f>
        <v/>
      </c>
      <c r="AI51" s="20" t="str">
        <f>""</f>
        <v/>
      </c>
      <c r="AJ51" s="20" t="str">
        <f>""</f>
        <v/>
      </c>
      <c r="AK51" s="20" t="str">
        <f>""</f>
        <v/>
      </c>
      <c r="AL51" s="20" t="str">
        <f>""</f>
        <v/>
      </c>
      <c r="AM51" s="20" t="str">
        <f>""</f>
        <v/>
      </c>
    </row>
    <row r="52" spans="1:39" ht="15.75" customHeight="1" x14ac:dyDescent="0.25">
      <c r="A52" s="17" t="str">
        <f>IF('Step 1 - Budget Manager'!B49="","","Active")</f>
        <v/>
      </c>
      <c r="B52" s="18" t="str">
        <f>IF('Step 1 - Budget Manager'!B49="","",'Step 1 - Budget Manager'!B49)</f>
        <v/>
      </c>
      <c r="C52" s="18" t="str">
        <f>IF('Step 1 - Budget Manager'!B49="","",'Step 1 - Budget Manager'!B49)</f>
        <v/>
      </c>
      <c r="D52" s="17" t="str">
        <f>IF('Step 1 - Budget Manager'!B49="","",'Step 1 - Budget Manager'!F49)</f>
        <v/>
      </c>
      <c r="E52" s="17" t="str">
        <f>IF('Step 1 - Budget Manager'!B49="","",'Step 1 - Budget Manager'!G49)</f>
        <v/>
      </c>
      <c r="F52" s="18" t="str">
        <f>IF('Step 1 - Budget Manager'!B49="","",IF('Step 1 - Budget Manager'!C49="","","Fund Code"))</f>
        <v/>
      </c>
      <c r="G52" s="17" t="str">
        <f>IF('Step 1 - Budget Manager'!B49="","",IF('Step 1 - Budget Manager'!C49="","","Equals"))</f>
        <v/>
      </c>
      <c r="H52" s="18" t="str">
        <f>IF('Step 1 - Budget Manager'!B49="","",IF('Step 1 - Budget Manager'!C49="","",'Step 1 - Budget Manager'!C49))</f>
        <v/>
      </c>
      <c r="I52" s="18" t="str">
        <f>IF('Step 1 - Budget Manager'!B49="","","Organization Code")</f>
        <v/>
      </c>
      <c r="J52" s="17" t="str">
        <f>IF('Step 1 - Budget Manager'!B49="","","Equals")</f>
        <v/>
      </c>
      <c r="K52" s="18" t="str">
        <f>IF('Step 1 - Budget Manager'!B49="","",'Step 1 - Budget Manager'!D49)</f>
        <v/>
      </c>
      <c r="L52" s="18" t="str">
        <f>IF('Step 1 - Budget Manager'!B49="","","Other Criteria")</f>
        <v/>
      </c>
      <c r="M52" s="17" t="str">
        <f>IF('Step 1 - Budget Manager'!B49="","","Equals")</f>
        <v/>
      </c>
      <c r="N52" s="18" t="str">
        <f>IF('Step 1 - Budget Manager'!B49="","",'Step 1 - Budget Manager'!E49)</f>
        <v/>
      </c>
      <c r="O52" s="18" t="str">
        <f>""</f>
        <v/>
      </c>
      <c r="P52" s="18" t="str">
        <f>""</f>
        <v/>
      </c>
      <c r="Q52" s="18" t="str">
        <f>""</f>
        <v/>
      </c>
      <c r="R52" s="18" t="str">
        <f>""</f>
        <v/>
      </c>
      <c r="S52" s="18" t="str">
        <f>""</f>
        <v/>
      </c>
      <c r="T52" s="18" t="str">
        <f>""</f>
        <v/>
      </c>
      <c r="U52" s="18" t="str">
        <f>IF('Step 1 - Budget Manager'!B49="","",'Step 1 - Budget Manager'!H49)</f>
        <v/>
      </c>
      <c r="V52" s="17" t="str">
        <f>IF('Step 1 - Budget Manager'!B49="","",'Step 1 - Budget Manager'!J49)</f>
        <v/>
      </c>
      <c r="W52" s="18" t="str">
        <f>IF('Step 1 - Budget Manager'!B49="","",'Step 1 - Budget Manager'!K49)</f>
        <v/>
      </c>
      <c r="X52" s="17" t="str">
        <f>IF('Step 1 - Budget Manager'!B49="","",'Step 1 - Budget Manager'!M49)</f>
        <v/>
      </c>
      <c r="Y52" s="18" t="str">
        <f>IF('Step 1 - Budget Manager'!B49="","",'Step 1 - Budget Manager'!N49)</f>
        <v/>
      </c>
      <c r="Z52" s="18" t="str">
        <f>""</f>
        <v/>
      </c>
      <c r="AA52" s="18" t="str">
        <f>""</f>
        <v/>
      </c>
      <c r="AB52" s="18" t="str">
        <f>""</f>
        <v/>
      </c>
      <c r="AC52" s="18" t="str">
        <f>""</f>
        <v/>
      </c>
      <c r="AD52" s="18" t="str">
        <f>""</f>
        <v/>
      </c>
      <c r="AE52" s="18" t="str">
        <f>""</f>
        <v/>
      </c>
      <c r="AF52" s="18" t="str">
        <f>""</f>
        <v/>
      </c>
      <c r="AG52" s="18" t="str">
        <f>""</f>
        <v/>
      </c>
      <c r="AH52" s="18" t="str">
        <f>""</f>
        <v/>
      </c>
      <c r="AI52" s="18" t="str">
        <f>""</f>
        <v/>
      </c>
      <c r="AJ52" s="18" t="str">
        <f>""</f>
        <v/>
      </c>
      <c r="AK52" s="18" t="str">
        <f>""</f>
        <v/>
      </c>
      <c r="AL52" s="18" t="str">
        <f>""</f>
        <v/>
      </c>
      <c r="AM52" s="18" t="str">
        <f>""</f>
        <v/>
      </c>
    </row>
    <row r="53" spans="1:39" ht="15.75" customHeight="1" x14ac:dyDescent="0.25">
      <c r="A53" s="19" t="str">
        <f>IF('Step 1 - Budget Manager'!B50="","","Active")</f>
        <v/>
      </c>
      <c r="B53" s="20" t="str">
        <f>IF('Step 1 - Budget Manager'!B50="","",'Step 1 - Budget Manager'!B50)</f>
        <v/>
      </c>
      <c r="C53" s="20" t="str">
        <f>IF('Step 1 - Budget Manager'!B50="","",'Step 1 - Budget Manager'!B50)</f>
        <v/>
      </c>
      <c r="D53" s="19" t="str">
        <f>IF('Step 1 - Budget Manager'!B50="","",'Step 1 - Budget Manager'!F50)</f>
        <v/>
      </c>
      <c r="E53" s="19" t="str">
        <f>IF('Step 1 - Budget Manager'!B50="","",'Step 1 - Budget Manager'!G50)</f>
        <v/>
      </c>
      <c r="F53" s="20" t="str">
        <f>IF('Step 1 - Budget Manager'!B50="","",IF('Step 1 - Budget Manager'!C50="","","Fund Code"))</f>
        <v/>
      </c>
      <c r="G53" s="19" t="str">
        <f>IF('Step 1 - Budget Manager'!B50="","",IF('Step 1 - Budget Manager'!C50="","","Equals"))</f>
        <v/>
      </c>
      <c r="H53" s="20" t="str">
        <f>IF('Step 1 - Budget Manager'!B50="","",IF('Step 1 - Budget Manager'!C50="","",'Step 1 - Budget Manager'!C50))</f>
        <v/>
      </c>
      <c r="I53" s="20" t="str">
        <f>IF('Step 1 - Budget Manager'!B50="","","Organization Code")</f>
        <v/>
      </c>
      <c r="J53" s="19" t="str">
        <f>IF('Step 1 - Budget Manager'!B50="","","Equals")</f>
        <v/>
      </c>
      <c r="K53" s="20" t="str">
        <f>IF('Step 1 - Budget Manager'!B50="","",'Step 1 - Budget Manager'!D50)</f>
        <v/>
      </c>
      <c r="L53" s="20" t="str">
        <f>IF('Step 1 - Budget Manager'!B50="","","Other Criteria")</f>
        <v/>
      </c>
      <c r="M53" s="19" t="str">
        <f>IF('Step 1 - Budget Manager'!B50="","","Equals")</f>
        <v/>
      </c>
      <c r="N53" s="20" t="str">
        <f>IF('Step 1 - Budget Manager'!B50="","",'Step 1 - Budget Manager'!E50)</f>
        <v/>
      </c>
      <c r="O53" s="20" t="str">
        <f>""</f>
        <v/>
      </c>
      <c r="P53" s="20" t="str">
        <f>""</f>
        <v/>
      </c>
      <c r="Q53" s="20" t="str">
        <f>""</f>
        <v/>
      </c>
      <c r="R53" s="20" t="str">
        <f>""</f>
        <v/>
      </c>
      <c r="S53" s="20" t="str">
        <f>""</f>
        <v/>
      </c>
      <c r="T53" s="20" t="str">
        <f>""</f>
        <v/>
      </c>
      <c r="U53" s="20" t="str">
        <f>IF('Step 1 - Budget Manager'!B50="","",'Step 1 - Budget Manager'!H50)</f>
        <v/>
      </c>
      <c r="V53" s="19" t="str">
        <f>IF('Step 1 - Budget Manager'!B50="","",'Step 1 - Budget Manager'!J50)</f>
        <v/>
      </c>
      <c r="W53" s="20" t="str">
        <f>IF('Step 1 - Budget Manager'!B50="","",'Step 1 - Budget Manager'!K50)</f>
        <v/>
      </c>
      <c r="X53" s="19" t="str">
        <f>IF('Step 1 - Budget Manager'!B50="","",'Step 1 - Budget Manager'!M50)</f>
        <v/>
      </c>
      <c r="Y53" s="20" t="str">
        <f>IF('Step 1 - Budget Manager'!B50="","",'Step 1 - Budget Manager'!N50)</f>
        <v/>
      </c>
      <c r="Z53" s="20" t="str">
        <f>""</f>
        <v/>
      </c>
      <c r="AA53" s="20" t="str">
        <f>""</f>
        <v/>
      </c>
      <c r="AB53" s="20" t="str">
        <f>""</f>
        <v/>
      </c>
      <c r="AC53" s="20" t="str">
        <f>""</f>
        <v/>
      </c>
      <c r="AD53" s="20" t="str">
        <f>""</f>
        <v/>
      </c>
      <c r="AE53" s="20" t="str">
        <f>""</f>
        <v/>
      </c>
      <c r="AF53" s="20" t="str">
        <f>""</f>
        <v/>
      </c>
      <c r="AG53" s="20" t="str">
        <f>""</f>
        <v/>
      </c>
      <c r="AH53" s="20" t="str">
        <f>""</f>
        <v/>
      </c>
      <c r="AI53" s="20" t="str">
        <f>""</f>
        <v/>
      </c>
      <c r="AJ53" s="20" t="str">
        <f>""</f>
        <v/>
      </c>
      <c r="AK53" s="20" t="str">
        <f>""</f>
        <v/>
      </c>
      <c r="AL53" s="20" t="str">
        <f>""</f>
        <v/>
      </c>
      <c r="AM53" s="20" t="str">
        <f>""</f>
        <v/>
      </c>
    </row>
    <row r="54" spans="1:39" ht="15.75" customHeight="1" x14ac:dyDescent="0.25">
      <c r="A54" s="17" t="str">
        <f>IF('Step 1 - Budget Manager'!B51="","","Active")</f>
        <v/>
      </c>
      <c r="B54" s="18" t="str">
        <f>IF('Step 1 - Budget Manager'!B51="","",'Step 1 - Budget Manager'!B51)</f>
        <v/>
      </c>
      <c r="C54" s="18" t="str">
        <f>IF('Step 1 - Budget Manager'!B51="","",'Step 1 - Budget Manager'!B51)</f>
        <v/>
      </c>
      <c r="D54" s="17" t="str">
        <f>IF('Step 1 - Budget Manager'!B51="","",'Step 1 - Budget Manager'!F51)</f>
        <v/>
      </c>
      <c r="E54" s="17" t="str">
        <f>IF('Step 1 - Budget Manager'!B51="","",'Step 1 - Budget Manager'!G51)</f>
        <v/>
      </c>
      <c r="F54" s="18" t="str">
        <f>IF('Step 1 - Budget Manager'!B51="","",IF('Step 1 - Budget Manager'!C51="","","Fund Code"))</f>
        <v/>
      </c>
      <c r="G54" s="17" t="str">
        <f>IF('Step 1 - Budget Manager'!B51="","",IF('Step 1 - Budget Manager'!C51="","","Equals"))</f>
        <v/>
      </c>
      <c r="H54" s="18" t="str">
        <f>IF('Step 1 - Budget Manager'!B51="","",IF('Step 1 - Budget Manager'!C51="","",'Step 1 - Budget Manager'!C51))</f>
        <v/>
      </c>
      <c r="I54" s="18" t="str">
        <f>IF('Step 1 - Budget Manager'!B51="","","Organization Code")</f>
        <v/>
      </c>
      <c r="J54" s="17" t="str">
        <f>IF('Step 1 - Budget Manager'!B51="","","Equals")</f>
        <v/>
      </c>
      <c r="K54" s="18" t="str">
        <f>IF('Step 1 - Budget Manager'!B51="","",'Step 1 - Budget Manager'!D51)</f>
        <v/>
      </c>
      <c r="L54" s="18" t="str">
        <f>IF('Step 1 - Budget Manager'!B51="","","Other Criteria")</f>
        <v/>
      </c>
      <c r="M54" s="17" t="str">
        <f>IF('Step 1 - Budget Manager'!B51="","","Equals")</f>
        <v/>
      </c>
      <c r="N54" s="18" t="str">
        <f>IF('Step 1 - Budget Manager'!B51="","",'Step 1 - Budget Manager'!E51)</f>
        <v/>
      </c>
      <c r="O54" s="18" t="str">
        <f>""</f>
        <v/>
      </c>
      <c r="P54" s="18" t="str">
        <f>""</f>
        <v/>
      </c>
      <c r="Q54" s="18" t="str">
        <f>""</f>
        <v/>
      </c>
      <c r="R54" s="18" t="str">
        <f>""</f>
        <v/>
      </c>
      <c r="S54" s="18" t="str">
        <f>""</f>
        <v/>
      </c>
      <c r="T54" s="18" t="str">
        <f>""</f>
        <v/>
      </c>
      <c r="U54" s="18" t="str">
        <f>IF('Step 1 - Budget Manager'!B51="","",'Step 1 - Budget Manager'!H51)</f>
        <v/>
      </c>
      <c r="V54" s="17" t="str">
        <f>IF('Step 1 - Budget Manager'!B51="","",'Step 1 - Budget Manager'!J51)</f>
        <v/>
      </c>
      <c r="W54" s="18" t="str">
        <f>IF('Step 1 - Budget Manager'!B51="","",'Step 1 - Budget Manager'!K51)</f>
        <v/>
      </c>
      <c r="X54" s="17" t="str">
        <f>IF('Step 1 - Budget Manager'!B51="","",'Step 1 - Budget Manager'!M51)</f>
        <v/>
      </c>
      <c r="Y54" s="18" t="str">
        <f>IF('Step 1 - Budget Manager'!B51="","",'Step 1 - Budget Manager'!N51)</f>
        <v/>
      </c>
      <c r="Z54" s="18" t="str">
        <f>""</f>
        <v/>
      </c>
      <c r="AA54" s="18" t="str">
        <f>""</f>
        <v/>
      </c>
      <c r="AB54" s="18" t="str">
        <f>""</f>
        <v/>
      </c>
      <c r="AC54" s="18" t="str">
        <f>""</f>
        <v/>
      </c>
      <c r="AD54" s="18" t="str">
        <f>""</f>
        <v/>
      </c>
      <c r="AE54" s="18" t="str">
        <f>""</f>
        <v/>
      </c>
      <c r="AF54" s="18" t="str">
        <f>""</f>
        <v/>
      </c>
      <c r="AG54" s="18" t="str">
        <f>""</f>
        <v/>
      </c>
      <c r="AH54" s="18" t="str">
        <f>""</f>
        <v/>
      </c>
      <c r="AI54" s="18" t="str">
        <f>""</f>
        <v/>
      </c>
      <c r="AJ54" s="18" t="str">
        <f>""</f>
        <v/>
      </c>
      <c r="AK54" s="18" t="str">
        <f>""</f>
        <v/>
      </c>
      <c r="AL54" s="18" t="str">
        <f>""</f>
        <v/>
      </c>
      <c r="AM54" s="18" t="str">
        <f>""</f>
        <v/>
      </c>
    </row>
    <row r="55" spans="1:39" ht="15.75" customHeight="1" x14ac:dyDescent="0.25">
      <c r="A55" s="19" t="str">
        <f>IF('Step 1 - Budget Manager'!B52="","","Active")</f>
        <v/>
      </c>
      <c r="B55" s="20" t="str">
        <f>IF('Step 1 - Budget Manager'!B52="","",'Step 1 - Budget Manager'!B52)</f>
        <v/>
      </c>
      <c r="C55" s="20" t="str">
        <f>IF('Step 1 - Budget Manager'!B52="","",'Step 1 - Budget Manager'!B52)</f>
        <v/>
      </c>
      <c r="D55" s="19" t="str">
        <f>IF('Step 1 - Budget Manager'!B52="","",'Step 1 - Budget Manager'!F52)</f>
        <v/>
      </c>
      <c r="E55" s="19" t="str">
        <f>IF('Step 1 - Budget Manager'!B52="","",'Step 1 - Budget Manager'!G52)</f>
        <v/>
      </c>
      <c r="F55" s="20" t="str">
        <f>IF('Step 1 - Budget Manager'!B52="","",IF('Step 1 - Budget Manager'!C52="","","Fund Code"))</f>
        <v/>
      </c>
      <c r="G55" s="19" t="str">
        <f>IF('Step 1 - Budget Manager'!B52="","",IF('Step 1 - Budget Manager'!C52="","","Equals"))</f>
        <v/>
      </c>
      <c r="H55" s="20" t="str">
        <f>IF('Step 1 - Budget Manager'!B52="","",IF('Step 1 - Budget Manager'!C52="","",'Step 1 - Budget Manager'!C52))</f>
        <v/>
      </c>
      <c r="I55" s="20" t="str">
        <f>IF('Step 1 - Budget Manager'!B52="","","Organization Code")</f>
        <v/>
      </c>
      <c r="J55" s="19" t="str">
        <f>IF('Step 1 - Budget Manager'!B52="","","Equals")</f>
        <v/>
      </c>
      <c r="K55" s="20" t="str">
        <f>IF('Step 1 - Budget Manager'!B52="","",'Step 1 - Budget Manager'!D52)</f>
        <v/>
      </c>
      <c r="L55" s="20" t="str">
        <f>IF('Step 1 - Budget Manager'!B52="","","Other Criteria")</f>
        <v/>
      </c>
      <c r="M55" s="19" t="str">
        <f>IF('Step 1 - Budget Manager'!B52="","","Equals")</f>
        <v/>
      </c>
      <c r="N55" s="20" t="str">
        <f>IF('Step 1 - Budget Manager'!B52="","",'Step 1 - Budget Manager'!E52)</f>
        <v/>
      </c>
      <c r="O55" s="20" t="str">
        <f>""</f>
        <v/>
      </c>
      <c r="P55" s="20" t="str">
        <f>""</f>
        <v/>
      </c>
      <c r="Q55" s="20" t="str">
        <f>""</f>
        <v/>
      </c>
      <c r="R55" s="20" t="str">
        <f>""</f>
        <v/>
      </c>
      <c r="S55" s="20" t="str">
        <f>""</f>
        <v/>
      </c>
      <c r="T55" s="20" t="str">
        <f>""</f>
        <v/>
      </c>
      <c r="U55" s="20" t="str">
        <f>IF('Step 1 - Budget Manager'!B52="","",'Step 1 - Budget Manager'!H52)</f>
        <v/>
      </c>
      <c r="V55" s="19" t="str">
        <f>IF('Step 1 - Budget Manager'!B52="","",'Step 1 - Budget Manager'!J52)</f>
        <v/>
      </c>
      <c r="W55" s="20" t="str">
        <f>IF('Step 1 - Budget Manager'!B52="","",'Step 1 - Budget Manager'!K52)</f>
        <v/>
      </c>
      <c r="X55" s="19" t="str">
        <f>IF('Step 1 - Budget Manager'!B52="","",'Step 1 - Budget Manager'!M52)</f>
        <v/>
      </c>
      <c r="Y55" s="20" t="str">
        <f>IF('Step 1 - Budget Manager'!B52="","",'Step 1 - Budget Manager'!N52)</f>
        <v/>
      </c>
      <c r="Z55" s="20" t="str">
        <f>""</f>
        <v/>
      </c>
      <c r="AA55" s="20" t="str">
        <f>""</f>
        <v/>
      </c>
      <c r="AB55" s="20" t="str">
        <f>""</f>
        <v/>
      </c>
      <c r="AC55" s="20" t="str">
        <f>""</f>
        <v/>
      </c>
      <c r="AD55" s="20" t="str">
        <f>""</f>
        <v/>
      </c>
      <c r="AE55" s="20" t="str">
        <f>""</f>
        <v/>
      </c>
      <c r="AF55" s="20" t="str">
        <f>""</f>
        <v/>
      </c>
      <c r="AG55" s="20" t="str">
        <f>""</f>
        <v/>
      </c>
      <c r="AH55" s="20" t="str">
        <f>""</f>
        <v/>
      </c>
      <c r="AI55" s="20" t="str">
        <f>""</f>
        <v/>
      </c>
      <c r="AJ55" s="20" t="str">
        <f>""</f>
        <v/>
      </c>
      <c r="AK55" s="20" t="str">
        <f>""</f>
        <v/>
      </c>
      <c r="AL55" s="20" t="str">
        <f>""</f>
        <v/>
      </c>
      <c r="AM55" s="20" t="str">
        <f>""</f>
        <v/>
      </c>
    </row>
    <row r="56" spans="1:39" ht="15.75" customHeight="1" x14ac:dyDescent="0.25">
      <c r="A56" s="17" t="str">
        <f>IF('Step 1 - Budget Manager'!B53="","","Active")</f>
        <v/>
      </c>
      <c r="B56" s="18" t="str">
        <f>IF('Step 1 - Budget Manager'!B53="","",'Step 1 - Budget Manager'!B53)</f>
        <v/>
      </c>
      <c r="C56" s="18" t="str">
        <f>IF('Step 1 - Budget Manager'!B53="","",'Step 1 - Budget Manager'!B53)</f>
        <v/>
      </c>
      <c r="D56" s="17" t="str">
        <f>IF('Step 1 - Budget Manager'!B53="","",'Step 1 - Budget Manager'!F53)</f>
        <v/>
      </c>
      <c r="E56" s="17" t="str">
        <f>IF('Step 1 - Budget Manager'!B53="","",'Step 1 - Budget Manager'!G53)</f>
        <v/>
      </c>
      <c r="F56" s="18" t="str">
        <f>IF('Step 1 - Budget Manager'!B53="","",IF('Step 1 - Budget Manager'!C53="","","Fund Code"))</f>
        <v/>
      </c>
      <c r="G56" s="17" t="str">
        <f>IF('Step 1 - Budget Manager'!B53="","",IF('Step 1 - Budget Manager'!C53="","","Equals"))</f>
        <v/>
      </c>
      <c r="H56" s="18" t="str">
        <f>IF('Step 1 - Budget Manager'!B53="","",IF('Step 1 - Budget Manager'!C53="","",'Step 1 - Budget Manager'!C53))</f>
        <v/>
      </c>
      <c r="I56" s="18" t="str">
        <f>IF('Step 1 - Budget Manager'!B53="","","Organization Code")</f>
        <v/>
      </c>
      <c r="J56" s="17" t="str">
        <f>IF('Step 1 - Budget Manager'!B53="","","Equals")</f>
        <v/>
      </c>
      <c r="K56" s="18" t="str">
        <f>IF('Step 1 - Budget Manager'!B53="","",'Step 1 - Budget Manager'!D53)</f>
        <v/>
      </c>
      <c r="L56" s="18" t="str">
        <f>IF('Step 1 - Budget Manager'!B53="","","Other Criteria")</f>
        <v/>
      </c>
      <c r="M56" s="17" t="str">
        <f>IF('Step 1 - Budget Manager'!B53="","","Equals")</f>
        <v/>
      </c>
      <c r="N56" s="18" t="str">
        <f>IF('Step 1 - Budget Manager'!B53="","",'Step 1 - Budget Manager'!E53)</f>
        <v/>
      </c>
      <c r="O56" s="18" t="str">
        <f>""</f>
        <v/>
      </c>
      <c r="P56" s="18" t="str">
        <f>""</f>
        <v/>
      </c>
      <c r="Q56" s="18" t="str">
        <f>""</f>
        <v/>
      </c>
      <c r="R56" s="18" t="str">
        <f>""</f>
        <v/>
      </c>
      <c r="S56" s="18" t="str">
        <f>""</f>
        <v/>
      </c>
      <c r="T56" s="18" t="str">
        <f>""</f>
        <v/>
      </c>
      <c r="U56" s="18" t="str">
        <f>IF('Step 1 - Budget Manager'!B53="","",'Step 1 - Budget Manager'!H53)</f>
        <v/>
      </c>
      <c r="V56" s="17" t="str">
        <f>IF('Step 1 - Budget Manager'!B53="","",'Step 1 - Budget Manager'!J53)</f>
        <v/>
      </c>
      <c r="W56" s="18" t="str">
        <f>IF('Step 1 - Budget Manager'!B53="","",'Step 1 - Budget Manager'!K53)</f>
        <v/>
      </c>
      <c r="X56" s="17" t="str">
        <f>IF('Step 1 - Budget Manager'!B53="","",'Step 1 - Budget Manager'!M53)</f>
        <v/>
      </c>
      <c r="Y56" s="18" t="str">
        <f>IF('Step 1 - Budget Manager'!B53="","",'Step 1 - Budget Manager'!N53)</f>
        <v/>
      </c>
      <c r="Z56" s="18" t="str">
        <f>""</f>
        <v/>
      </c>
      <c r="AA56" s="18" t="str">
        <f>""</f>
        <v/>
      </c>
      <c r="AB56" s="18" t="str">
        <f>""</f>
        <v/>
      </c>
      <c r="AC56" s="18" t="str">
        <f>""</f>
        <v/>
      </c>
      <c r="AD56" s="18" t="str">
        <f>""</f>
        <v/>
      </c>
      <c r="AE56" s="18" t="str">
        <f>""</f>
        <v/>
      </c>
      <c r="AF56" s="18" t="str">
        <f>""</f>
        <v/>
      </c>
      <c r="AG56" s="18" t="str">
        <f>""</f>
        <v/>
      </c>
      <c r="AH56" s="18" t="str">
        <f>""</f>
        <v/>
      </c>
      <c r="AI56" s="18" t="str">
        <f>""</f>
        <v/>
      </c>
      <c r="AJ56" s="18" t="str">
        <f>""</f>
        <v/>
      </c>
      <c r="AK56" s="18" t="str">
        <f>""</f>
        <v/>
      </c>
      <c r="AL56" s="18" t="str">
        <f>""</f>
        <v/>
      </c>
      <c r="AM56" s="18" t="str">
        <f>""</f>
        <v/>
      </c>
    </row>
    <row r="57" spans="1:39" ht="13.5" customHeight="1" x14ac:dyDescent="0.25">
      <c r="A57" s="29" t="s">
        <v>188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</row>
    <row r="58" spans="1:39" ht="15.75" customHeight="1" x14ac:dyDescent="0.25">
      <c r="A58" s="17" t="str">
        <f>IF('Step 2 - Special'!B5="","","Active")</f>
        <v/>
      </c>
      <c r="B58" s="18" t="str">
        <f>IF('Step 2 - Special'!B5="","",'Step 2 - Special'!B5)</f>
        <v/>
      </c>
      <c r="C58" s="18" t="str">
        <f>IF('Step 2 - Special'!B5="","",'Step 2 - Special'!B5)</f>
        <v/>
      </c>
      <c r="D58" s="17" t="str">
        <f>IF('Step 2 - Special'!B5="","",'Step 2 - Special'!F5)</f>
        <v/>
      </c>
      <c r="E58" s="17" t="str">
        <f>IF('Step 2 - Special'!B5="","",'Step 2 - Special'!G5)</f>
        <v/>
      </c>
      <c r="F58" s="18" t="str">
        <f>IF('Step 2 - Special'!B5="","",IF('Step 2 - Special'!C5="","","Fund Code"))</f>
        <v/>
      </c>
      <c r="G58" s="17" t="str">
        <f>IF('Step 2 - Special'!B5="","",IF('Step 2 - Special'!C5="","","Equals"))</f>
        <v/>
      </c>
      <c r="H58" s="18" t="str">
        <f>IF('Step 2 - Special'!B5="","",IF('Step 2 - Special'!C5="","",'Step 2 - Special'!C5))</f>
        <v/>
      </c>
      <c r="I58" s="18" t="str">
        <f>IF('Step 2 - Special'!B5="","","Organization Code")</f>
        <v/>
      </c>
      <c r="J58" s="17" t="str">
        <f>IF('Step 2 - Special'!B5="","","Equals")</f>
        <v/>
      </c>
      <c r="K58" s="18" t="str">
        <f>IF('Step 2 - Special'!B5="","",'Step 2 - Special'!D5)</f>
        <v/>
      </c>
      <c r="L58" s="18" t="str">
        <f>IF('Step 2 - Special'!B5="","","Other Criteria")</f>
        <v/>
      </c>
      <c r="M58" s="17" t="str">
        <f>IF('Step 2 - Special'!B5="","","Equals")</f>
        <v/>
      </c>
      <c r="N58" s="18" t="str">
        <f>IF('Step 2 - Special'!B5="","",'Step 2 - Special'!E5)</f>
        <v/>
      </c>
      <c r="O58" s="18" t="str">
        <f>""</f>
        <v/>
      </c>
      <c r="P58" s="18" t="str">
        <f>""</f>
        <v/>
      </c>
      <c r="Q58" s="18" t="str">
        <f>""</f>
        <v/>
      </c>
      <c r="R58" s="18" t="str">
        <f>""</f>
        <v/>
      </c>
      <c r="S58" s="18" t="str">
        <f>""</f>
        <v/>
      </c>
      <c r="T58" s="18" t="str">
        <f>""</f>
        <v/>
      </c>
      <c r="U58" s="18" t="str">
        <f>IF('Step 2 - Special'!B5="","",'Step 2 - Special'!H5)</f>
        <v/>
      </c>
      <c r="V58" s="17" t="str">
        <f>IF('Step 2 - Special'!B5="","",'Step 2 - Special'!J5)</f>
        <v/>
      </c>
      <c r="W58" s="18" t="str">
        <f>IF('Step 2 - Special'!B5="","",'Step 2 - Special'!K5)</f>
        <v/>
      </c>
      <c r="X58" s="17" t="str">
        <f>IF('Step 2 - Special'!B5="","",'Step 2 - Special'!M5)</f>
        <v/>
      </c>
      <c r="Y58" s="18" t="str">
        <f>""</f>
        <v/>
      </c>
      <c r="Z58" s="18" t="str">
        <f>""</f>
        <v/>
      </c>
      <c r="AA58" s="18" t="str">
        <f>""</f>
        <v/>
      </c>
      <c r="AB58" s="18" t="str">
        <f>""</f>
        <v/>
      </c>
      <c r="AC58" s="18" t="str">
        <f>""</f>
        <v/>
      </c>
      <c r="AD58" s="18" t="str">
        <f>""</f>
        <v/>
      </c>
      <c r="AE58" s="18" t="str">
        <f>""</f>
        <v/>
      </c>
      <c r="AF58" s="18" t="str">
        <f>""</f>
        <v/>
      </c>
      <c r="AG58" s="18" t="str">
        <f>""</f>
        <v/>
      </c>
      <c r="AH58" s="18" t="str">
        <f>""</f>
        <v/>
      </c>
      <c r="AI58" s="18" t="str">
        <f>""</f>
        <v/>
      </c>
      <c r="AJ58" s="18" t="str">
        <f>""</f>
        <v/>
      </c>
      <c r="AK58" s="18" t="str">
        <f>""</f>
        <v/>
      </c>
      <c r="AL58" s="18" t="str">
        <f>""</f>
        <v/>
      </c>
      <c r="AM58" s="18" t="str">
        <f>""</f>
        <v/>
      </c>
    </row>
    <row r="59" spans="1:39" ht="15.75" customHeight="1" x14ac:dyDescent="0.25">
      <c r="A59" s="19" t="str">
        <f>IF('Step 2 - Special'!B6="","","Active")</f>
        <v/>
      </c>
      <c r="B59" s="20" t="str">
        <f>IF('Step 2 - Special'!B6="","",'Step 2 - Special'!B6)</f>
        <v/>
      </c>
      <c r="C59" s="20" t="str">
        <f>IF('Step 2 - Special'!B6="","",'Step 2 - Special'!B6)</f>
        <v/>
      </c>
      <c r="D59" s="19" t="str">
        <f>IF('Step 2 - Special'!B6="","",'Step 2 - Special'!F6)</f>
        <v/>
      </c>
      <c r="E59" s="19" t="str">
        <f>IF('Step 2 - Special'!B6="","",'Step 2 - Special'!G6)</f>
        <v/>
      </c>
      <c r="F59" s="20" t="str">
        <f>IF('Step 2 - Special'!B6="","",IF('Step 2 - Special'!C6="","","Fund Code"))</f>
        <v/>
      </c>
      <c r="G59" s="19" t="str">
        <f>IF('Step 2 - Special'!B6="","",IF('Step 2 - Special'!C6="","","Equals"))</f>
        <v/>
      </c>
      <c r="H59" s="20" t="str">
        <f>IF('Step 2 - Special'!B6="","",IF('Step 2 - Special'!C6="","",'Step 2 - Special'!C6))</f>
        <v/>
      </c>
      <c r="I59" s="20" t="str">
        <f>IF('Step 2 - Special'!B6="","","Organization Code")</f>
        <v/>
      </c>
      <c r="J59" s="19" t="str">
        <f>IF('Step 2 - Special'!B6="","","Equals")</f>
        <v/>
      </c>
      <c r="K59" s="20" t="str">
        <f>IF('Step 2 - Special'!B6="","",'Step 2 - Special'!D6)</f>
        <v/>
      </c>
      <c r="L59" s="20" t="str">
        <f>IF('Step 2 - Special'!B6="","","Other Criteria")</f>
        <v/>
      </c>
      <c r="M59" s="19" t="str">
        <f>IF('Step 2 - Special'!B6="","","Equals")</f>
        <v/>
      </c>
      <c r="N59" s="20" t="str">
        <f>IF('Step 2 - Special'!B6="","",'Step 2 - Special'!E6)</f>
        <v/>
      </c>
      <c r="O59" s="20" t="str">
        <f>""</f>
        <v/>
      </c>
      <c r="P59" s="20" t="str">
        <f>""</f>
        <v/>
      </c>
      <c r="Q59" s="20" t="str">
        <f>""</f>
        <v/>
      </c>
      <c r="R59" s="20" t="str">
        <f>""</f>
        <v/>
      </c>
      <c r="S59" s="20" t="str">
        <f>""</f>
        <v/>
      </c>
      <c r="T59" s="20" t="str">
        <f>""</f>
        <v/>
      </c>
      <c r="U59" s="20" t="str">
        <f>IF('Step 2 - Special'!B6="","",'Step 2 - Special'!H6)</f>
        <v/>
      </c>
      <c r="V59" s="19" t="str">
        <f>IF('Step 2 - Special'!B6="","",'Step 2 - Special'!J6)</f>
        <v/>
      </c>
      <c r="W59" s="20" t="str">
        <f>IF('Step 2 - Special'!B6="","",'Step 2 - Special'!K6)</f>
        <v/>
      </c>
      <c r="X59" s="19" t="str">
        <f>IF('Step 2 - Special'!B6="","",'Step 2 - Special'!M6)</f>
        <v/>
      </c>
      <c r="Y59" s="20" t="str">
        <f>""</f>
        <v/>
      </c>
      <c r="Z59" s="20" t="str">
        <f>""</f>
        <v/>
      </c>
      <c r="AA59" s="20" t="str">
        <f>""</f>
        <v/>
      </c>
      <c r="AB59" s="20" t="str">
        <f>""</f>
        <v/>
      </c>
      <c r="AC59" s="20" t="str">
        <f>""</f>
        <v/>
      </c>
      <c r="AD59" s="20" t="str">
        <f>""</f>
        <v/>
      </c>
      <c r="AE59" s="20" t="str">
        <f>""</f>
        <v/>
      </c>
      <c r="AF59" s="20" t="str">
        <f>""</f>
        <v/>
      </c>
      <c r="AG59" s="20" t="str">
        <f>""</f>
        <v/>
      </c>
      <c r="AH59" s="20" t="str">
        <f>""</f>
        <v/>
      </c>
      <c r="AI59" s="20" t="str">
        <f>""</f>
        <v/>
      </c>
      <c r="AJ59" s="20" t="str">
        <f>""</f>
        <v/>
      </c>
      <c r="AK59" s="20" t="str">
        <f>""</f>
        <v/>
      </c>
      <c r="AL59" s="20" t="str">
        <f>""</f>
        <v/>
      </c>
      <c r="AM59" s="20" t="str">
        <f>""</f>
        <v/>
      </c>
    </row>
    <row r="60" spans="1:39" ht="15.75" customHeight="1" x14ac:dyDescent="0.25">
      <c r="A60" s="17" t="str">
        <f>IF('Step 2 - Special'!B7="","","Active")</f>
        <v/>
      </c>
      <c r="B60" s="18" t="str">
        <f>IF('Step 2 - Special'!B7="","",'Step 2 - Special'!B7)</f>
        <v/>
      </c>
      <c r="C60" s="18" t="str">
        <f>IF('Step 2 - Special'!B7="","",'Step 2 - Special'!B7)</f>
        <v/>
      </c>
      <c r="D60" s="17" t="str">
        <f>IF('Step 2 - Special'!B7="","",'Step 2 - Special'!F7)</f>
        <v/>
      </c>
      <c r="E60" s="17" t="str">
        <f>IF('Step 2 - Special'!B7="","",'Step 2 - Special'!G7)</f>
        <v/>
      </c>
      <c r="F60" s="18" t="str">
        <f>IF('Step 2 - Special'!B7="","",IF('Step 2 - Special'!C7="","","Fund Code"))</f>
        <v/>
      </c>
      <c r="G60" s="17" t="str">
        <f>IF('Step 2 - Special'!B7="","",IF('Step 2 - Special'!C7="","","Equals"))</f>
        <v/>
      </c>
      <c r="H60" s="18" t="str">
        <f>IF('Step 2 - Special'!B7="","",IF('Step 2 - Special'!C7="","",'Step 2 - Special'!C7))</f>
        <v/>
      </c>
      <c r="I60" s="18" t="str">
        <f>IF('Step 2 - Special'!B7="","","Organization Code")</f>
        <v/>
      </c>
      <c r="J60" s="17" t="str">
        <f>IF('Step 2 - Special'!B7="","","Equals")</f>
        <v/>
      </c>
      <c r="K60" s="18" t="str">
        <f>IF('Step 2 - Special'!B7="","",'Step 2 - Special'!D7)</f>
        <v/>
      </c>
      <c r="L60" s="18" t="str">
        <f>IF('Step 2 - Special'!B7="","","Other Criteria")</f>
        <v/>
      </c>
      <c r="M60" s="17" t="str">
        <f>IF('Step 2 - Special'!B7="","","Equals")</f>
        <v/>
      </c>
      <c r="N60" s="18" t="str">
        <f>IF('Step 2 - Special'!B7="","",'Step 2 - Special'!E7)</f>
        <v/>
      </c>
      <c r="O60" s="18" t="str">
        <f>""</f>
        <v/>
      </c>
      <c r="P60" s="18" t="str">
        <f>""</f>
        <v/>
      </c>
      <c r="Q60" s="18" t="str">
        <f>""</f>
        <v/>
      </c>
      <c r="R60" s="18" t="str">
        <f>""</f>
        <v/>
      </c>
      <c r="S60" s="18" t="str">
        <f>""</f>
        <v/>
      </c>
      <c r="T60" s="18" t="str">
        <f>""</f>
        <v/>
      </c>
      <c r="U60" s="18" t="str">
        <f>IF('Step 2 - Special'!B7="","",'Step 2 - Special'!H7)</f>
        <v/>
      </c>
      <c r="V60" s="17" t="str">
        <f>IF('Step 2 - Special'!B7="","",'Step 2 - Special'!J7)</f>
        <v/>
      </c>
      <c r="W60" s="18" t="str">
        <f>IF('Step 2 - Special'!B7="","",'Step 2 - Special'!K7)</f>
        <v/>
      </c>
      <c r="X60" s="17" t="str">
        <f>IF('Step 2 - Special'!B7="","",'Step 2 - Special'!M7)</f>
        <v/>
      </c>
      <c r="Y60" s="18" t="str">
        <f>""</f>
        <v/>
      </c>
      <c r="Z60" s="18" t="str">
        <f>""</f>
        <v/>
      </c>
      <c r="AA60" s="18" t="str">
        <f>""</f>
        <v/>
      </c>
      <c r="AB60" s="18" t="str">
        <f>""</f>
        <v/>
      </c>
      <c r="AC60" s="18" t="str">
        <f>""</f>
        <v/>
      </c>
      <c r="AD60" s="18" t="str">
        <f>""</f>
        <v/>
      </c>
      <c r="AE60" s="18" t="str">
        <f>""</f>
        <v/>
      </c>
      <c r="AF60" s="18" t="str">
        <f>""</f>
        <v/>
      </c>
      <c r="AG60" s="18" t="str">
        <f>""</f>
        <v/>
      </c>
      <c r="AH60" s="18" t="str">
        <f>""</f>
        <v/>
      </c>
      <c r="AI60" s="18" t="str">
        <f>""</f>
        <v/>
      </c>
      <c r="AJ60" s="18" t="str">
        <f>""</f>
        <v/>
      </c>
      <c r="AK60" s="18" t="str">
        <f>""</f>
        <v/>
      </c>
      <c r="AL60" s="18" t="str">
        <f>""</f>
        <v/>
      </c>
      <c r="AM60" s="18" t="str">
        <f>""</f>
        <v/>
      </c>
    </row>
    <row r="61" spans="1:39" ht="15.75" customHeight="1" x14ac:dyDescent="0.25">
      <c r="A61" s="19" t="str">
        <f>IF('Step 2 - Special'!B8="","","Active")</f>
        <v/>
      </c>
      <c r="B61" s="20" t="str">
        <f>IF('Step 2 - Special'!B8="","",'Step 2 - Special'!B8)</f>
        <v/>
      </c>
      <c r="C61" s="20" t="str">
        <f>IF('Step 2 - Special'!B8="","",'Step 2 - Special'!B8)</f>
        <v/>
      </c>
      <c r="D61" s="19" t="str">
        <f>IF('Step 2 - Special'!B8="","",'Step 2 - Special'!F8)</f>
        <v/>
      </c>
      <c r="E61" s="19" t="str">
        <f>IF('Step 2 - Special'!B8="","",'Step 2 - Special'!G8)</f>
        <v/>
      </c>
      <c r="F61" s="20" t="str">
        <f>IF('Step 2 - Special'!B8="","",IF('Step 2 - Special'!C8="","","Fund Code"))</f>
        <v/>
      </c>
      <c r="G61" s="19" t="str">
        <f>IF('Step 2 - Special'!B8="","",IF('Step 2 - Special'!C8="","","Equals"))</f>
        <v/>
      </c>
      <c r="H61" s="20" t="str">
        <f>IF('Step 2 - Special'!B8="","",IF('Step 2 - Special'!C8="","",'Step 2 - Special'!C8))</f>
        <v/>
      </c>
      <c r="I61" s="20" t="str">
        <f>IF('Step 2 - Special'!B8="","","Organization Code")</f>
        <v/>
      </c>
      <c r="J61" s="19" t="str">
        <f>IF('Step 2 - Special'!B8="","","Equals")</f>
        <v/>
      </c>
      <c r="K61" s="20" t="str">
        <f>IF('Step 2 - Special'!B8="","",'Step 2 - Special'!D8)</f>
        <v/>
      </c>
      <c r="L61" s="20" t="str">
        <f>IF('Step 2 - Special'!B8="","","Other Criteria")</f>
        <v/>
      </c>
      <c r="M61" s="19" t="str">
        <f>IF('Step 2 - Special'!B8="","","Equals")</f>
        <v/>
      </c>
      <c r="N61" s="20" t="str">
        <f>IF('Step 2 - Special'!B8="","",'Step 2 - Special'!E8)</f>
        <v/>
      </c>
      <c r="O61" s="20" t="str">
        <f>""</f>
        <v/>
      </c>
      <c r="P61" s="20" t="str">
        <f>""</f>
        <v/>
      </c>
      <c r="Q61" s="20" t="str">
        <f>""</f>
        <v/>
      </c>
      <c r="R61" s="20" t="str">
        <f>""</f>
        <v/>
      </c>
      <c r="S61" s="20" t="str">
        <f>""</f>
        <v/>
      </c>
      <c r="T61" s="20" t="str">
        <f>""</f>
        <v/>
      </c>
      <c r="U61" s="20" t="str">
        <f>IF('Step 2 - Special'!B8="","",'Step 2 - Special'!H8)</f>
        <v/>
      </c>
      <c r="V61" s="19" t="str">
        <f>IF('Step 2 - Special'!B8="","",'Step 2 - Special'!J8)</f>
        <v/>
      </c>
      <c r="W61" s="20" t="str">
        <f>IF('Step 2 - Special'!B8="","",'Step 2 - Special'!K8)</f>
        <v/>
      </c>
      <c r="X61" s="19" t="str">
        <f>IF('Step 2 - Special'!B8="","",'Step 2 - Special'!M8)</f>
        <v/>
      </c>
      <c r="Y61" s="20" t="str">
        <f>""</f>
        <v/>
      </c>
      <c r="Z61" s="20" t="str">
        <f>""</f>
        <v/>
      </c>
      <c r="AA61" s="20" t="str">
        <f>""</f>
        <v/>
      </c>
      <c r="AB61" s="20" t="str">
        <f>""</f>
        <v/>
      </c>
      <c r="AC61" s="20" t="str">
        <f>""</f>
        <v/>
      </c>
      <c r="AD61" s="20" t="str">
        <f>""</f>
        <v/>
      </c>
      <c r="AE61" s="20" t="str">
        <f>""</f>
        <v/>
      </c>
      <c r="AF61" s="20" t="str">
        <f>""</f>
        <v/>
      </c>
      <c r="AG61" s="20" t="str">
        <f>""</f>
        <v/>
      </c>
      <c r="AH61" s="20" t="str">
        <f>""</f>
        <v/>
      </c>
      <c r="AI61" s="20" t="str">
        <f>""</f>
        <v/>
      </c>
      <c r="AJ61" s="20" t="str">
        <f>""</f>
        <v/>
      </c>
      <c r="AK61" s="20" t="str">
        <f>""</f>
        <v/>
      </c>
      <c r="AL61" s="20" t="str">
        <f>""</f>
        <v/>
      </c>
      <c r="AM61" s="20" t="str">
        <f>""</f>
        <v/>
      </c>
    </row>
    <row r="62" spans="1:39" ht="15.75" customHeight="1" x14ac:dyDescent="0.25">
      <c r="A62" s="17" t="str">
        <f>IF('Step 2 - Special'!B9="","","Active")</f>
        <v/>
      </c>
      <c r="B62" s="18" t="str">
        <f>IF('Step 2 - Special'!B9="","",'Step 2 - Special'!B9)</f>
        <v/>
      </c>
      <c r="C62" s="18" t="str">
        <f>IF('Step 2 - Special'!B9="","",'Step 2 - Special'!B9)</f>
        <v/>
      </c>
      <c r="D62" s="17" t="str">
        <f>IF('Step 2 - Special'!B9="","",'Step 2 - Special'!F9)</f>
        <v/>
      </c>
      <c r="E62" s="17" t="str">
        <f>IF('Step 2 - Special'!B9="","",'Step 2 - Special'!G9)</f>
        <v/>
      </c>
      <c r="F62" s="18" t="str">
        <f>IF('Step 2 - Special'!B9="","",IF('Step 2 - Special'!C9="","","Fund Code"))</f>
        <v/>
      </c>
      <c r="G62" s="17" t="str">
        <f>IF('Step 2 - Special'!B9="","",IF('Step 2 - Special'!C9="","","Equals"))</f>
        <v/>
      </c>
      <c r="H62" s="18" t="str">
        <f>IF('Step 2 - Special'!B9="","",IF('Step 2 - Special'!C9="","",'Step 2 - Special'!C9))</f>
        <v/>
      </c>
      <c r="I62" s="18" t="str">
        <f>IF('Step 2 - Special'!B9="","","Organization Code")</f>
        <v/>
      </c>
      <c r="J62" s="17" t="str">
        <f>IF('Step 2 - Special'!B9="","","Equals")</f>
        <v/>
      </c>
      <c r="K62" s="18" t="str">
        <f>IF('Step 2 - Special'!B9="","",'Step 2 - Special'!D9)</f>
        <v/>
      </c>
      <c r="L62" s="18" t="str">
        <f>IF('Step 2 - Special'!B9="","","Other Criteria")</f>
        <v/>
      </c>
      <c r="M62" s="17" t="str">
        <f>IF('Step 2 - Special'!B9="","","Equals")</f>
        <v/>
      </c>
      <c r="N62" s="18" t="str">
        <f>IF('Step 2 - Special'!B9="","",'Step 2 - Special'!E9)</f>
        <v/>
      </c>
      <c r="O62" s="18" t="str">
        <f>""</f>
        <v/>
      </c>
      <c r="P62" s="18" t="str">
        <f>""</f>
        <v/>
      </c>
      <c r="Q62" s="18" t="str">
        <f>""</f>
        <v/>
      </c>
      <c r="R62" s="18" t="str">
        <f>""</f>
        <v/>
      </c>
      <c r="S62" s="18" t="str">
        <f>""</f>
        <v/>
      </c>
      <c r="T62" s="18" t="str">
        <f>""</f>
        <v/>
      </c>
      <c r="U62" s="18" t="str">
        <f>IF('Step 2 - Special'!B9="","",'Step 2 - Special'!H9)</f>
        <v/>
      </c>
      <c r="V62" s="17" t="str">
        <f>IF('Step 2 - Special'!B9="","",'Step 2 - Special'!J9)</f>
        <v/>
      </c>
      <c r="W62" s="18" t="str">
        <f>IF('Step 2 - Special'!B9="","",'Step 2 - Special'!K9)</f>
        <v/>
      </c>
      <c r="X62" s="17" t="str">
        <f>IF('Step 2 - Special'!B9="","",'Step 2 - Special'!M9)</f>
        <v/>
      </c>
      <c r="Y62" s="18" t="str">
        <f>""</f>
        <v/>
      </c>
      <c r="Z62" s="18" t="str">
        <f>""</f>
        <v/>
      </c>
      <c r="AA62" s="18" t="str">
        <f>""</f>
        <v/>
      </c>
      <c r="AB62" s="18" t="str">
        <f>""</f>
        <v/>
      </c>
      <c r="AC62" s="18" t="str">
        <f>""</f>
        <v/>
      </c>
      <c r="AD62" s="18" t="str">
        <f>""</f>
        <v/>
      </c>
      <c r="AE62" s="18" t="str">
        <f>""</f>
        <v/>
      </c>
      <c r="AF62" s="18" t="str">
        <f>""</f>
        <v/>
      </c>
      <c r="AG62" s="18" t="str">
        <f>""</f>
        <v/>
      </c>
      <c r="AH62" s="18" t="str">
        <f>""</f>
        <v/>
      </c>
      <c r="AI62" s="18" t="str">
        <f>""</f>
        <v/>
      </c>
      <c r="AJ62" s="18" t="str">
        <f>""</f>
        <v/>
      </c>
      <c r="AK62" s="18" t="str">
        <f>""</f>
        <v/>
      </c>
      <c r="AL62" s="18" t="str">
        <f>""</f>
        <v/>
      </c>
      <c r="AM62" s="18" t="str">
        <f>""</f>
        <v/>
      </c>
    </row>
    <row r="63" spans="1:39" ht="15.75" customHeight="1" x14ac:dyDescent="0.25">
      <c r="A63" s="19" t="str">
        <f>IF('Step 2 - Special'!B10="","","Active")</f>
        <v/>
      </c>
      <c r="B63" s="20" t="str">
        <f>IF('Step 2 - Special'!B10="","",'Step 2 - Special'!B10)</f>
        <v/>
      </c>
      <c r="C63" s="20" t="str">
        <f>IF('Step 2 - Special'!B10="","",'Step 2 - Special'!B10)</f>
        <v/>
      </c>
      <c r="D63" s="19" t="str">
        <f>IF('Step 2 - Special'!B10="","",'Step 2 - Special'!F10)</f>
        <v/>
      </c>
      <c r="E63" s="19" t="str">
        <f>IF('Step 2 - Special'!B10="","",'Step 2 - Special'!G10)</f>
        <v/>
      </c>
      <c r="F63" s="20" t="str">
        <f>IF('Step 2 - Special'!B10="","",IF('Step 2 - Special'!C10="","","Fund Code"))</f>
        <v/>
      </c>
      <c r="G63" s="19" t="str">
        <f>IF('Step 2 - Special'!B10="","",IF('Step 2 - Special'!C10="","","Equals"))</f>
        <v/>
      </c>
      <c r="H63" s="20" t="str">
        <f>IF('Step 2 - Special'!B10="","",IF('Step 2 - Special'!C10="","",'Step 2 - Special'!C10))</f>
        <v/>
      </c>
      <c r="I63" s="20" t="str">
        <f>IF('Step 2 - Special'!B10="","","Organization Code")</f>
        <v/>
      </c>
      <c r="J63" s="19" t="str">
        <f>IF('Step 2 - Special'!B10="","","Equals")</f>
        <v/>
      </c>
      <c r="K63" s="20" t="str">
        <f>IF('Step 2 - Special'!B10="","",'Step 2 - Special'!D10)</f>
        <v/>
      </c>
      <c r="L63" s="20" t="str">
        <f>IF('Step 2 - Special'!B10="","","Other Criteria")</f>
        <v/>
      </c>
      <c r="M63" s="19" t="str">
        <f>IF('Step 2 - Special'!B10="","","Equals")</f>
        <v/>
      </c>
      <c r="N63" s="20" t="str">
        <f>IF('Step 2 - Special'!B10="","",'Step 2 - Special'!E10)</f>
        <v/>
      </c>
      <c r="O63" s="20" t="str">
        <f>""</f>
        <v/>
      </c>
      <c r="P63" s="20" t="str">
        <f>""</f>
        <v/>
      </c>
      <c r="Q63" s="20" t="str">
        <f>""</f>
        <v/>
      </c>
      <c r="R63" s="20" t="str">
        <f>""</f>
        <v/>
      </c>
      <c r="S63" s="20" t="str">
        <f>""</f>
        <v/>
      </c>
      <c r="T63" s="20" t="str">
        <f>""</f>
        <v/>
      </c>
      <c r="U63" s="20" t="str">
        <f>IF('Step 2 - Special'!B10="","",'Step 2 - Special'!H10)</f>
        <v/>
      </c>
      <c r="V63" s="19" t="str">
        <f>IF('Step 2 - Special'!B10="","",'Step 2 - Special'!J10)</f>
        <v/>
      </c>
      <c r="W63" s="20" t="str">
        <f>IF('Step 2 - Special'!B10="","",'Step 2 - Special'!K10)</f>
        <v/>
      </c>
      <c r="X63" s="19" t="str">
        <f>IF('Step 2 - Special'!B10="","",'Step 2 - Special'!M10)</f>
        <v/>
      </c>
      <c r="Y63" s="20" t="str">
        <f>""</f>
        <v/>
      </c>
      <c r="Z63" s="20" t="str">
        <f>""</f>
        <v/>
      </c>
      <c r="AA63" s="20" t="str">
        <f>""</f>
        <v/>
      </c>
      <c r="AB63" s="20" t="str">
        <f>""</f>
        <v/>
      </c>
      <c r="AC63" s="20" t="str">
        <f>""</f>
        <v/>
      </c>
      <c r="AD63" s="20" t="str">
        <f>""</f>
        <v/>
      </c>
      <c r="AE63" s="20" t="str">
        <f>""</f>
        <v/>
      </c>
      <c r="AF63" s="20" t="str">
        <f>""</f>
        <v/>
      </c>
      <c r="AG63" s="20" t="str">
        <f>""</f>
        <v/>
      </c>
      <c r="AH63" s="20" t="str">
        <f>""</f>
        <v/>
      </c>
      <c r="AI63" s="20" t="str">
        <f>""</f>
        <v/>
      </c>
      <c r="AJ63" s="20" t="str">
        <f>""</f>
        <v/>
      </c>
      <c r="AK63" s="20" t="str">
        <f>""</f>
        <v/>
      </c>
      <c r="AL63" s="20" t="str">
        <f>""</f>
        <v/>
      </c>
      <c r="AM63" s="20" t="str">
        <f>""</f>
        <v/>
      </c>
    </row>
    <row r="64" spans="1:39" ht="15.75" customHeight="1" x14ac:dyDescent="0.25">
      <c r="A64" s="17" t="str">
        <f>IF('Step 2 - Special'!B11="","","Active")</f>
        <v/>
      </c>
      <c r="B64" s="18" t="str">
        <f>IF('Step 2 - Special'!B11="","",'Step 2 - Special'!B11)</f>
        <v/>
      </c>
      <c r="C64" s="18" t="str">
        <f>IF('Step 2 - Special'!B11="","",'Step 2 - Special'!B11)</f>
        <v/>
      </c>
      <c r="D64" s="17" t="str">
        <f>IF('Step 2 - Special'!B11="","",'Step 2 - Special'!F11)</f>
        <v/>
      </c>
      <c r="E64" s="17" t="str">
        <f>IF('Step 2 - Special'!B11="","",'Step 2 - Special'!G11)</f>
        <v/>
      </c>
      <c r="F64" s="18" t="str">
        <f>IF('Step 2 - Special'!B11="","",IF('Step 2 - Special'!C11="","","Fund Code"))</f>
        <v/>
      </c>
      <c r="G64" s="17" t="str">
        <f>IF('Step 2 - Special'!B11="","",IF('Step 2 - Special'!C11="","","Equals"))</f>
        <v/>
      </c>
      <c r="H64" s="18" t="str">
        <f>IF('Step 2 - Special'!B11="","",IF('Step 2 - Special'!C11="","",'Step 2 - Special'!C11))</f>
        <v/>
      </c>
      <c r="I64" s="18" t="str">
        <f>IF('Step 2 - Special'!B11="","","Organization Code")</f>
        <v/>
      </c>
      <c r="J64" s="17" t="str">
        <f>IF('Step 2 - Special'!B11="","","Equals")</f>
        <v/>
      </c>
      <c r="K64" s="18" t="str">
        <f>IF('Step 2 - Special'!B11="","",'Step 2 - Special'!D11)</f>
        <v/>
      </c>
      <c r="L64" s="18" t="str">
        <f>IF('Step 2 - Special'!B11="","","Other Criteria")</f>
        <v/>
      </c>
      <c r="M64" s="17" t="str">
        <f>IF('Step 2 - Special'!B11="","","Equals")</f>
        <v/>
      </c>
      <c r="N64" s="18" t="str">
        <f>IF('Step 2 - Special'!B11="","",'Step 2 - Special'!E11)</f>
        <v/>
      </c>
      <c r="O64" s="18" t="str">
        <f>""</f>
        <v/>
      </c>
      <c r="P64" s="18" t="str">
        <f>""</f>
        <v/>
      </c>
      <c r="Q64" s="18" t="str">
        <f>""</f>
        <v/>
      </c>
      <c r="R64" s="18" t="str">
        <f>""</f>
        <v/>
      </c>
      <c r="S64" s="18" t="str">
        <f>""</f>
        <v/>
      </c>
      <c r="T64" s="18" t="str">
        <f>""</f>
        <v/>
      </c>
      <c r="U64" s="18" t="str">
        <f>IF('Step 2 - Special'!B11="","",'Step 2 - Special'!H11)</f>
        <v/>
      </c>
      <c r="V64" s="17" t="str">
        <f>IF('Step 2 - Special'!B11="","",'Step 2 - Special'!J11)</f>
        <v/>
      </c>
      <c r="W64" s="18" t="str">
        <f>IF('Step 2 - Special'!B11="","",'Step 2 - Special'!K11)</f>
        <v/>
      </c>
      <c r="X64" s="17" t="str">
        <f>IF('Step 2 - Special'!B11="","",'Step 2 - Special'!M11)</f>
        <v/>
      </c>
      <c r="Y64" s="18" t="str">
        <f>""</f>
        <v/>
      </c>
      <c r="Z64" s="18" t="str">
        <f>""</f>
        <v/>
      </c>
      <c r="AA64" s="18" t="str">
        <f>""</f>
        <v/>
      </c>
      <c r="AB64" s="18" t="str">
        <f>""</f>
        <v/>
      </c>
      <c r="AC64" s="18" t="str">
        <f>""</f>
        <v/>
      </c>
      <c r="AD64" s="18" t="str">
        <f>""</f>
        <v/>
      </c>
      <c r="AE64" s="18" t="str">
        <f>""</f>
        <v/>
      </c>
      <c r="AF64" s="18" t="str">
        <f>""</f>
        <v/>
      </c>
      <c r="AG64" s="18" t="str">
        <f>""</f>
        <v/>
      </c>
      <c r="AH64" s="18" t="str">
        <f>""</f>
        <v/>
      </c>
      <c r="AI64" s="18" t="str">
        <f>""</f>
        <v/>
      </c>
      <c r="AJ64" s="18" t="str">
        <f>""</f>
        <v/>
      </c>
      <c r="AK64" s="18" t="str">
        <f>""</f>
        <v/>
      </c>
      <c r="AL64" s="18" t="str">
        <f>""</f>
        <v/>
      </c>
      <c r="AM64" s="18" t="str">
        <f>""</f>
        <v/>
      </c>
    </row>
    <row r="65" spans="1:39" ht="15.75" customHeight="1" x14ac:dyDescent="0.25">
      <c r="A65" s="19" t="str">
        <f>IF('Step 2 - Special'!B12="","","Active")</f>
        <v/>
      </c>
      <c r="B65" s="20" t="str">
        <f>IF('Step 2 - Special'!B12="","",'Step 2 - Special'!B12)</f>
        <v/>
      </c>
      <c r="C65" s="20" t="str">
        <f>IF('Step 2 - Special'!B12="","",'Step 2 - Special'!B12)</f>
        <v/>
      </c>
      <c r="D65" s="19" t="str">
        <f>IF('Step 2 - Special'!B12="","",'Step 2 - Special'!F12)</f>
        <v/>
      </c>
      <c r="E65" s="19" t="str">
        <f>IF('Step 2 - Special'!B12="","",'Step 2 - Special'!G12)</f>
        <v/>
      </c>
      <c r="F65" s="20" t="str">
        <f>IF('Step 2 - Special'!B12="","",IF('Step 2 - Special'!C12="","","Fund Code"))</f>
        <v/>
      </c>
      <c r="G65" s="19" t="str">
        <f>IF('Step 2 - Special'!B12="","",IF('Step 2 - Special'!C12="","","Equals"))</f>
        <v/>
      </c>
      <c r="H65" s="20" t="str">
        <f>IF('Step 2 - Special'!B12="","",IF('Step 2 - Special'!C12="","",'Step 2 - Special'!C12))</f>
        <v/>
      </c>
      <c r="I65" s="20" t="str">
        <f>IF('Step 2 - Special'!B12="","","Organization Code")</f>
        <v/>
      </c>
      <c r="J65" s="19" t="str">
        <f>IF('Step 2 - Special'!B12="","","Equals")</f>
        <v/>
      </c>
      <c r="K65" s="20" t="str">
        <f>IF('Step 2 - Special'!B12="","",'Step 2 - Special'!D12)</f>
        <v/>
      </c>
      <c r="L65" s="20" t="str">
        <f>IF('Step 2 - Special'!B12="","","Other Criteria")</f>
        <v/>
      </c>
      <c r="M65" s="19" t="str">
        <f>IF('Step 2 - Special'!B12="","","Equals")</f>
        <v/>
      </c>
      <c r="N65" s="20" t="str">
        <f>IF('Step 2 - Special'!B12="","",'Step 2 - Special'!E12)</f>
        <v/>
      </c>
      <c r="O65" s="20" t="str">
        <f>""</f>
        <v/>
      </c>
      <c r="P65" s="20" t="str">
        <f>""</f>
        <v/>
      </c>
      <c r="Q65" s="20" t="str">
        <f>""</f>
        <v/>
      </c>
      <c r="R65" s="20" t="str">
        <f>""</f>
        <v/>
      </c>
      <c r="S65" s="20" t="str">
        <f>""</f>
        <v/>
      </c>
      <c r="T65" s="20" t="str">
        <f>""</f>
        <v/>
      </c>
      <c r="U65" s="20" t="str">
        <f>IF('Step 2 - Special'!B12="","",'Step 2 - Special'!H12)</f>
        <v/>
      </c>
      <c r="V65" s="19" t="str">
        <f>IF('Step 2 - Special'!B12="","",'Step 2 - Special'!J12)</f>
        <v/>
      </c>
      <c r="W65" s="20" t="str">
        <f>IF('Step 2 - Special'!B12="","",'Step 2 - Special'!K12)</f>
        <v/>
      </c>
      <c r="X65" s="19" t="str">
        <f>IF('Step 2 - Special'!B12="","",'Step 2 - Special'!M12)</f>
        <v/>
      </c>
      <c r="Y65" s="20" t="str">
        <f>""</f>
        <v/>
      </c>
      <c r="Z65" s="20" t="str">
        <f>""</f>
        <v/>
      </c>
      <c r="AA65" s="20" t="str">
        <f>""</f>
        <v/>
      </c>
      <c r="AB65" s="20" t="str">
        <f>""</f>
        <v/>
      </c>
      <c r="AC65" s="20" t="str">
        <f>""</f>
        <v/>
      </c>
      <c r="AD65" s="20" t="str">
        <f>""</f>
        <v/>
      </c>
      <c r="AE65" s="20" t="str">
        <f>""</f>
        <v/>
      </c>
      <c r="AF65" s="20" t="str">
        <f>""</f>
        <v/>
      </c>
      <c r="AG65" s="20" t="str">
        <f>""</f>
        <v/>
      </c>
      <c r="AH65" s="20" t="str">
        <f>""</f>
        <v/>
      </c>
      <c r="AI65" s="20" t="str">
        <f>""</f>
        <v/>
      </c>
      <c r="AJ65" s="20" t="str">
        <f>""</f>
        <v/>
      </c>
      <c r="AK65" s="20" t="str">
        <f>""</f>
        <v/>
      </c>
      <c r="AL65" s="20" t="str">
        <f>""</f>
        <v/>
      </c>
      <c r="AM65" s="20" t="str">
        <f>""</f>
        <v/>
      </c>
    </row>
    <row r="66" spans="1:39" ht="15.75" customHeight="1" x14ac:dyDescent="0.25">
      <c r="A66" s="17" t="str">
        <f>IF('Step 2 - Special'!B13="","","Active")</f>
        <v/>
      </c>
      <c r="B66" s="18" t="str">
        <f>IF('Step 2 - Special'!B13="","",'Step 2 - Special'!B13)</f>
        <v/>
      </c>
      <c r="C66" s="18" t="str">
        <f>IF('Step 2 - Special'!B13="","",'Step 2 - Special'!B13)</f>
        <v/>
      </c>
      <c r="D66" s="17" t="str">
        <f>IF('Step 2 - Special'!B13="","",'Step 2 - Special'!F13)</f>
        <v/>
      </c>
      <c r="E66" s="17" t="str">
        <f>IF('Step 2 - Special'!B13="","",'Step 2 - Special'!G13)</f>
        <v/>
      </c>
      <c r="F66" s="18" t="str">
        <f>IF('Step 2 - Special'!B13="","",IF('Step 2 - Special'!C13="","","Fund Code"))</f>
        <v/>
      </c>
      <c r="G66" s="17" t="str">
        <f>IF('Step 2 - Special'!B13="","",IF('Step 2 - Special'!C13="","","Equals"))</f>
        <v/>
      </c>
      <c r="H66" s="18" t="str">
        <f>IF('Step 2 - Special'!B13="","",IF('Step 2 - Special'!C13="","",'Step 2 - Special'!C13))</f>
        <v/>
      </c>
      <c r="I66" s="18" t="str">
        <f>IF('Step 2 - Special'!B13="","","Organization Code")</f>
        <v/>
      </c>
      <c r="J66" s="17" t="str">
        <f>IF('Step 2 - Special'!B13="","","Equals")</f>
        <v/>
      </c>
      <c r="K66" s="18" t="str">
        <f>IF('Step 2 - Special'!B13="","",'Step 2 - Special'!D13)</f>
        <v/>
      </c>
      <c r="L66" s="18" t="str">
        <f>IF('Step 2 - Special'!B13="","","Other Criteria")</f>
        <v/>
      </c>
      <c r="M66" s="17" t="str">
        <f>IF('Step 2 - Special'!B13="","","Equals")</f>
        <v/>
      </c>
      <c r="N66" s="18" t="str">
        <f>IF('Step 2 - Special'!B13="","",'Step 2 - Special'!E13)</f>
        <v/>
      </c>
      <c r="O66" s="18" t="str">
        <f>""</f>
        <v/>
      </c>
      <c r="P66" s="18" t="str">
        <f>""</f>
        <v/>
      </c>
      <c r="Q66" s="18" t="str">
        <f>""</f>
        <v/>
      </c>
      <c r="R66" s="18" t="str">
        <f>""</f>
        <v/>
      </c>
      <c r="S66" s="18" t="str">
        <f>""</f>
        <v/>
      </c>
      <c r="T66" s="18" t="str">
        <f>""</f>
        <v/>
      </c>
      <c r="U66" s="18" t="str">
        <f>IF('Step 2 - Special'!B13="","",'Step 2 - Special'!H13)</f>
        <v/>
      </c>
      <c r="V66" s="17" t="str">
        <f>IF('Step 2 - Special'!B13="","",'Step 2 - Special'!J13)</f>
        <v/>
      </c>
      <c r="W66" s="18" t="str">
        <f>IF('Step 2 - Special'!B13="","",'Step 2 - Special'!K13)</f>
        <v/>
      </c>
      <c r="X66" s="17" t="str">
        <f>IF('Step 2 - Special'!B13="","",'Step 2 - Special'!M13)</f>
        <v/>
      </c>
      <c r="Y66" s="18" t="str">
        <f>""</f>
        <v/>
      </c>
      <c r="Z66" s="18" t="str">
        <f>""</f>
        <v/>
      </c>
      <c r="AA66" s="18" t="str">
        <f>""</f>
        <v/>
      </c>
      <c r="AB66" s="18" t="str">
        <f>""</f>
        <v/>
      </c>
      <c r="AC66" s="18" t="str">
        <f>""</f>
        <v/>
      </c>
      <c r="AD66" s="18" t="str">
        <f>""</f>
        <v/>
      </c>
      <c r="AE66" s="18" t="str">
        <f>""</f>
        <v/>
      </c>
      <c r="AF66" s="18" t="str">
        <f>""</f>
        <v/>
      </c>
      <c r="AG66" s="18" t="str">
        <f>""</f>
        <v/>
      </c>
      <c r="AH66" s="18" t="str">
        <f>""</f>
        <v/>
      </c>
      <c r="AI66" s="18" t="str">
        <f>""</f>
        <v/>
      </c>
      <c r="AJ66" s="18" t="str">
        <f>""</f>
        <v/>
      </c>
      <c r="AK66" s="18" t="str">
        <f>""</f>
        <v/>
      </c>
      <c r="AL66" s="18" t="str">
        <f>""</f>
        <v/>
      </c>
      <c r="AM66" s="18" t="str">
        <f>""</f>
        <v/>
      </c>
    </row>
    <row r="67" spans="1:39" ht="15.75" customHeight="1" x14ac:dyDescent="0.25">
      <c r="A67" s="19" t="str">
        <f>IF('Step 2 - Special'!B14="","","Active")</f>
        <v/>
      </c>
      <c r="B67" s="20" t="str">
        <f>IF('Step 2 - Special'!B14="","",'Step 2 - Special'!B14)</f>
        <v/>
      </c>
      <c r="C67" s="20" t="str">
        <f>IF('Step 2 - Special'!B14="","",'Step 2 - Special'!B14)</f>
        <v/>
      </c>
      <c r="D67" s="19" t="str">
        <f>IF('Step 2 - Special'!B14="","",'Step 2 - Special'!F14)</f>
        <v/>
      </c>
      <c r="E67" s="19" t="str">
        <f>IF('Step 2 - Special'!B14="","",'Step 2 - Special'!G14)</f>
        <v/>
      </c>
      <c r="F67" s="20" t="str">
        <f>IF('Step 2 - Special'!B14="","",IF('Step 2 - Special'!C14="","","Fund Code"))</f>
        <v/>
      </c>
      <c r="G67" s="19" t="str">
        <f>IF('Step 2 - Special'!B14="","",IF('Step 2 - Special'!C14="","","Equals"))</f>
        <v/>
      </c>
      <c r="H67" s="20" t="str">
        <f>IF('Step 2 - Special'!B14="","",IF('Step 2 - Special'!C14="","",'Step 2 - Special'!C14))</f>
        <v/>
      </c>
      <c r="I67" s="20" t="str">
        <f>IF('Step 2 - Special'!B14="","","Organization Code")</f>
        <v/>
      </c>
      <c r="J67" s="19" t="str">
        <f>IF('Step 2 - Special'!B14="","","Equals")</f>
        <v/>
      </c>
      <c r="K67" s="20" t="str">
        <f>IF('Step 2 - Special'!B14="","",'Step 2 - Special'!D14)</f>
        <v/>
      </c>
      <c r="L67" s="20" t="str">
        <f>IF('Step 2 - Special'!B14="","","Other Criteria")</f>
        <v/>
      </c>
      <c r="M67" s="19" t="str">
        <f>IF('Step 2 - Special'!B14="","","Equals")</f>
        <v/>
      </c>
      <c r="N67" s="20" t="str">
        <f>IF('Step 2 - Special'!B14="","",'Step 2 - Special'!E14)</f>
        <v/>
      </c>
      <c r="O67" s="20" t="str">
        <f>""</f>
        <v/>
      </c>
      <c r="P67" s="20" t="str">
        <f>""</f>
        <v/>
      </c>
      <c r="Q67" s="20" t="str">
        <f>""</f>
        <v/>
      </c>
      <c r="R67" s="20" t="str">
        <f>""</f>
        <v/>
      </c>
      <c r="S67" s="20" t="str">
        <f>""</f>
        <v/>
      </c>
      <c r="T67" s="20" t="str">
        <f>""</f>
        <v/>
      </c>
      <c r="U67" s="20" t="str">
        <f>IF('Step 2 - Special'!B14="","",'Step 2 - Special'!H14)</f>
        <v/>
      </c>
      <c r="V67" s="19" t="str">
        <f>IF('Step 2 - Special'!B14="","",'Step 2 - Special'!J14)</f>
        <v/>
      </c>
      <c r="W67" s="20" t="str">
        <f>IF('Step 2 - Special'!B14="","",'Step 2 - Special'!K14)</f>
        <v/>
      </c>
      <c r="X67" s="19" t="str">
        <f>IF('Step 2 - Special'!B14="","",'Step 2 - Special'!M14)</f>
        <v/>
      </c>
      <c r="Y67" s="20" t="str">
        <f>""</f>
        <v/>
      </c>
      <c r="Z67" s="20" t="str">
        <f>""</f>
        <v/>
      </c>
      <c r="AA67" s="20" t="str">
        <f>""</f>
        <v/>
      </c>
      <c r="AB67" s="20" t="str">
        <f>""</f>
        <v/>
      </c>
      <c r="AC67" s="20" t="str">
        <f>""</f>
        <v/>
      </c>
      <c r="AD67" s="20" t="str">
        <f>""</f>
        <v/>
      </c>
      <c r="AE67" s="20" t="str">
        <f>""</f>
        <v/>
      </c>
      <c r="AF67" s="20" t="str">
        <f>""</f>
        <v/>
      </c>
      <c r="AG67" s="20" t="str">
        <f>""</f>
        <v/>
      </c>
      <c r="AH67" s="20" t="str">
        <f>""</f>
        <v/>
      </c>
      <c r="AI67" s="20" t="str">
        <f>""</f>
        <v/>
      </c>
      <c r="AJ67" s="20" t="str">
        <f>""</f>
        <v/>
      </c>
      <c r="AK67" s="20" t="str">
        <f>""</f>
        <v/>
      </c>
      <c r="AL67" s="20" t="str">
        <f>""</f>
        <v/>
      </c>
      <c r="AM67" s="20" t="str">
        <f>""</f>
        <v/>
      </c>
    </row>
    <row r="68" spans="1:39" ht="15.75" customHeight="1" x14ac:dyDescent="0.25">
      <c r="A68" s="17" t="str">
        <f>IF('Step 2 - Special'!B15="","","Active")</f>
        <v/>
      </c>
      <c r="B68" s="18" t="str">
        <f>IF('Step 2 - Special'!B15="","",'Step 2 - Special'!B15)</f>
        <v/>
      </c>
      <c r="C68" s="18" t="str">
        <f>IF('Step 2 - Special'!B15="","",'Step 2 - Special'!B15)</f>
        <v/>
      </c>
      <c r="D68" s="17" t="str">
        <f>IF('Step 2 - Special'!B15="","",'Step 2 - Special'!F15)</f>
        <v/>
      </c>
      <c r="E68" s="17" t="str">
        <f>IF('Step 2 - Special'!B15="","",'Step 2 - Special'!G15)</f>
        <v/>
      </c>
      <c r="F68" s="18" t="str">
        <f>IF('Step 2 - Special'!B15="","",IF('Step 2 - Special'!C15="","","Fund Code"))</f>
        <v/>
      </c>
      <c r="G68" s="17" t="str">
        <f>IF('Step 2 - Special'!B15="","",IF('Step 2 - Special'!C15="","","Equals"))</f>
        <v/>
      </c>
      <c r="H68" s="18" t="str">
        <f>IF('Step 2 - Special'!B15="","",IF('Step 2 - Special'!C15="","",'Step 2 - Special'!C15))</f>
        <v/>
      </c>
      <c r="I68" s="18" t="str">
        <f>IF('Step 2 - Special'!B15="","","Organization Code")</f>
        <v/>
      </c>
      <c r="J68" s="17" t="str">
        <f>IF('Step 2 - Special'!B15="","","Equals")</f>
        <v/>
      </c>
      <c r="K68" s="18" t="str">
        <f>IF('Step 2 - Special'!B15="","",'Step 2 - Special'!D15)</f>
        <v/>
      </c>
      <c r="L68" s="18" t="str">
        <f>IF('Step 2 - Special'!B15="","","Other Criteria")</f>
        <v/>
      </c>
      <c r="M68" s="17" t="str">
        <f>IF('Step 2 - Special'!B15="","","Equals")</f>
        <v/>
      </c>
      <c r="N68" s="18" t="str">
        <f>IF('Step 2 - Special'!B15="","",'Step 2 - Special'!E15)</f>
        <v/>
      </c>
      <c r="O68" s="18" t="str">
        <f>""</f>
        <v/>
      </c>
      <c r="P68" s="18" t="str">
        <f>""</f>
        <v/>
      </c>
      <c r="Q68" s="18" t="str">
        <f>""</f>
        <v/>
      </c>
      <c r="R68" s="18" t="str">
        <f>""</f>
        <v/>
      </c>
      <c r="S68" s="18" t="str">
        <f>""</f>
        <v/>
      </c>
      <c r="T68" s="18" t="str">
        <f>""</f>
        <v/>
      </c>
      <c r="U68" s="18" t="str">
        <f>IF('Step 2 - Special'!B15="","",'Step 2 - Special'!H15)</f>
        <v/>
      </c>
      <c r="V68" s="17" t="str">
        <f>IF('Step 2 - Special'!B15="","",'Step 2 - Special'!J15)</f>
        <v/>
      </c>
      <c r="W68" s="18" t="str">
        <f>IF('Step 2 - Special'!B15="","",'Step 2 - Special'!K15)</f>
        <v/>
      </c>
      <c r="X68" s="17" t="str">
        <f>IF('Step 2 - Special'!B15="","",'Step 2 - Special'!M15)</f>
        <v/>
      </c>
      <c r="Y68" s="18" t="str">
        <f>""</f>
        <v/>
      </c>
      <c r="Z68" s="18" t="str">
        <f>""</f>
        <v/>
      </c>
      <c r="AA68" s="18" t="str">
        <f>""</f>
        <v/>
      </c>
      <c r="AB68" s="18" t="str">
        <f>""</f>
        <v/>
      </c>
      <c r="AC68" s="18" t="str">
        <f>""</f>
        <v/>
      </c>
      <c r="AD68" s="18" t="str">
        <f>""</f>
        <v/>
      </c>
      <c r="AE68" s="18" t="str">
        <f>""</f>
        <v/>
      </c>
      <c r="AF68" s="18" t="str">
        <f>""</f>
        <v/>
      </c>
      <c r="AG68" s="18" t="str">
        <f>""</f>
        <v/>
      </c>
      <c r="AH68" s="18" t="str">
        <f>""</f>
        <v/>
      </c>
      <c r="AI68" s="18" t="str">
        <f>""</f>
        <v/>
      </c>
      <c r="AJ68" s="18" t="str">
        <f>""</f>
        <v/>
      </c>
      <c r="AK68" s="18" t="str">
        <f>""</f>
        <v/>
      </c>
      <c r="AL68" s="18" t="str">
        <f>""</f>
        <v/>
      </c>
      <c r="AM68" s="18" t="str">
        <f>""</f>
        <v/>
      </c>
    </row>
    <row r="69" spans="1:39" ht="15.75" customHeight="1" x14ac:dyDescent="0.25">
      <c r="A69" s="19" t="str">
        <f>IF('Step 2 - Special'!B16="","","Active")</f>
        <v/>
      </c>
      <c r="B69" s="20" t="str">
        <f>IF('Step 2 - Special'!B16="","",'Step 2 - Special'!B16)</f>
        <v/>
      </c>
      <c r="C69" s="20" t="str">
        <f>IF('Step 2 - Special'!B16="","",'Step 2 - Special'!B16)</f>
        <v/>
      </c>
      <c r="D69" s="19" t="str">
        <f>IF('Step 2 - Special'!B16="","",'Step 2 - Special'!F16)</f>
        <v/>
      </c>
      <c r="E69" s="19" t="str">
        <f>IF('Step 2 - Special'!B16="","",'Step 2 - Special'!G16)</f>
        <v/>
      </c>
      <c r="F69" s="20" t="str">
        <f>IF('Step 2 - Special'!B16="","",IF('Step 2 - Special'!C16="","","Fund Code"))</f>
        <v/>
      </c>
      <c r="G69" s="19" t="str">
        <f>IF('Step 2 - Special'!B16="","",IF('Step 2 - Special'!C16="","","Equals"))</f>
        <v/>
      </c>
      <c r="H69" s="20" t="str">
        <f>IF('Step 2 - Special'!B16="","",IF('Step 2 - Special'!C16="","",'Step 2 - Special'!C16))</f>
        <v/>
      </c>
      <c r="I69" s="20" t="str">
        <f>IF('Step 2 - Special'!B16="","","Organization Code")</f>
        <v/>
      </c>
      <c r="J69" s="19" t="str">
        <f>IF('Step 2 - Special'!B16="","","Equals")</f>
        <v/>
      </c>
      <c r="K69" s="20" t="str">
        <f>IF('Step 2 - Special'!B16="","",'Step 2 - Special'!D16)</f>
        <v/>
      </c>
      <c r="L69" s="20" t="str">
        <f>IF('Step 2 - Special'!B16="","","Other Criteria")</f>
        <v/>
      </c>
      <c r="M69" s="19" t="str">
        <f>IF('Step 2 - Special'!B16="","","Equals")</f>
        <v/>
      </c>
      <c r="N69" s="20" t="str">
        <f>IF('Step 2 - Special'!B16="","",'Step 2 - Special'!E16)</f>
        <v/>
      </c>
      <c r="O69" s="20" t="str">
        <f>""</f>
        <v/>
      </c>
      <c r="P69" s="20" t="str">
        <f>""</f>
        <v/>
      </c>
      <c r="Q69" s="20" t="str">
        <f>""</f>
        <v/>
      </c>
      <c r="R69" s="20" t="str">
        <f>""</f>
        <v/>
      </c>
      <c r="S69" s="20" t="str">
        <f>""</f>
        <v/>
      </c>
      <c r="T69" s="20" t="str">
        <f>""</f>
        <v/>
      </c>
      <c r="U69" s="20" t="str">
        <f>IF('Step 2 - Special'!B16="","",'Step 2 - Special'!H16)</f>
        <v/>
      </c>
      <c r="V69" s="19" t="str">
        <f>IF('Step 2 - Special'!B16="","",'Step 2 - Special'!J16)</f>
        <v/>
      </c>
      <c r="W69" s="20" t="str">
        <f>IF('Step 2 - Special'!B16="","",'Step 2 - Special'!K16)</f>
        <v/>
      </c>
      <c r="X69" s="19" t="str">
        <f>IF('Step 2 - Special'!B16="","",'Step 2 - Special'!M16)</f>
        <v/>
      </c>
      <c r="Y69" s="20" t="str">
        <f>""</f>
        <v/>
      </c>
      <c r="Z69" s="20" t="str">
        <f>""</f>
        <v/>
      </c>
      <c r="AA69" s="20" t="str">
        <f>""</f>
        <v/>
      </c>
      <c r="AB69" s="20" t="str">
        <f>""</f>
        <v/>
      </c>
      <c r="AC69" s="20" t="str">
        <f>""</f>
        <v/>
      </c>
      <c r="AD69" s="20" t="str">
        <f>""</f>
        <v/>
      </c>
      <c r="AE69" s="20" t="str">
        <f>""</f>
        <v/>
      </c>
      <c r="AF69" s="20" t="str">
        <f>""</f>
        <v/>
      </c>
      <c r="AG69" s="20" t="str">
        <f>""</f>
        <v/>
      </c>
      <c r="AH69" s="20" t="str">
        <f>""</f>
        <v/>
      </c>
      <c r="AI69" s="20" t="str">
        <f>""</f>
        <v/>
      </c>
      <c r="AJ69" s="20" t="str">
        <f>""</f>
        <v/>
      </c>
      <c r="AK69" s="20" t="str">
        <f>""</f>
        <v/>
      </c>
      <c r="AL69" s="20" t="str">
        <f>""</f>
        <v/>
      </c>
      <c r="AM69" s="20" t="str">
        <f>""</f>
        <v/>
      </c>
    </row>
    <row r="70" spans="1:39" ht="15.75" customHeight="1" x14ac:dyDescent="0.25">
      <c r="A70" s="17" t="str">
        <f>IF('Step 2 - Special'!B17="","","Active")</f>
        <v/>
      </c>
      <c r="B70" s="18" t="str">
        <f>IF('Step 2 - Special'!B17="","",'Step 2 - Special'!B17)</f>
        <v/>
      </c>
      <c r="C70" s="18" t="str">
        <f>IF('Step 2 - Special'!B17="","",'Step 2 - Special'!B17)</f>
        <v/>
      </c>
      <c r="D70" s="17" t="str">
        <f>IF('Step 2 - Special'!B17="","",'Step 2 - Special'!F17)</f>
        <v/>
      </c>
      <c r="E70" s="17" t="str">
        <f>IF('Step 2 - Special'!B17="","",'Step 2 - Special'!G17)</f>
        <v/>
      </c>
      <c r="F70" s="18" t="str">
        <f>IF('Step 2 - Special'!B17="","",IF('Step 2 - Special'!C17="","","Fund Code"))</f>
        <v/>
      </c>
      <c r="G70" s="17" t="str">
        <f>IF('Step 2 - Special'!B17="","",IF('Step 2 - Special'!C17="","","Equals"))</f>
        <v/>
      </c>
      <c r="H70" s="18" t="str">
        <f>IF('Step 2 - Special'!B17="","",IF('Step 2 - Special'!C17="","",'Step 2 - Special'!C17))</f>
        <v/>
      </c>
      <c r="I70" s="18" t="str">
        <f>IF('Step 2 - Special'!B17="","","Organization Code")</f>
        <v/>
      </c>
      <c r="J70" s="17" t="str">
        <f>IF('Step 2 - Special'!B17="","","Equals")</f>
        <v/>
      </c>
      <c r="K70" s="18" t="str">
        <f>IF('Step 2 - Special'!B17="","",'Step 2 - Special'!D17)</f>
        <v/>
      </c>
      <c r="L70" s="18" t="str">
        <f>IF('Step 2 - Special'!B17="","","Other Criteria")</f>
        <v/>
      </c>
      <c r="M70" s="17" t="str">
        <f>IF('Step 2 - Special'!B17="","","Equals")</f>
        <v/>
      </c>
      <c r="N70" s="18" t="str">
        <f>IF('Step 2 - Special'!B17="","",'Step 2 - Special'!E17)</f>
        <v/>
      </c>
      <c r="O70" s="18" t="str">
        <f>""</f>
        <v/>
      </c>
      <c r="P70" s="18" t="str">
        <f>""</f>
        <v/>
      </c>
      <c r="Q70" s="18" t="str">
        <f>""</f>
        <v/>
      </c>
      <c r="R70" s="18" t="str">
        <f>""</f>
        <v/>
      </c>
      <c r="S70" s="18" t="str">
        <f>""</f>
        <v/>
      </c>
      <c r="T70" s="18" t="str">
        <f>""</f>
        <v/>
      </c>
      <c r="U70" s="18" t="str">
        <f>IF('Step 2 - Special'!B17="","",'Step 2 - Special'!H17)</f>
        <v/>
      </c>
      <c r="V70" s="17" t="str">
        <f>IF('Step 2 - Special'!B17="","",'Step 2 - Special'!J17)</f>
        <v/>
      </c>
      <c r="W70" s="18" t="str">
        <f>IF('Step 2 - Special'!B17="","",'Step 2 - Special'!K17)</f>
        <v/>
      </c>
      <c r="X70" s="17" t="str">
        <f>IF('Step 2 - Special'!B17="","",'Step 2 - Special'!M17)</f>
        <v/>
      </c>
      <c r="Y70" s="18" t="str">
        <f>""</f>
        <v/>
      </c>
      <c r="Z70" s="18" t="str">
        <f>""</f>
        <v/>
      </c>
      <c r="AA70" s="18" t="str">
        <f>""</f>
        <v/>
      </c>
      <c r="AB70" s="18" t="str">
        <f>""</f>
        <v/>
      </c>
      <c r="AC70" s="18" t="str">
        <f>""</f>
        <v/>
      </c>
      <c r="AD70" s="18" t="str">
        <f>""</f>
        <v/>
      </c>
      <c r="AE70" s="18" t="str">
        <f>""</f>
        <v/>
      </c>
      <c r="AF70" s="18" t="str">
        <f>""</f>
        <v/>
      </c>
      <c r="AG70" s="18" t="str">
        <f>""</f>
        <v/>
      </c>
      <c r="AH70" s="18" t="str">
        <f>""</f>
        <v/>
      </c>
      <c r="AI70" s="18" t="str">
        <f>""</f>
        <v/>
      </c>
      <c r="AJ70" s="18" t="str">
        <f>""</f>
        <v/>
      </c>
      <c r="AK70" s="18" t="str">
        <f>""</f>
        <v/>
      </c>
      <c r="AL70" s="18" t="str">
        <f>""</f>
        <v/>
      </c>
      <c r="AM70" s="18" t="str">
        <f>""</f>
        <v/>
      </c>
    </row>
    <row r="71" spans="1:39" ht="15.75" customHeight="1" x14ac:dyDescent="0.25">
      <c r="A71" s="19" t="str">
        <f>IF('Step 2 - Special'!B18="","","Active")</f>
        <v/>
      </c>
      <c r="B71" s="20" t="str">
        <f>IF('Step 2 - Special'!B18="","",'Step 2 - Special'!B18)</f>
        <v/>
      </c>
      <c r="C71" s="20" t="str">
        <f>IF('Step 2 - Special'!B18="","",'Step 2 - Special'!B18)</f>
        <v/>
      </c>
      <c r="D71" s="19" t="str">
        <f>IF('Step 2 - Special'!B18="","",'Step 2 - Special'!F18)</f>
        <v/>
      </c>
      <c r="E71" s="19" t="str">
        <f>IF('Step 2 - Special'!B18="","",'Step 2 - Special'!G18)</f>
        <v/>
      </c>
      <c r="F71" s="20" t="str">
        <f>IF('Step 2 - Special'!B18="","",IF('Step 2 - Special'!C18="","","Fund Code"))</f>
        <v/>
      </c>
      <c r="G71" s="19" t="str">
        <f>IF('Step 2 - Special'!B18="","",IF('Step 2 - Special'!C18="","","Equals"))</f>
        <v/>
      </c>
      <c r="H71" s="20" t="str">
        <f>IF('Step 2 - Special'!B18="","",IF('Step 2 - Special'!C18="","",'Step 2 - Special'!C18))</f>
        <v/>
      </c>
      <c r="I71" s="20" t="str">
        <f>IF('Step 2 - Special'!B18="","","Organization Code")</f>
        <v/>
      </c>
      <c r="J71" s="19" t="str">
        <f>IF('Step 2 - Special'!B18="","","Equals")</f>
        <v/>
      </c>
      <c r="K71" s="20" t="str">
        <f>IF('Step 2 - Special'!B18="","",'Step 2 - Special'!D18)</f>
        <v/>
      </c>
      <c r="L71" s="20" t="str">
        <f>IF('Step 2 - Special'!B18="","","Other Criteria")</f>
        <v/>
      </c>
      <c r="M71" s="19" t="str">
        <f>IF('Step 2 - Special'!B18="","","Equals")</f>
        <v/>
      </c>
      <c r="N71" s="20" t="str">
        <f>IF('Step 2 - Special'!B18="","",'Step 2 - Special'!E18)</f>
        <v/>
      </c>
      <c r="O71" s="20" t="str">
        <f>""</f>
        <v/>
      </c>
      <c r="P71" s="20" t="str">
        <f>""</f>
        <v/>
      </c>
      <c r="Q71" s="20" t="str">
        <f>""</f>
        <v/>
      </c>
      <c r="R71" s="20" t="str">
        <f>""</f>
        <v/>
      </c>
      <c r="S71" s="20" t="str">
        <f>""</f>
        <v/>
      </c>
      <c r="T71" s="20" t="str">
        <f>""</f>
        <v/>
      </c>
      <c r="U71" s="20" t="str">
        <f>IF('Step 2 - Special'!B18="","",'Step 2 - Special'!H18)</f>
        <v/>
      </c>
      <c r="V71" s="19" t="str">
        <f>IF('Step 2 - Special'!B18="","",'Step 2 - Special'!J18)</f>
        <v/>
      </c>
      <c r="W71" s="20" t="str">
        <f>IF('Step 2 - Special'!B18="","",'Step 2 - Special'!K18)</f>
        <v/>
      </c>
      <c r="X71" s="19" t="str">
        <f>IF('Step 2 - Special'!B18="","",'Step 2 - Special'!M18)</f>
        <v/>
      </c>
      <c r="Y71" s="20" t="str">
        <f>""</f>
        <v/>
      </c>
      <c r="Z71" s="20" t="str">
        <f>""</f>
        <v/>
      </c>
      <c r="AA71" s="20" t="str">
        <f>""</f>
        <v/>
      </c>
      <c r="AB71" s="20" t="str">
        <f>""</f>
        <v/>
      </c>
      <c r="AC71" s="20" t="str">
        <f>""</f>
        <v/>
      </c>
      <c r="AD71" s="20" t="str">
        <f>""</f>
        <v/>
      </c>
      <c r="AE71" s="20" t="str">
        <f>""</f>
        <v/>
      </c>
      <c r="AF71" s="20" t="str">
        <f>""</f>
        <v/>
      </c>
      <c r="AG71" s="20" t="str">
        <f>""</f>
        <v/>
      </c>
      <c r="AH71" s="20" t="str">
        <f>""</f>
        <v/>
      </c>
      <c r="AI71" s="20" t="str">
        <f>""</f>
        <v/>
      </c>
      <c r="AJ71" s="20" t="str">
        <f>""</f>
        <v/>
      </c>
      <c r="AK71" s="20" t="str">
        <f>""</f>
        <v/>
      </c>
      <c r="AL71" s="20" t="str">
        <f>""</f>
        <v/>
      </c>
      <c r="AM71" s="20" t="str">
        <f>""</f>
        <v/>
      </c>
    </row>
    <row r="72" spans="1:39" ht="15.75" customHeight="1" x14ac:dyDescent="0.25">
      <c r="A72" s="17" t="str">
        <f>IF('Step 2 - Special'!B19="","","Active")</f>
        <v/>
      </c>
      <c r="B72" s="18" t="str">
        <f>IF('Step 2 - Special'!B19="","",'Step 2 - Special'!B19)</f>
        <v/>
      </c>
      <c r="C72" s="18" t="str">
        <f>IF('Step 2 - Special'!B19="","",'Step 2 - Special'!B19)</f>
        <v/>
      </c>
      <c r="D72" s="17" t="str">
        <f>IF('Step 2 - Special'!B19="","",'Step 2 - Special'!F19)</f>
        <v/>
      </c>
      <c r="E72" s="17" t="str">
        <f>IF('Step 2 - Special'!B19="","",'Step 2 - Special'!G19)</f>
        <v/>
      </c>
      <c r="F72" s="18" t="str">
        <f>IF('Step 2 - Special'!B19="","",IF('Step 2 - Special'!C19="","","Fund Code"))</f>
        <v/>
      </c>
      <c r="G72" s="17" t="str">
        <f>IF('Step 2 - Special'!B19="","",IF('Step 2 - Special'!C19="","","Equals"))</f>
        <v/>
      </c>
      <c r="H72" s="18" t="str">
        <f>IF('Step 2 - Special'!B19="","",IF('Step 2 - Special'!C19="","",'Step 2 - Special'!C19))</f>
        <v/>
      </c>
      <c r="I72" s="18" t="str">
        <f>IF('Step 2 - Special'!B19="","","Organization Code")</f>
        <v/>
      </c>
      <c r="J72" s="17" t="str">
        <f>IF('Step 2 - Special'!B19="","","Equals")</f>
        <v/>
      </c>
      <c r="K72" s="18" t="str">
        <f>IF('Step 2 - Special'!B19="","",'Step 2 - Special'!D19)</f>
        <v/>
      </c>
      <c r="L72" s="18" t="str">
        <f>IF('Step 2 - Special'!B19="","","Other Criteria")</f>
        <v/>
      </c>
      <c r="M72" s="17" t="str">
        <f>IF('Step 2 - Special'!B19="","","Equals")</f>
        <v/>
      </c>
      <c r="N72" s="18" t="str">
        <f>IF('Step 2 - Special'!B19="","",'Step 2 - Special'!E19)</f>
        <v/>
      </c>
      <c r="O72" s="18" t="str">
        <f>""</f>
        <v/>
      </c>
      <c r="P72" s="18" t="str">
        <f>""</f>
        <v/>
      </c>
      <c r="Q72" s="18" t="str">
        <f>""</f>
        <v/>
      </c>
      <c r="R72" s="18" t="str">
        <f>""</f>
        <v/>
      </c>
      <c r="S72" s="18" t="str">
        <f>""</f>
        <v/>
      </c>
      <c r="T72" s="18" t="str">
        <f>""</f>
        <v/>
      </c>
      <c r="U72" s="18" t="str">
        <f>IF('Step 2 - Special'!B19="","",'Step 2 - Special'!H19)</f>
        <v/>
      </c>
      <c r="V72" s="17" t="str">
        <f>IF('Step 2 - Special'!B19="","",'Step 2 - Special'!J19)</f>
        <v/>
      </c>
      <c r="W72" s="18" t="str">
        <f>IF('Step 2 - Special'!B19="","",'Step 2 - Special'!K19)</f>
        <v/>
      </c>
      <c r="X72" s="17" t="str">
        <f>IF('Step 2 - Special'!B19="","",'Step 2 - Special'!M19)</f>
        <v/>
      </c>
      <c r="Y72" s="18" t="str">
        <f>""</f>
        <v/>
      </c>
      <c r="Z72" s="18" t="str">
        <f>""</f>
        <v/>
      </c>
      <c r="AA72" s="18" t="str">
        <f>""</f>
        <v/>
      </c>
      <c r="AB72" s="18" t="str">
        <f>""</f>
        <v/>
      </c>
      <c r="AC72" s="18" t="str">
        <f>""</f>
        <v/>
      </c>
      <c r="AD72" s="18" t="str">
        <f>""</f>
        <v/>
      </c>
      <c r="AE72" s="18" t="str">
        <f>""</f>
        <v/>
      </c>
      <c r="AF72" s="18" t="str">
        <f>""</f>
        <v/>
      </c>
      <c r="AG72" s="18" t="str">
        <f>""</f>
        <v/>
      </c>
      <c r="AH72" s="18" t="str">
        <f>""</f>
        <v/>
      </c>
      <c r="AI72" s="18" t="str">
        <f>""</f>
        <v/>
      </c>
      <c r="AJ72" s="18" t="str">
        <f>""</f>
        <v/>
      </c>
      <c r="AK72" s="18" t="str">
        <f>""</f>
        <v/>
      </c>
      <c r="AL72" s="18" t="str">
        <f>""</f>
        <v/>
      </c>
      <c r="AM72" s="18" t="str">
        <f>""</f>
        <v/>
      </c>
    </row>
    <row r="73" spans="1:39" ht="15.75" customHeight="1" x14ac:dyDescent="0.25">
      <c r="A73" s="19" t="str">
        <f>IF('Step 2 - Special'!B20="","","Active")</f>
        <v/>
      </c>
      <c r="B73" s="20" t="str">
        <f>IF('Step 2 - Special'!B20="","",'Step 2 - Special'!B20)</f>
        <v/>
      </c>
      <c r="C73" s="20" t="str">
        <f>IF('Step 2 - Special'!B20="","",'Step 2 - Special'!B20)</f>
        <v/>
      </c>
      <c r="D73" s="19" t="str">
        <f>IF('Step 2 - Special'!B20="","",'Step 2 - Special'!F20)</f>
        <v/>
      </c>
      <c r="E73" s="19" t="str">
        <f>IF('Step 2 - Special'!B20="","",'Step 2 - Special'!G20)</f>
        <v/>
      </c>
      <c r="F73" s="20" t="str">
        <f>IF('Step 2 - Special'!B20="","",IF('Step 2 - Special'!C20="","","Fund Code"))</f>
        <v/>
      </c>
      <c r="G73" s="19" t="str">
        <f>IF('Step 2 - Special'!B20="","",IF('Step 2 - Special'!C20="","","Equals"))</f>
        <v/>
      </c>
      <c r="H73" s="20" t="str">
        <f>IF('Step 2 - Special'!B20="","",IF('Step 2 - Special'!C20="","",'Step 2 - Special'!C20))</f>
        <v/>
      </c>
      <c r="I73" s="20" t="str">
        <f>IF('Step 2 - Special'!B20="","","Organization Code")</f>
        <v/>
      </c>
      <c r="J73" s="19" t="str">
        <f>IF('Step 2 - Special'!B20="","","Equals")</f>
        <v/>
      </c>
      <c r="K73" s="20" t="str">
        <f>IF('Step 2 - Special'!B20="","",'Step 2 - Special'!D20)</f>
        <v/>
      </c>
      <c r="L73" s="20" t="str">
        <f>IF('Step 2 - Special'!B20="","","Other Criteria")</f>
        <v/>
      </c>
      <c r="M73" s="19" t="str">
        <f>IF('Step 2 - Special'!B20="","","Equals")</f>
        <v/>
      </c>
      <c r="N73" s="20" t="str">
        <f>IF('Step 2 - Special'!B20="","",'Step 2 - Special'!E20)</f>
        <v/>
      </c>
      <c r="O73" s="20" t="str">
        <f>""</f>
        <v/>
      </c>
      <c r="P73" s="20" t="str">
        <f>""</f>
        <v/>
      </c>
      <c r="Q73" s="20" t="str">
        <f>""</f>
        <v/>
      </c>
      <c r="R73" s="20" t="str">
        <f>""</f>
        <v/>
      </c>
      <c r="S73" s="20" t="str">
        <f>""</f>
        <v/>
      </c>
      <c r="T73" s="20" t="str">
        <f>""</f>
        <v/>
      </c>
      <c r="U73" s="20" t="str">
        <f>IF('Step 2 - Special'!B20="","",'Step 2 - Special'!H20)</f>
        <v/>
      </c>
      <c r="V73" s="19" t="str">
        <f>IF('Step 2 - Special'!B20="","",'Step 2 - Special'!J20)</f>
        <v/>
      </c>
      <c r="W73" s="20" t="str">
        <f>IF('Step 2 - Special'!B20="","",'Step 2 - Special'!K20)</f>
        <v/>
      </c>
      <c r="X73" s="19" t="str">
        <f>IF('Step 2 - Special'!B20="","",'Step 2 - Special'!M20)</f>
        <v/>
      </c>
      <c r="Y73" s="20" t="str">
        <f>""</f>
        <v/>
      </c>
      <c r="Z73" s="20" t="str">
        <f>""</f>
        <v/>
      </c>
      <c r="AA73" s="20" t="str">
        <f>""</f>
        <v/>
      </c>
      <c r="AB73" s="20" t="str">
        <f>""</f>
        <v/>
      </c>
      <c r="AC73" s="20" t="str">
        <f>""</f>
        <v/>
      </c>
      <c r="AD73" s="20" t="str">
        <f>""</f>
        <v/>
      </c>
      <c r="AE73" s="20" t="str">
        <f>""</f>
        <v/>
      </c>
      <c r="AF73" s="20" t="str">
        <f>""</f>
        <v/>
      </c>
      <c r="AG73" s="20" t="str">
        <f>""</f>
        <v/>
      </c>
      <c r="AH73" s="20" t="str">
        <f>""</f>
        <v/>
      </c>
      <c r="AI73" s="20" t="str">
        <f>""</f>
        <v/>
      </c>
      <c r="AJ73" s="20" t="str">
        <f>""</f>
        <v/>
      </c>
      <c r="AK73" s="20" t="str">
        <f>""</f>
        <v/>
      </c>
      <c r="AL73" s="20" t="str">
        <f>""</f>
        <v/>
      </c>
      <c r="AM73" s="20" t="str">
        <f>""</f>
        <v/>
      </c>
    </row>
    <row r="74" spans="1:39" ht="15.75" customHeight="1" x14ac:dyDescent="0.25">
      <c r="A74" s="17" t="str">
        <f>IF('Step 2 - Special'!B21="","","Active")</f>
        <v/>
      </c>
      <c r="B74" s="18" t="str">
        <f>IF('Step 2 - Special'!B21="","",'Step 2 - Special'!B21)</f>
        <v/>
      </c>
      <c r="C74" s="18" t="str">
        <f>IF('Step 2 - Special'!B21="","",'Step 2 - Special'!B21)</f>
        <v/>
      </c>
      <c r="D74" s="17" t="str">
        <f>IF('Step 2 - Special'!B21="","",'Step 2 - Special'!F21)</f>
        <v/>
      </c>
      <c r="E74" s="17" t="str">
        <f>IF('Step 2 - Special'!B21="","",'Step 2 - Special'!G21)</f>
        <v/>
      </c>
      <c r="F74" s="18" t="str">
        <f>IF('Step 2 - Special'!B21="","",IF('Step 2 - Special'!C21="","","Fund Code"))</f>
        <v/>
      </c>
      <c r="G74" s="17" t="str">
        <f>IF('Step 2 - Special'!B21="","",IF('Step 2 - Special'!C21="","","Equals"))</f>
        <v/>
      </c>
      <c r="H74" s="18" t="str">
        <f>IF('Step 2 - Special'!B21="","",IF('Step 2 - Special'!C21="","",'Step 2 - Special'!C21))</f>
        <v/>
      </c>
      <c r="I74" s="18" t="str">
        <f>IF('Step 2 - Special'!B21="","","Organization Code")</f>
        <v/>
      </c>
      <c r="J74" s="17" t="str">
        <f>IF('Step 2 - Special'!B21="","","Equals")</f>
        <v/>
      </c>
      <c r="K74" s="18" t="str">
        <f>IF('Step 2 - Special'!B21="","",'Step 2 - Special'!D21)</f>
        <v/>
      </c>
      <c r="L74" s="18" t="str">
        <f>IF('Step 2 - Special'!B21="","","Other Criteria")</f>
        <v/>
      </c>
      <c r="M74" s="17" t="str">
        <f>IF('Step 2 - Special'!B21="","","Equals")</f>
        <v/>
      </c>
      <c r="N74" s="18" t="str">
        <f>IF('Step 2 - Special'!B21="","",'Step 2 - Special'!E21)</f>
        <v/>
      </c>
      <c r="O74" s="18" t="str">
        <f>""</f>
        <v/>
      </c>
      <c r="P74" s="18" t="str">
        <f>""</f>
        <v/>
      </c>
      <c r="Q74" s="18" t="str">
        <f>""</f>
        <v/>
      </c>
      <c r="R74" s="18" t="str">
        <f>""</f>
        <v/>
      </c>
      <c r="S74" s="18" t="str">
        <f>""</f>
        <v/>
      </c>
      <c r="T74" s="18" t="str">
        <f>""</f>
        <v/>
      </c>
      <c r="U74" s="18" t="str">
        <f>IF('Step 2 - Special'!B21="","",'Step 2 - Special'!H21)</f>
        <v/>
      </c>
      <c r="V74" s="17" t="str">
        <f>IF('Step 2 - Special'!B21="","",'Step 2 - Special'!J21)</f>
        <v/>
      </c>
      <c r="W74" s="18" t="str">
        <f>IF('Step 2 - Special'!B21="","",'Step 2 - Special'!K21)</f>
        <v/>
      </c>
      <c r="X74" s="17" t="str">
        <f>IF('Step 2 - Special'!B21="","",'Step 2 - Special'!M21)</f>
        <v/>
      </c>
      <c r="Y74" s="18" t="str">
        <f>""</f>
        <v/>
      </c>
      <c r="Z74" s="18" t="str">
        <f>""</f>
        <v/>
      </c>
      <c r="AA74" s="18" t="str">
        <f>""</f>
        <v/>
      </c>
      <c r="AB74" s="18" t="str">
        <f>""</f>
        <v/>
      </c>
      <c r="AC74" s="18" t="str">
        <f>""</f>
        <v/>
      </c>
      <c r="AD74" s="18" t="str">
        <f>""</f>
        <v/>
      </c>
      <c r="AE74" s="18" t="str">
        <f>""</f>
        <v/>
      </c>
      <c r="AF74" s="18" t="str">
        <f>""</f>
        <v/>
      </c>
      <c r="AG74" s="18" t="str">
        <f>""</f>
        <v/>
      </c>
      <c r="AH74" s="18" t="str">
        <f>""</f>
        <v/>
      </c>
      <c r="AI74" s="18" t="str">
        <f>""</f>
        <v/>
      </c>
      <c r="AJ74" s="18" t="str">
        <f>""</f>
        <v/>
      </c>
      <c r="AK74" s="18" t="str">
        <f>""</f>
        <v/>
      </c>
      <c r="AL74" s="18" t="str">
        <f>""</f>
        <v/>
      </c>
      <c r="AM74" s="18" t="str">
        <f>""</f>
        <v/>
      </c>
    </row>
    <row r="75" spans="1:39" ht="15.75" customHeight="1" x14ac:dyDescent="0.25">
      <c r="A75" s="19" t="str">
        <f>IF('Step 2 - Special'!B22="","","Active")</f>
        <v/>
      </c>
      <c r="B75" s="20" t="str">
        <f>IF('Step 2 - Special'!B22="","",'Step 2 - Special'!B22)</f>
        <v/>
      </c>
      <c r="C75" s="20" t="str">
        <f>IF('Step 2 - Special'!B22="","",'Step 2 - Special'!B22)</f>
        <v/>
      </c>
      <c r="D75" s="19" t="str">
        <f>IF('Step 2 - Special'!B22="","",'Step 2 - Special'!F22)</f>
        <v/>
      </c>
      <c r="E75" s="19" t="str">
        <f>IF('Step 2 - Special'!B22="","",'Step 2 - Special'!G22)</f>
        <v/>
      </c>
      <c r="F75" s="20" t="str">
        <f>IF('Step 2 - Special'!B22="","",IF('Step 2 - Special'!C22="","","Fund Code"))</f>
        <v/>
      </c>
      <c r="G75" s="19" t="str">
        <f>IF('Step 2 - Special'!B22="","",IF('Step 2 - Special'!C22="","","Equals"))</f>
        <v/>
      </c>
      <c r="H75" s="20" t="str">
        <f>IF('Step 2 - Special'!B22="","",IF('Step 2 - Special'!C22="","",'Step 2 - Special'!C22))</f>
        <v/>
      </c>
      <c r="I75" s="20" t="str">
        <f>IF('Step 2 - Special'!B22="","","Organization Code")</f>
        <v/>
      </c>
      <c r="J75" s="19" t="str">
        <f>IF('Step 2 - Special'!B22="","","Equals")</f>
        <v/>
      </c>
      <c r="K75" s="20" t="str">
        <f>IF('Step 2 - Special'!B22="","",'Step 2 - Special'!D22)</f>
        <v/>
      </c>
      <c r="L75" s="20" t="str">
        <f>IF('Step 2 - Special'!B22="","","Other Criteria")</f>
        <v/>
      </c>
      <c r="M75" s="19" t="str">
        <f>IF('Step 2 - Special'!B22="","","Equals")</f>
        <v/>
      </c>
      <c r="N75" s="20" t="str">
        <f>IF('Step 2 - Special'!B22="","",'Step 2 - Special'!E22)</f>
        <v/>
      </c>
      <c r="O75" s="20" t="str">
        <f>""</f>
        <v/>
      </c>
      <c r="P75" s="20" t="str">
        <f>""</f>
        <v/>
      </c>
      <c r="Q75" s="20" t="str">
        <f>""</f>
        <v/>
      </c>
      <c r="R75" s="20" t="str">
        <f>""</f>
        <v/>
      </c>
      <c r="S75" s="20" t="str">
        <f>""</f>
        <v/>
      </c>
      <c r="T75" s="20" t="str">
        <f>""</f>
        <v/>
      </c>
      <c r="U75" s="20" t="str">
        <f>IF('Step 2 - Special'!B22="","",'Step 2 - Special'!H22)</f>
        <v/>
      </c>
      <c r="V75" s="19" t="str">
        <f>IF('Step 2 - Special'!B22="","",'Step 2 - Special'!J22)</f>
        <v/>
      </c>
      <c r="W75" s="20" t="str">
        <f>IF('Step 2 - Special'!B22="","",'Step 2 - Special'!K22)</f>
        <v/>
      </c>
      <c r="X75" s="19" t="str">
        <f>IF('Step 2 - Special'!B22="","",'Step 2 - Special'!M22)</f>
        <v/>
      </c>
      <c r="Y75" s="20" t="str">
        <f>""</f>
        <v/>
      </c>
      <c r="Z75" s="20" t="str">
        <f>""</f>
        <v/>
      </c>
      <c r="AA75" s="20" t="str">
        <f>""</f>
        <v/>
      </c>
      <c r="AB75" s="20" t="str">
        <f>""</f>
        <v/>
      </c>
      <c r="AC75" s="20" t="str">
        <f>""</f>
        <v/>
      </c>
      <c r="AD75" s="20" t="str">
        <f>""</f>
        <v/>
      </c>
      <c r="AE75" s="20" t="str">
        <f>""</f>
        <v/>
      </c>
      <c r="AF75" s="20" t="str">
        <f>""</f>
        <v/>
      </c>
      <c r="AG75" s="20" t="str">
        <f>""</f>
        <v/>
      </c>
      <c r="AH75" s="20" t="str">
        <f>""</f>
        <v/>
      </c>
      <c r="AI75" s="20" t="str">
        <f>""</f>
        <v/>
      </c>
      <c r="AJ75" s="20" t="str">
        <f>""</f>
        <v/>
      </c>
      <c r="AK75" s="20" t="str">
        <f>""</f>
        <v/>
      </c>
      <c r="AL75" s="20" t="str">
        <f>""</f>
        <v/>
      </c>
      <c r="AM75" s="20" t="str">
        <f>""</f>
        <v/>
      </c>
    </row>
    <row r="76" spans="1:39" ht="15.75" customHeight="1" x14ac:dyDescent="0.25">
      <c r="A76" s="17" t="str">
        <f>IF('Step 2 - Special'!B23="","","Active")</f>
        <v/>
      </c>
      <c r="B76" s="18" t="str">
        <f>IF('Step 2 - Special'!B23="","",'Step 2 - Special'!B23)</f>
        <v/>
      </c>
      <c r="C76" s="18" t="str">
        <f>IF('Step 2 - Special'!B23="","",'Step 2 - Special'!B23)</f>
        <v/>
      </c>
      <c r="D76" s="17" t="str">
        <f>IF('Step 2 - Special'!B23="","",'Step 2 - Special'!F23)</f>
        <v/>
      </c>
      <c r="E76" s="17" t="str">
        <f>IF('Step 2 - Special'!B23="","",'Step 2 - Special'!G23)</f>
        <v/>
      </c>
      <c r="F76" s="18" t="str">
        <f>IF('Step 2 - Special'!B23="","",IF('Step 2 - Special'!C23="","","Fund Code"))</f>
        <v/>
      </c>
      <c r="G76" s="17" t="str">
        <f>IF('Step 2 - Special'!B23="","",IF('Step 2 - Special'!C23="","","Equals"))</f>
        <v/>
      </c>
      <c r="H76" s="18" t="str">
        <f>IF('Step 2 - Special'!B23="","",IF('Step 2 - Special'!C23="","",'Step 2 - Special'!C23))</f>
        <v/>
      </c>
      <c r="I76" s="18" t="str">
        <f>IF('Step 2 - Special'!B23="","","Organization Code")</f>
        <v/>
      </c>
      <c r="J76" s="17" t="str">
        <f>IF('Step 2 - Special'!B23="","","Equals")</f>
        <v/>
      </c>
      <c r="K76" s="18" t="str">
        <f>IF('Step 2 - Special'!B23="","",'Step 2 - Special'!D23)</f>
        <v/>
      </c>
      <c r="L76" s="18" t="str">
        <f>IF('Step 2 - Special'!B23="","","Other Criteria")</f>
        <v/>
      </c>
      <c r="M76" s="17" t="str">
        <f>IF('Step 2 - Special'!B23="","","Equals")</f>
        <v/>
      </c>
      <c r="N76" s="18" t="str">
        <f>IF('Step 2 - Special'!B23="","",'Step 2 - Special'!E23)</f>
        <v/>
      </c>
      <c r="O76" s="18" t="str">
        <f>""</f>
        <v/>
      </c>
      <c r="P76" s="18" t="str">
        <f>""</f>
        <v/>
      </c>
      <c r="Q76" s="18" t="str">
        <f>""</f>
        <v/>
      </c>
      <c r="R76" s="18" t="str">
        <f>""</f>
        <v/>
      </c>
      <c r="S76" s="18" t="str">
        <f>""</f>
        <v/>
      </c>
      <c r="T76" s="18" t="str">
        <f>""</f>
        <v/>
      </c>
      <c r="U76" s="18" t="str">
        <f>IF('Step 2 - Special'!B23="","",'Step 2 - Special'!H23)</f>
        <v/>
      </c>
      <c r="V76" s="17" t="str">
        <f>IF('Step 2 - Special'!B23="","",'Step 2 - Special'!J23)</f>
        <v/>
      </c>
      <c r="W76" s="18" t="str">
        <f>IF('Step 2 - Special'!B23="","",'Step 2 - Special'!K23)</f>
        <v/>
      </c>
      <c r="X76" s="17" t="str">
        <f>IF('Step 2 - Special'!B23="","",'Step 2 - Special'!M23)</f>
        <v/>
      </c>
      <c r="Y76" s="18" t="str">
        <f>""</f>
        <v/>
      </c>
      <c r="Z76" s="18" t="str">
        <f>""</f>
        <v/>
      </c>
      <c r="AA76" s="18" t="str">
        <f>""</f>
        <v/>
      </c>
      <c r="AB76" s="18" t="str">
        <f>""</f>
        <v/>
      </c>
      <c r="AC76" s="18" t="str">
        <f>""</f>
        <v/>
      </c>
      <c r="AD76" s="18" t="str">
        <f>""</f>
        <v/>
      </c>
      <c r="AE76" s="18" t="str">
        <f>""</f>
        <v/>
      </c>
      <c r="AF76" s="18" t="str">
        <f>""</f>
        <v/>
      </c>
      <c r="AG76" s="18" t="str">
        <f>""</f>
        <v/>
      </c>
      <c r="AH76" s="18" t="str">
        <f>""</f>
        <v/>
      </c>
      <c r="AI76" s="18" t="str">
        <f>""</f>
        <v/>
      </c>
      <c r="AJ76" s="18" t="str">
        <f>""</f>
        <v/>
      </c>
      <c r="AK76" s="18" t="str">
        <f>""</f>
        <v/>
      </c>
      <c r="AL76" s="18" t="str">
        <f>""</f>
        <v/>
      </c>
      <c r="AM76" s="18" t="str">
        <f>""</f>
        <v/>
      </c>
    </row>
    <row r="77" spans="1:39" ht="15.75" customHeight="1" x14ac:dyDescent="0.25">
      <c r="A77" s="19" t="str">
        <f>IF('Step 2 - Special'!B24="","","Active")</f>
        <v/>
      </c>
      <c r="B77" s="20" t="str">
        <f>IF('Step 2 - Special'!B24="","",'Step 2 - Special'!B24)</f>
        <v/>
      </c>
      <c r="C77" s="20" t="str">
        <f>IF('Step 2 - Special'!B24="","",'Step 2 - Special'!B24)</f>
        <v/>
      </c>
      <c r="D77" s="19" t="str">
        <f>IF('Step 2 - Special'!B24="","",'Step 2 - Special'!F24)</f>
        <v/>
      </c>
      <c r="E77" s="19" t="str">
        <f>IF('Step 2 - Special'!B24="","",'Step 2 - Special'!G24)</f>
        <v/>
      </c>
      <c r="F77" s="20" t="str">
        <f>IF('Step 2 - Special'!B24="","",IF('Step 2 - Special'!C24="","","Fund Code"))</f>
        <v/>
      </c>
      <c r="G77" s="19" t="str">
        <f>IF('Step 2 - Special'!B24="","",IF('Step 2 - Special'!C24="","","Equals"))</f>
        <v/>
      </c>
      <c r="H77" s="20" t="str">
        <f>IF('Step 2 - Special'!B24="","",IF('Step 2 - Special'!C24="","",'Step 2 - Special'!C24))</f>
        <v/>
      </c>
      <c r="I77" s="20" t="str">
        <f>IF('Step 2 - Special'!B24="","","Organization Code")</f>
        <v/>
      </c>
      <c r="J77" s="19" t="str">
        <f>IF('Step 2 - Special'!B24="","","Equals")</f>
        <v/>
      </c>
      <c r="K77" s="20" t="str">
        <f>IF('Step 2 - Special'!B24="","",'Step 2 - Special'!D24)</f>
        <v/>
      </c>
      <c r="L77" s="20" t="str">
        <f>IF('Step 2 - Special'!B24="","","Other Criteria")</f>
        <v/>
      </c>
      <c r="M77" s="19" t="str">
        <f>IF('Step 2 - Special'!B24="","","Equals")</f>
        <v/>
      </c>
      <c r="N77" s="20" t="str">
        <f>IF('Step 2 - Special'!B24="","",'Step 2 - Special'!E24)</f>
        <v/>
      </c>
      <c r="O77" s="20" t="str">
        <f>""</f>
        <v/>
      </c>
      <c r="P77" s="20" t="str">
        <f>""</f>
        <v/>
      </c>
      <c r="Q77" s="20" t="str">
        <f>""</f>
        <v/>
      </c>
      <c r="R77" s="20" t="str">
        <f>""</f>
        <v/>
      </c>
      <c r="S77" s="20" t="str">
        <f>""</f>
        <v/>
      </c>
      <c r="T77" s="20" t="str">
        <f>""</f>
        <v/>
      </c>
      <c r="U77" s="20" t="str">
        <f>IF('Step 2 - Special'!B24="","",'Step 2 - Special'!H24)</f>
        <v/>
      </c>
      <c r="V77" s="19" t="str">
        <f>IF('Step 2 - Special'!B24="","",'Step 2 - Special'!J24)</f>
        <v/>
      </c>
      <c r="W77" s="20" t="str">
        <f>IF('Step 2 - Special'!B24="","",'Step 2 - Special'!K24)</f>
        <v/>
      </c>
      <c r="X77" s="19" t="str">
        <f>IF('Step 2 - Special'!B24="","",'Step 2 - Special'!M24)</f>
        <v/>
      </c>
      <c r="Y77" s="20" t="str">
        <f>""</f>
        <v/>
      </c>
      <c r="Z77" s="20" t="str">
        <f>""</f>
        <v/>
      </c>
      <c r="AA77" s="20" t="str">
        <f>""</f>
        <v/>
      </c>
      <c r="AB77" s="20" t="str">
        <f>""</f>
        <v/>
      </c>
      <c r="AC77" s="20" t="str">
        <f>""</f>
        <v/>
      </c>
      <c r="AD77" s="20" t="str">
        <f>""</f>
        <v/>
      </c>
      <c r="AE77" s="20" t="str">
        <f>""</f>
        <v/>
      </c>
      <c r="AF77" s="20" t="str">
        <f>""</f>
        <v/>
      </c>
      <c r="AG77" s="20" t="str">
        <f>""</f>
        <v/>
      </c>
      <c r="AH77" s="20" t="str">
        <f>""</f>
        <v/>
      </c>
      <c r="AI77" s="20" t="str">
        <f>""</f>
        <v/>
      </c>
      <c r="AJ77" s="20" t="str">
        <f>""</f>
        <v/>
      </c>
      <c r="AK77" s="20" t="str">
        <f>""</f>
        <v/>
      </c>
      <c r="AL77" s="20" t="str">
        <f>""</f>
        <v/>
      </c>
      <c r="AM77" s="20" t="str">
        <f>""</f>
        <v/>
      </c>
    </row>
    <row r="78" spans="1:39" ht="15.75" customHeight="1" x14ac:dyDescent="0.25">
      <c r="A78" s="17" t="str">
        <f>IF('Step 2 - Special'!B25="","","Active")</f>
        <v/>
      </c>
      <c r="B78" s="18" t="str">
        <f>IF('Step 2 - Special'!B25="","",'Step 2 - Special'!B25)</f>
        <v/>
      </c>
      <c r="C78" s="18" t="str">
        <f>IF('Step 2 - Special'!B25="","",'Step 2 - Special'!B25)</f>
        <v/>
      </c>
      <c r="D78" s="17" t="str">
        <f>IF('Step 2 - Special'!B25="","",'Step 2 - Special'!F25)</f>
        <v/>
      </c>
      <c r="E78" s="17" t="str">
        <f>IF('Step 2 - Special'!B25="","",'Step 2 - Special'!G25)</f>
        <v/>
      </c>
      <c r="F78" s="18" t="str">
        <f>IF('Step 2 - Special'!B25="","",IF('Step 2 - Special'!C25="","","Fund Code"))</f>
        <v/>
      </c>
      <c r="G78" s="17" t="str">
        <f>IF('Step 2 - Special'!B25="","",IF('Step 2 - Special'!C25="","","Equals"))</f>
        <v/>
      </c>
      <c r="H78" s="18" t="str">
        <f>IF('Step 2 - Special'!B25="","",IF('Step 2 - Special'!C25="","",'Step 2 - Special'!C25))</f>
        <v/>
      </c>
      <c r="I78" s="18" t="str">
        <f>IF('Step 2 - Special'!B25="","","Organization Code")</f>
        <v/>
      </c>
      <c r="J78" s="17" t="str">
        <f>IF('Step 2 - Special'!B25="","","Equals")</f>
        <v/>
      </c>
      <c r="K78" s="18" t="str">
        <f>IF('Step 2 - Special'!B25="","",'Step 2 - Special'!D25)</f>
        <v/>
      </c>
      <c r="L78" s="18" t="str">
        <f>IF('Step 2 - Special'!B25="","","Other Criteria")</f>
        <v/>
      </c>
      <c r="M78" s="17" t="str">
        <f>IF('Step 2 - Special'!B25="","","Equals")</f>
        <v/>
      </c>
      <c r="N78" s="18" t="str">
        <f>IF('Step 2 - Special'!B25="","",'Step 2 - Special'!E25)</f>
        <v/>
      </c>
      <c r="O78" s="18" t="str">
        <f>""</f>
        <v/>
      </c>
      <c r="P78" s="18" t="str">
        <f>""</f>
        <v/>
      </c>
      <c r="Q78" s="18" t="str">
        <f>""</f>
        <v/>
      </c>
      <c r="R78" s="18" t="str">
        <f>""</f>
        <v/>
      </c>
      <c r="S78" s="18" t="str">
        <f>""</f>
        <v/>
      </c>
      <c r="T78" s="18" t="str">
        <f>""</f>
        <v/>
      </c>
      <c r="U78" s="18" t="str">
        <f>IF('Step 2 - Special'!B25="","",'Step 2 - Special'!H25)</f>
        <v/>
      </c>
      <c r="V78" s="17" t="str">
        <f>IF('Step 2 - Special'!B25="","",'Step 2 - Special'!J25)</f>
        <v/>
      </c>
      <c r="W78" s="18" t="str">
        <f>IF('Step 2 - Special'!B25="","",'Step 2 - Special'!K25)</f>
        <v/>
      </c>
      <c r="X78" s="17" t="str">
        <f>IF('Step 2 - Special'!B25="","",'Step 2 - Special'!M25)</f>
        <v/>
      </c>
      <c r="Y78" s="18" t="str">
        <f>""</f>
        <v/>
      </c>
      <c r="Z78" s="18" t="str">
        <f>""</f>
        <v/>
      </c>
      <c r="AA78" s="18" t="str">
        <f>""</f>
        <v/>
      </c>
      <c r="AB78" s="18" t="str">
        <f>""</f>
        <v/>
      </c>
      <c r="AC78" s="18" t="str">
        <f>""</f>
        <v/>
      </c>
      <c r="AD78" s="18" t="str">
        <f>""</f>
        <v/>
      </c>
      <c r="AE78" s="18" t="str">
        <f>""</f>
        <v/>
      </c>
      <c r="AF78" s="18" t="str">
        <f>""</f>
        <v/>
      </c>
      <c r="AG78" s="18" t="str">
        <f>""</f>
        <v/>
      </c>
      <c r="AH78" s="18" t="str">
        <f>""</f>
        <v/>
      </c>
      <c r="AI78" s="18" t="str">
        <f>""</f>
        <v/>
      </c>
      <c r="AJ78" s="18" t="str">
        <f>""</f>
        <v/>
      </c>
      <c r="AK78" s="18" t="str">
        <f>""</f>
        <v/>
      </c>
      <c r="AL78" s="18" t="str">
        <f>""</f>
        <v/>
      </c>
      <c r="AM78" s="18" t="str">
        <f>""</f>
        <v/>
      </c>
    </row>
    <row r="79" spans="1:39" ht="15.75" customHeight="1" x14ac:dyDescent="0.25">
      <c r="A79" s="19" t="str">
        <f>IF('Step 2 - Special'!B26="","","Active")</f>
        <v/>
      </c>
      <c r="B79" s="20" t="str">
        <f>IF('Step 2 - Special'!B26="","",'Step 2 - Special'!B26)</f>
        <v/>
      </c>
      <c r="C79" s="20" t="str">
        <f>IF('Step 2 - Special'!B26="","",'Step 2 - Special'!B26)</f>
        <v/>
      </c>
      <c r="D79" s="19" t="str">
        <f>IF('Step 2 - Special'!B26="","",'Step 2 - Special'!F26)</f>
        <v/>
      </c>
      <c r="E79" s="19" t="str">
        <f>IF('Step 2 - Special'!B26="","",'Step 2 - Special'!G26)</f>
        <v/>
      </c>
      <c r="F79" s="20" t="str">
        <f>IF('Step 2 - Special'!B26="","",IF('Step 2 - Special'!C26="","","Fund Code"))</f>
        <v/>
      </c>
      <c r="G79" s="19" t="str">
        <f>IF('Step 2 - Special'!B26="","",IF('Step 2 - Special'!C26="","","Equals"))</f>
        <v/>
      </c>
      <c r="H79" s="20" t="str">
        <f>IF('Step 2 - Special'!B26="","",IF('Step 2 - Special'!C26="","",'Step 2 - Special'!C26))</f>
        <v/>
      </c>
      <c r="I79" s="20" t="str">
        <f>IF('Step 2 - Special'!B26="","","Organization Code")</f>
        <v/>
      </c>
      <c r="J79" s="19" t="str">
        <f>IF('Step 2 - Special'!B26="","","Equals")</f>
        <v/>
      </c>
      <c r="K79" s="20" t="str">
        <f>IF('Step 2 - Special'!B26="","",'Step 2 - Special'!D26)</f>
        <v/>
      </c>
      <c r="L79" s="20" t="str">
        <f>IF('Step 2 - Special'!B26="","","Other Criteria")</f>
        <v/>
      </c>
      <c r="M79" s="19" t="str">
        <f>IF('Step 2 - Special'!B26="","","Equals")</f>
        <v/>
      </c>
      <c r="N79" s="20" t="str">
        <f>IF('Step 2 - Special'!B26="","",'Step 2 - Special'!E26)</f>
        <v/>
      </c>
      <c r="O79" s="20" t="str">
        <f>""</f>
        <v/>
      </c>
      <c r="P79" s="20" t="str">
        <f>""</f>
        <v/>
      </c>
      <c r="Q79" s="20" t="str">
        <f>""</f>
        <v/>
      </c>
      <c r="R79" s="20" t="str">
        <f>""</f>
        <v/>
      </c>
      <c r="S79" s="20" t="str">
        <f>""</f>
        <v/>
      </c>
      <c r="T79" s="20" t="str">
        <f>""</f>
        <v/>
      </c>
      <c r="U79" s="20" t="str">
        <f>IF('Step 2 - Special'!B26="","",'Step 2 - Special'!H26)</f>
        <v/>
      </c>
      <c r="V79" s="19" t="str">
        <f>IF('Step 2 - Special'!B26="","",'Step 2 - Special'!J26)</f>
        <v/>
      </c>
      <c r="W79" s="20" t="str">
        <f>IF('Step 2 - Special'!B26="","",'Step 2 - Special'!K26)</f>
        <v/>
      </c>
      <c r="X79" s="19" t="str">
        <f>IF('Step 2 - Special'!B26="","",'Step 2 - Special'!M26)</f>
        <v/>
      </c>
      <c r="Y79" s="20" t="str">
        <f>""</f>
        <v/>
      </c>
      <c r="Z79" s="20" t="str">
        <f>""</f>
        <v/>
      </c>
      <c r="AA79" s="20" t="str">
        <f>""</f>
        <v/>
      </c>
      <c r="AB79" s="20" t="str">
        <f>""</f>
        <v/>
      </c>
      <c r="AC79" s="20" t="str">
        <f>""</f>
        <v/>
      </c>
      <c r="AD79" s="20" t="str">
        <f>""</f>
        <v/>
      </c>
      <c r="AE79" s="20" t="str">
        <f>""</f>
        <v/>
      </c>
      <c r="AF79" s="20" t="str">
        <f>""</f>
        <v/>
      </c>
      <c r="AG79" s="20" t="str">
        <f>""</f>
        <v/>
      </c>
      <c r="AH79" s="20" t="str">
        <f>""</f>
        <v/>
      </c>
      <c r="AI79" s="20" t="str">
        <f>""</f>
        <v/>
      </c>
      <c r="AJ79" s="20" t="str">
        <f>""</f>
        <v/>
      </c>
      <c r="AK79" s="20" t="str">
        <f>""</f>
        <v/>
      </c>
      <c r="AL79" s="20" t="str">
        <f>""</f>
        <v/>
      </c>
      <c r="AM79" s="20" t="str">
        <f>""</f>
        <v/>
      </c>
    </row>
    <row r="80" spans="1:39" ht="15.75" customHeight="1" x14ac:dyDescent="0.25">
      <c r="A80" s="17" t="str">
        <f>IF('Step 2 - Special'!B27="","","Active")</f>
        <v/>
      </c>
      <c r="B80" s="18" t="str">
        <f>IF('Step 2 - Special'!B27="","",'Step 2 - Special'!B27)</f>
        <v/>
      </c>
      <c r="C80" s="18" t="str">
        <f>IF('Step 2 - Special'!B27="","",'Step 2 - Special'!B27)</f>
        <v/>
      </c>
      <c r="D80" s="17" t="str">
        <f>IF('Step 2 - Special'!B27="","",'Step 2 - Special'!F27)</f>
        <v/>
      </c>
      <c r="E80" s="17" t="str">
        <f>IF('Step 2 - Special'!B27="","",'Step 2 - Special'!G27)</f>
        <v/>
      </c>
      <c r="F80" s="18" t="str">
        <f>IF('Step 2 - Special'!B27="","",IF('Step 2 - Special'!C27="","","Fund Code"))</f>
        <v/>
      </c>
      <c r="G80" s="17" t="str">
        <f>IF('Step 2 - Special'!B27="","",IF('Step 2 - Special'!C27="","","Equals"))</f>
        <v/>
      </c>
      <c r="H80" s="18" t="str">
        <f>IF('Step 2 - Special'!B27="","",IF('Step 2 - Special'!C27="","",'Step 2 - Special'!C27))</f>
        <v/>
      </c>
      <c r="I80" s="18" t="str">
        <f>IF('Step 2 - Special'!B27="","","Organization Code")</f>
        <v/>
      </c>
      <c r="J80" s="17" t="str">
        <f>IF('Step 2 - Special'!B27="","","Equals")</f>
        <v/>
      </c>
      <c r="K80" s="18" t="str">
        <f>IF('Step 2 - Special'!B27="","",'Step 2 - Special'!D27)</f>
        <v/>
      </c>
      <c r="L80" s="18" t="str">
        <f>IF('Step 2 - Special'!B27="","","Other Criteria")</f>
        <v/>
      </c>
      <c r="M80" s="17" t="str">
        <f>IF('Step 2 - Special'!B27="","","Equals")</f>
        <v/>
      </c>
      <c r="N80" s="18" t="str">
        <f>IF('Step 2 - Special'!B27="","",'Step 2 - Special'!E27)</f>
        <v/>
      </c>
      <c r="O80" s="18" t="str">
        <f>""</f>
        <v/>
      </c>
      <c r="P80" s="18" t="str">
        <f>""</f>
        <v/>
      </c>
      <c r="Q80" s="18" t="str">
        <f>""</f>
        <v/>
      </c>
      <c r="R80" s="18" t="str">
        <f>""</f>
        <v/>
      </c>
      <c r="S80" s="18" t="str">
        <f>""</f>
        <v/>
      </c>
      <c r="T80" s="18" t="str">
        <f>""</f>
        <v/>
      </c>
      <c r="U80" s="18" t="str">
        <f>IF('Step 2 - Special'!B27="","",'Step 2 - Special'!H27)</f>
        <v/>
      </c>
      <c r="V80" s="17" t="str">
        <f>IF('Step 2 - Special'!B27="","",'Step 2 - Special'!J27)</f>
        <v/>
      </c>
      <c r="W80" s="18" t="str">
        <f>IF('Step 2 - Special'!B27="","",'Step 2 - Special'!K27)</f>
        <v/>
      </c>
      <c r="X80" s="17" t="str">
        <f>IF('Step 2 - Special'!B27="","",'Step 2 - Special'!M27)</f>
        <v/>
      </c>
      <c r="Y80" s="18" t="str">
        <f>""</f>
        <v/>
      </c>
      <c r="Z80" s="18" t="str">
        <f>""</f>
        <v/>
      </c>
      <c r="AA80" s="18" t="str">
        <f>""</f>
        <v/>
      </c>
      <c r="AB80" s="18" t="str">
        <f>""</f>
        <v/>
      </c>
      <c r="AC80" s="18" t="str">
        <f>""</f>
        <v/>
      </c>
      <c r="AD80" s="18" t="str">
        <f>""</f>
        <v/>
      </c>
      <c r="AE80" s="18" t="str">
        <f>""</f>
        <v/>
      </c>
      <c r="AF80" s="18" t="str">
        <f>""</f>
        <v/>
      </c>
      <c r="AG80" s="18" t="str">
        <f>""</f>
        <v/>
      </c>
      <c r="AH80" s="18" t="str">
        <f>""</f>
        <v/>
      </c>
      <c r="AI80" s="18" t="str">
        <f>""</f>
        <v/>
      </c>
      <c r="AJ80" s="18" t="str">
        <f>""</f>
        <v/>
      </c>
      <c r="AK80" s="18" t="str">
        <f>""</f>
        <v/>
      </c>
      <c r="AL80" s="18" t="str">
        <f>""</f>
        <v/>
      </c>
      <c r="AM80" s="18" t="str">
        <f>""</f>
        <v/>
      </c>
    </row>
    <row r="81" spans="1:39" ht="15.75" customHeight="1" x14ac:dyDescent="0.25">
      <c r="A81" s="19" t="str">
        <f>IF('Step 2 - Special'!B28="","","Active")</f>
        <v/>
      </c>
      <c r="B81" s="20" t="str">
        <f>IF('Step 2 - Special'!B28="","",'Step 2 - Special'!B28)</f>
        <v/>
      </c>
      <c r="C81" s="20" t="str">
        <f>IF('Step 2 - Special'!B28="","",'Step 2 - Special'!B28)</f>
        <v/>
      </c>
      <c r="D81" s="19" t="str">
        <f>IF('Step 2 - Special'!B28="","",'Step 2 - Special'!F28)</f>
        <v/>
      </c>
      <c r="E81" s="19" t="str">
        <f>IF('Step 2 - Special'!B28="","",'Step 2 - Special'!G28)</f>
        <v/>
      </c>
      <c r="F81" s="20" t="str">
        <f>IF('Step 2 - Special'!B28="","",IF('Step 2 - Special'!C28="","","Fund Code"))</f>
        <v/>
      </c>
      <c r="G81" s="19" t="str">
        <f>IF('Step 2 - Special'!B28="","",IF('Step 2 - Special'!C28="","","Equals"))</f>
        <v/>
      </c>
      <c r="H81" s="20" t="str">
        <f>IF('Step 2 - Special'!B28="","",IF('Step 2 - Special'!C28="","",'Step 2 - Special'!C28))</f>
        <v/>
      </c>
      <c r="I81" s="20" t="str">
        <f>IF('Step 2 - Special'!B28="","","Organization Code")</f>
        <v/>
      </c>
      <c r="J81" s="19" t="str">
        <f>IF('Step 2 - Special'!B28="","","Equals")</f>
        <v/>
      </c>
      <c r="K81" s="20" t="str">
        <f>IF('Step 2 - Special'!B28="","",'Step 2 - Special'!D28)</f>
        <v/>
      </c>
      <c r="L81" s="20" t="str">
        <f>IF('Step 2 - Special'!B28="","","Other Criteria")</f>
        <v/>
      </c>
      <c r="M81" s="19" t="str">
        <f>IF('Step 2 - Special'!B28="","","Equals")</f>
        <v/>
      </c>
      <c r="N81" s="20" t="str">
        <f>IF('Step 2 - Special'!B28="","",'Step 2 - Special'!E28)</f>
        <v/>
      </c>
      <c r="O81" s="20" t="str">
        <f>""</f>
        <v/>
      </c>
      <c r="P81" s="20" t="str">
        <f>""</f>
        <v/>
      </c>
      <c r="Q81" s="20" t="str">
        <f>""</f>
        <v/>
      </c>
      <c r="R81" s="20" t="str">
        <f>""</f>
        <v/>
      </c>
      <c r="S81" s="20" t="str">
        <f>""</f>
        <v/>
      </c>
      <c r="T81" s="20" t="str">
        <f>""</f>
        <v/>
      </c>
      <c r="U81" s="20" t="str">
        <f>IF('Step 2 - Special'!B28="","",'Step 2 - Special'!H28)</f>
        <v/>
      </c>
      <c r="V81" s="19" t="str">
        <f>IF('Step 2 - Special'!B28="","",'Step 2 - Special'!J28)</f>
        <v/>
      </c>
      <c r="W81" s="20" t="str">
        <f>IF('Step 2 - Special'!B28="","",'Step 2 - Special'!K28)</f>
        <v/>
      </c>
      <c r="X81" s="19" t="str">
        <f>IF('Step 2 - Special'!B28="","",'Step 2 - Special'!M28)</f>
        <v/>
      </c>
      <c r="Y81" s="20" t="str">
        <f>""</f>
        <v/>
      </c>
      <c r="Z81" s="20" t="str">
        <f>""</f>
        <v/>
      </c>
      <c r="AA81" s="20" t="str">
        <f>""</f>
        <v/>
      </c>
      <c r="AB81" s="20" t="str">
        <f>""</f>
        <v/>
      </c>
      <c r="AC81" s="20" t="str">
        <f>""</f>
        <v/>
      </c>
      <c r="AD81" s="20" t="str">
        <f>""</f>
        <v/>
      </c>
      <c r="AE81" s="20" t="str">
        <f>""</f>
        <v/>
      </c>
      <c r="AF81" s="20" t="str">
        <f>""</f>
        <v/>
      </c>
      <c r="AG81" s="20" t="str">
        <f>""</f>
        <v/>
      </c>
      <c r="AH81" s="20" t="str">
        <f>""</f>
        <v/>
      </c>
      <c r="AI81" s="20" t="str">
        <f>""</f>
        <v/>
      </c>
      <c r="AJ81" s="20" t="str">
        <f>""</f>
        <v/>
      </c>
      <c r="AK81" s="20" t="str">
        <f>""</f>
        <v/>
      </c>
      <c r="AL81" s="20" t="str">
        <f>""</f>
        <v/>
      </c>
      <c r="AM81" s="20" t="str">
        <f>""</f>
        <v/>
      </c>
    </row>
    <row r="82" spans="1:39" ht="15.75" customHeight="1" x14ac:dyDescent="0.25">
      <c r="A82" s="17" t="str">
        <f>IF('Step 2 - Special'!B29="","","Active")</f>
        <v/>
      </c>
      <c r="B82" s="18" t="str">
        <f>IF('Step 2 - Special'!B29="","",'Step 2 - Special'!B29)</f>
        <v/>
      </c>
      <c r="C82" s="18" t="str">
        <f>IF('Step 2 - Special'!B29="","",'Step 2 - Special'!B29)</f>
        <v/>
      </c>
      <c r="D82" s="17" t="str">
        <f>IF('Step 2 - Special'!B29="","",'Step 2 - Special'!F29)</f>
        <v/>
      </c>
      <c r="E82" s="17" t="str">
        <f>IF('Step 2 - Special'!B29="","",'Step 2 - Special'!G29)</f>
        <v/>
      </c>
      <c r="F82" s="18" t="str">
        <f>IF('Step 2 - Special'!B29="","",IF('Step 2 - Special'!C29="","","Fund Code"))</f>
        <v/>
      </c>
      <c r="G82" s="17" t="str">
        <f>IF('Step 2 - Special'!B29="","",IF('Step 2 - Special'!C29="","","Equals"))</f>
        <v/>
      </c>
      <c r="H82" s="18" t="str">
        <f>IF('Step 2 - Special'!B29="","",IF('Step 2 - Special'!C29="","",'Step 2 - Special'!C29))</f>
        <v/>
      </c>
      <c r="I82" s="18" t="str">
        <f>IF('Step 2 - Special'!B29="","","Organization Code")</f>
        <v/>
      </c>
      <c r="J82" s="17" t="str">
        <f>IF('Step 2 - Special'!B29="","","Equals")</f>
        <v/>
      </c>
      <c r="K82" s="18" t="str">
        <f>IF('Step 2 - Special'!B29="","",'Step 2 - Special'!D29)</f>
        <v/>
      </c>
      <c r="L82" s="18" t="str">
        <f>IF('Step 2 - Special'!B29="","","Other Criteria")</f>
        <v/>
      </c>
      <c r="M82" s="17" t="str">
        <f>IF('Step 2 - Special'!B29="","","Equals")</f>
        <v/>
      </c>
      <c r="N82" s="18" t="str">
        <f>IF('Step 2 - Special'!B29="","",'Step 2 - Special'!E29)</f>
        <v/>
      </c>
      <c r="O82" s="18" t="str">
        <f>""</f>
        <v/>
      </c>
      <c r="P82" s="18" t="str">
        <f>""</f>
        <v/>
      </c>
      <c r="Q82" s="18" t="str">
        <f>""</f>
        <v/>
      </c>
      <c r="R82" s="18" t="str">
        <f>""</f>
        <v/>
      </c>
      <c r="S82" s="18" t="str">
        <f>""</f>
        <v/>
      </c>
      <c r="T82" s="18" t="str">
        <f>""</f>
        <v/>
      </c>
      <c r="U82" s="18" t="str">
        <f>IF('Step 2 - Special'!B29="","",'Step 2 - Special'!H29)</f>
        <v/>
      </c>
      <c r="V82" s="17" t="str">
        <f>IF('Step 2 - Special'!B29="","",'Step 2 - Special'!J29)</f>
        <v/>
      </c>
      <c r="W82" s="18" t="str">
        <f>IF('Step 2 - Special'!B29="","",'Step 2 - Special'!K29)</f>
        <v/>
      </c>
      <c r="X82" s="17" t="str">
        <f>IF('Step 2 - Special'!B29="","",'Step 2 - Special'!M29)</f>
        <v/>
      </c>
      <c r="Y82" s="18" t="str">
        <f>""</f>
        <v/>
      </c>
      <c r="Z82" s="18" t="str">
        <f>""</f>
        <v/>
      </c>
      <c r="AA82" s="18" t="str">
        <f>""</f>
        <v/>
      </c>
      <c r="AB82" s="18" t="str">
        <f>""</f>
        <v/>
      </c>
      <c r="AC82" s="18" t="str">
        <f>""</f>
        <v/>
      </c>
      <c r="AD82" s="18" t="str">
        <f>""</f>
        <v/>
      </c>
      <c r="AE82" s="18" t="str">
        <f>""</f>
        <v/>
      </c>
      <c r="AF82" s="18" t="str">
        <f>""</f>
        <v/>
      </c>
      <c r="AG82" s="18" t="str">
        <f>""</f>
        <v/>
      </c>
      <c r="AH82" s="18" t="str">
        <f>""</f>
        <v/>
      </c>
      <c r="AI82" s="18" t="str">
        <f>""</f>
        <v/>
      </c>
      <c r="AJ82" s="18" t="str">
        <f>""</f>
        <v/>
      </c>
      <c r="AK82" s="18" t="str">
        <f>""</f>
        <v/>
      </c>
      <c r="AL82" s="18" t="str">
        <f>""</f>
        <v/>
      </c>
      <c r="AM82" s="18" t="str">
        <f>""</f>
        <v/>
      </c>
    </row>
    <row r="83" spans="1:39" ht="15.75" customHeight="1" x14ac:dyDescent="0.25">
      <c r="A83" s="19" t="str">
        <f>IF('Step 2 - Special'!B30="","","Active")</f>
        <v/>
      </c>
      <c r="B83" s="20" t="str">
        <f>IF('Step 2 - Special'!B30="","",'Step 2 - Special'!B30)</f>
        <v/>
      </c>
      <c r="C83" s="20" t="str">
        <f>IF('Step 2 - Special'!B30="","",'Step 2 - Special'!B30)</f>
        <v/>
      </c>
      <c r="D83" s="19" t="str">
        <f>IF('Step 2 - Special'!B30="","",'Step 2 - Special'!F30)</f>
        <v/>
      </c>
      <c r="E83" s="19" t="str">
        <f>IF('Step 2 - Special'!B30="","",'Step 2 - Special'!G30)</f>
        <v/>
      </c>
      <c r="F83" s="20" t="str">
        <f>IF('Step 2 - Special'!B30="","",IF('Step 2 - Special'!C30="","","Fund Code"))</f>
        <v/>
      </c>
      <c r="G83" s="19" t="str">
        <f>IF('Step 2 - Special'!B30="","",IF('Step 2 - Special'!C30="","","Equals"))</f>
        <v/>
      </c>
      <c r="H83" s="20" t="str">
        <f>IF('Step 2 - Special'!B30="","",IF('Step 2 - Special'!C30="","",'Step 2 - Special'!C30))</f>
        <v/>
      </c>
      <c r="I83" s="20" t="str">
        <f>IF('Step 2 - Special'!B30="","","Organization Code")</f>
        <v/>
      </c>
      <c r="J83" s="19" t="str">
        <f>IF('Step 2 - Special'!B30="","","Equals")</f>
        <v/>
      </c>
      <c r="K83" s="20" t="str">
        <f>IF('Step 2 - Special'!B30="","",'Step 2 - Special'!D30)</f>
        <v/>
      </c>
      <c r="L83" s="20" t="str">
        <f>IF('Step 2 - Special'!B30="","","Other Criteria")</f>
        <v/>
      </c>
      <c r="M83" s="19" t="str">
        <f>IF('Step 2 - Special'!B30="","","Equals")</f>
        <v/>
      </c>
      <c r="N83" s="20" t="str">
        <f>IF('Step 2 - Special'!B30="","",'Step 2 - Special'!E30)</f>
        <v/>
      </c>
      <c r="O83" s="20" t="str">
        <f>""</f>
        <v/>
      </c>
      <c r="P83" s="20" t="str">
        <f>""</f>
        <v/>
      </c>
      <c r="Q83" s="20" t="str">
        <f>""</f>
        <v/>
      </c>
      <c r="R83" s="20" t="str">
        <f>""</f>
        <v/>
      </c>
      <c r="S83" s="20" t="str">
        <f>""</f>
        <v/>
      </c>
      <c r="T83" s="20" t="str">
        <f>""</f>
        <v/>
      </c>
      <c r="U83" s="20" t="str">
        <f>IF('Step 2 - Special'!B30="","",'Step 2 - Special'!H30)</f>
        <v/>
      </c>
      <c r="V83" s="19" t="str">
        <f>IF('Step 2 - Special'!B30="","",'Step 2 - Special'!J30)</f>
        <v/>
      </c>
      <c r="W83" s="20" t="str">
        <f>IF('Step 2 - Special'!B30="","",'Step 2 - Special'!K30)</f>
        <v/>
      </c>
      <c r="X83" s="19" t="str">
        <f>IF('Step 2 - Special'!B30="","",'Step 2 - Special'!M30)</f>
        <v/>
      </c>
      <c r="Y83" s="20" t="str">
        <f>""</f>
        <v/>
      </c>
      <c r="Z83" s="20" t="str">
        <f>""</f>
        <v/>
      </c>
      <c r="AA83" s="20" t="str">
        <f>""</f>
        <v/>
      </c>
      <c r="AB83" s="20" t="str">
        <f>""</f>
        <v/>
      </c>
      <c r="AC83" s="20" t="str">
        <f>""</f>
        <v/>
      </c>
      <c r="AD83" s="20" t="str">
        <f>""</f>
        <v/>
      </c>
      <c r="AE83" s="20" t="str">
        <f>""</f>
        <v/>
      </c>
      <c r="AF83" s="20" t="str">
        <f>""</f>
        <v/>
      </c>
      <c r="AG83" s="20" t="str">
        <f>""</f>
        <v/>
      </c>
      <c r="AH83" s="20" t="str">
        <f>""</f>
        <v/>
      </c>
      <c r="AI83" s="20" t="str">
        <f>""</f>
        <v/>
      </c>
      <c r="AJ83" s="20" t="str">
        <f>""</f>
        <v/>
      </c>
      <c r="AK83" s="20" t="str">
        <f>""</f>
        <v/>
      </c>
      <c r="AL83" s="20" t="str">
        <f>""</f>
        <v/>
      </c>
      <c r="AM83" s="20" t="str">
        <f>""</f>
        <v/>
      </c>
    </row>
    <row r="84" spans="1:39" ht="15.75" customHeight="1" x14ac:dyDescent="0.25">
      <c r="A84" s="17" t="str">
        <f>IF('Step 2 - Special'!B31="","","Active")</f>
        <v/>
      </c>
      <c r="B84" s="18" t="str">
        <f>IF('Step 2 - Special'!B31="","",'Step 2 - Special'!B31)</f>
        <v/>
      </c>
      <c r="C84" s="18" t="str">
        <f>IF('Step 2 - Special'!B31="","",'Step 2 - Special'!B31)</f>
        <v/>
      </c>
      <c r="D84" s="17" t="str">
        <f>IF('Step 2 - Special'!B31="","",'Step 2 - Special'!F31)</f>
        <v/>
      </c>
      <c r="E84" s="17" t="str">
        <f>IF('Step 2 - Special'!B31="","",'Step 2 - Special'!G31)</f>
        <v/>
      </c>
      <c r="F84" s="18" t="str">
        <f>IF('Step 2 - Special'!B31="","",IF('Step 2 - Special'!C31="","","Fund Code"))</f>
        <v/>
      </c>
      <c r="G84" s="17" t="str">
        <f>IF('Step 2 - Special'!B31="","",IF('Step 2 - Special'!C31="","","Equals"))</f>
        <v/>
      </c>
      <c r="H84" s="18" t="str">
        <f>IF('Step 2 - Special'!B31="","",IF('Step 2 - Special'!C31="","",'Step 2 - Special'!C31))</f>
        <v/>
      </c>
      <c r="I84" s="18" t="str">
        <f>IF('Step 2 - Special'!B31="","","Organization Code")</f>
        <v/>
      </c>
      <c r="J84" s="17" t="str">
        <f>IF('Step 2 - Special'!B31="","","Equals")</f>
        <v/>
      </c>
      <c r="K84" s="18" t="str">
        <f>IF('Step 2 - Special'!B31="","",'Step 2 - Special'!D31)</f>
        <v/>
      </c>
      <c r="L84" s="18" t="str">
        <f>IF('Step 2 - Special'!B31="","","Other Criteria")</f>
        <v/>
      </c>
      <c r="M84" s="17" t="str">
        <f>IF('Step 2 - Special'!B31="","","Equals")</f>
        <v/>
      </c>
      <c r="N84" s="18" t="str">
        <f>IF('Step 2 - Special'!B31="","",'Step 2 - Special'!E31)</f>
        <v/>
      </c>
      <c r="O84" s="18" t="str">
        <f>""</f>
        <v/>
      </c>
      <c r="P84" s="18" t="str">
        <f>""</f>
        <v/>
      </c>
      <c r="Q84" s="18" t="str">
        <f>""</f>
        <v/>
      </c>
      <c r="R84" s="18" t="str">
        <f>""</f>
        <v/>
      </c>
      <c r="S84" s="18" t="str">
        <f>""</f>
        <v/>
      </c>
      <c r="T84" s="18" t="str">
        <f>""</f>
        <v/>
      </c>
      <c r="U84" s="18" t="str">
        <f>IF('Step 2 - Special'!B31="","",'Step 2 - Special'!H31)</f>
        <v/>
      </c>
      <c r="V84" s="17" t="str">
        <f>IF('Step 2 - Special'!B31="","",'Step 2 - Special'!J31)</f>
        <v/>
      </c>
      <c r="W84" s="18" t="str">
        <f>IF('Step 2 - Special'!B31="","",'Step 2 - Special'!K31)</f>
        <v/>
      </c>
      <c r="X84" s="17" t="str">
        <f>IF('Step 2 - Special'!B31="","",'Step 2 - Special'!M31)</f>
        <v/>
      </c>
      <c r="Y84" s="18" t="str">
        <f>""</f>
        <v/>
      </c>
      <c r="Z84" s="18" t="str">
        <f>""</f>
        <v/>
      </c>
      <c r="AA84" s="18" t="str">
        <f>""</f>
        <v/>
      </c>
      <c r="AB84" s="18" t="str">
        <f>""</f>
        <v/>
      </c>
      <c r="AC84" s="18" t="str">
        <f>""</f>
        <v/>
      </c>
      <c r="AD84" s="18" t="str">
        <f>""</f>
        <v/>
      </c>
      <c r="AE84" s="18" t="str">
        <f>""</f>
        <v/>
      </c>
      <c r="AF84" s="18" t="str">
        <f>""</f>
        <v/>
      </c>
      <c r="AG84" s="18" t="str">
        <f>""</f>
        <v/>
      </c>
      <c r="AH84" s="18" t="str">
        <f>""</f>
        <v/>
      </c>
      <c r="AI84" s="18" t="str">
        <f>""</f>
        <v/>
      </c>
      <c r="AJ84" s="18" t="str">
        <f>""</f>
        <v/>
      </c>
      <c r="AK84" s="18" t="str">
        <f>""</f>
        <v/>
      </c>
      <c r="AL84" s="18" t="str">
        <f>""</f>
        <v/>
      </c>
      <c r="AM84" s="18" t="str">
        <f>""</f>
        <v/>
      </c>
    </row>
    <row r="85" spans="1:39" ht="15.75" customHeight="1" x14ac:dyDescent="0.25">
      <c r="A85" s="19" t="str">
        <f>IF('Step 2 - Special'!B32="","","Active")</f>
        <v/>
      </c>
      <c r="B85" s="20" t="str">
        <f>IF('Step 2 - Special'!B32="","",'Step 2 - Special'!B32)</f>
        <v/>
      </c>
      <c r="C85" s="20" t="str">
        <f>IF('Step 2 - Special'!B32="","",'Step 2 - Special'!B32)</f>
        <v/>
      </c>
      <c r="D85" s="19" t="str">
        <f>IF('Step 2 - Special'!B32="","",'Step 2 - Special'!F32)</f>
        <v/>
      </c>
      <c r="E85" s="19" t="str">
        <f>IF('Step 2 - Special'!B32="","",'Step 2 - Special'!G32)</f>
        <v/>
      </c>
      <c r="F85" s="20" t="str">
        <f>IF('Step 2 - Special'!B32="","",IF('Step 2 - Special'!C32="","","Fund Code"))</f>
        <v/>
      </c>
      <c r="G85" s="19" t="str">
        <f>IF('Step 2 - Special'!B32="","",IF('Step 2 - Special'!C32="","","Equals"))</f>
        <v/>
      </c>
      <c r="H85" s="20" t="str">
        <f>IF('Step 2 - Special'!B32="","",IF('Step 2 - Special'!C32="","",'Step 2 - Special'!C32))</f>
        <v/>
      </c>
      <c r="I85" s="20" t="str">
        <f>IF('Step 2 - Special'!B32="","","Organization Code")</f>
        <v/>
      </c>
      <c r="J85" s="19" t="str">
        <f>IF('Step 2 - Special'!B32="","","Equals")</f>
        <v/>
      </c>
      <c r="K85" s="20" t="str">
        <f>IF('Step 2 - Special'!B32="","",'Step 2 - Special'!D32)</f>
        <v/>
      </c>
      <c r="L85" s="20" t="str">
        <f>IF('Step 2 - Special'!B32="","","Other Criteria")</f>
        <v/>
      </c>
      <c r="M85" s="19" t="str">
        <f>IF('Step 2 - Special'!B32="","","Equals")</f>
        <v/>
      </c>
      <c r="N85" s="20" t="str">
        <f>IF('Step 2 - Special'!B32="","",'Step 2 - Special'!E32)</f>
        <v/>
      </c>
      <c r="O85" s="20" t="str">
        <f>""</f>
        <v/>
      </c>
      <c r="P85" s="20" t="str">
        <f>""</f>
        <v/>
      </c>
      <c r="Q85" s="20" t="str">
        <f>""</f>
        <v/>
      </c>
      <c r="R85" s="20" t="str">
        <f>""</f>
        <v/>
      </c>
      <c r="S85" s="20" t="str">
        <f>""</f>
        <v/>
      </c>
      <c r="T85" s="20" t="str">
        <f>""</f>
        <v/>
      </c>
      <c r="U85" s="20" t="str">
        <f>IF('Step 2 - Special'!B32="","",'Step 2 - Special'!H32)</f>
        <v/>
      </c>
      <c r="V85" s="19" t="str">
        <f>IF('Step 2 - Special'!B32="","",'Step 2 - Special'!J32)</f>
        <v/>
      </c>
      <c r="W85" s="20" t="str">
        <f>IF('Step 2 - Special'!B32="","",'Step 2 - Special'!K32)</f>
        <v/>
      </c>
      <c r="X85" s="19" t="str">
        <f>IF('Step 2 - Special'!B32="","",'Step 2 - Special'!M32)</f>
        <v/>
      </c>
      <c r="Y85" s="20" t="str">
        <f>""</f>
        <v/>
      </c>
      <c r="Z85" s="20" t="str">
        <f>""</f>
        <v/>
      </c>
      <c r="AA85" s="20" t="str">
        <f>""</f>
        <v/>
      </c>
      <c r="AB85" s="20" t="str">
        <f>""</f>
        <v/>
      </c>
      <c r="AC85" s="20" t="str">
        <f>""</f>
        <v/>
      </c>
      <c r="AD85" s="20" t="str">
        <f>""</f>
        <v/>
      </c>
      <c r="AE85" s="20" t="str">
        <f>""</f>
        <v/>
      </c>
      <c r="AF85" s="20" t="str">
        <f>""</f>
        <v/>
      </c>
      <c r="AG85" s="20" t="str">
        <f>""</f>
        <v/>
      </c>
      <c r="AH85" s="20" t="str">
        <f>""</f>
        <v/>
      </c>
      <c r="AI85" s="20" t="str">
        <f>""</f>
        <v/>
      </c>
      <c r="AJ85" s="20" t="str">
        <f>""</f>
        <v/>
      </c>
      <c r="AK85" s="20" t="str">
        <f>""</f>
        <v/>
      </c>
      <c r="AL85" s="20" t="str">
        <f>""</f>
        <v/>
      </c>
      <c r="AM85" s="20" t="str">
        <f>""</f>
        <v/>
      </c>
    </row>
    <row r="86" spans="1:39" ht="15.75" customHeight="1" x14ac:dyDescent="0.25">
      <c r="A86" s="17" t="str">
        <f>IF('Step 2 - Special'!B33="","","Active")</f>
        <v/>
      </c>
      <c r="B86" s="18" t="str">
        <f>IF('Step 2 - Special'!B33="","",'Step 2 - Special'!B33)</f>
        <v/>
      </c>
      <c r="C86" s="18" t="str">
        <f>IF('Step 2 - Special'!B33="","",'Step 2 - Special'!B33)</f>
        <v/>
      </c>
      <c r="D86" s="17" t="str">
        <f>IF('Step 2 - Special'!B33="","",'Step 2 - Special'!F33)</f>
        <v/>
      </c>
      <c r="E86" s="17" t="str">
        <f>IF('Step 2 - Special'!B33="","",'Step 2 - Special'!G33)</f>
        <v/>
      </c>
      <c r="F86" s="18" t="str">
        <f>IF('Step 2 - Special'!B33="","",IF('Step 2 - Special'!C33="","","Fund Code"))</f>
        <v/>
      </c>
      <c r="G86" s="17" t="str">
        <f>IF('Step 2 - Special'!B33="","",IF('Step 2 - Special'!C33="","","Equals"))</f>
        <v/>
      </c>
      <c r="H86" s="18" t="str">
        <f>IF('Step 2 - Special'!B33="","",IF('Step 2 - Special'!C33="","",'Step 2 - Special'!C33))</f>
        <v/>
      </c>
      <c r="I86" s="18" t="str">
        <f>IF('Step 2 - Special'!B33="","","Organization Code")</f>
        <v/>
      </c>
      <c r="J86" s="17" t="str">
        <f>IF('Step 2 - Special'!B33="","","Equals")</f>
        <v/>
      </c>
      <c r="K86" s="18" t="str">
        <f>IF('Step 2 - Special'!B33="","",'Step 2 - Special'!D33)</f>
        <v/>
      </c>
      <c r="L86" s="18" t="str">
        <f>IF('Step 2 - Special'!B33="","","Other Criteria")</f>
        <v/>
      </c>
      <c r="M86" s="17" t="str">
        <f>IF('Step 2 - Special'!B33="","","Equals")</f>
        <v/>
      </c>
      <c r="N86" s="18" t="str">
        <f>IF('Step 2 - Special'!B33="","",'Step 2 - Special'!E33)</f>
        <v/>
      </c>
      <c r="O86" s="18" t="str">
        <f>""</f>
        <v/>
      </c>
      <c r="P86" s="18" t="str">
        <f>""</f>
        <v/>
      </c>
      <c r="Q86" s="18" t="str">
        <f>""</f>
        <v/>
      </c>
      <c r="R86" s="18" t="str">
        <f>""</f>
        <v/>
      </c>
      <c r="S86" s="18" t="str">
        <f>""</f>
        <v/>
      </c>
      <c r="T86" s="18" t="str">
        <f>""</f>
        <v/>
      </c>
      <c r="U86" s="18" t="str">
        <f>IF('Step 2 - Special'!B33="","",'Step 2 - Special'!H33)</f>
        <v/>
      </c>
      <c r="V86" s="17" t="str">
        <f>IF('Step 2 - Special'!B33="","",'Step 2 - Special'!J33)</f>
        <v/>
      </c>
      <c r="W86" s="18" t="str">
        <f>IF('Step 2 - Special'!B33="","",'Step 2 - Special'!K33)</f>
        <v/>
      </c>
      <c r="X86" s="17" t="str">
        <f>IF('Step 2 - Special'!B33="","",'Step 2 - Special'!M33)</f>
        <v/>
      </c>
      <c r="Y86" s="18" t="str">
        <f>""</f>
        <v/>
      </c>
      <c r="Z86" s="18" t="str">
        <f>""</f>
        <v/>
      </c>
      <c r="AA86" s="18" t="str">
        <f>""</f>
        <v/>
      </c>
      <c r="AB86" s="18" t="str">
        <f>""</f>
        <v/>
      </c>
      <c r="AC86" s="18" t="str">
        <f>""</f>
        <v/>
      </c>
      <c r="AD86" s="18" t="str">
        <f>""</f>
        <v/>
      </c>
      <c r="AE86" s="18" t="str">
        <f>""</f>
        <v/>
      </c>
      <c r="AF86" s="18" t="str">
        <f>""</f>
        <v/>
      </c>
      <c r="AG86" s="18" t="str">
        <f>""</f>
        <v/>
      </c>
      <c r="AH86" s="18" t="str">
        <f>""</f>
        <v/>
      </c>
      <c r="AI86" s="18" t="str">
        <f>""</f>
        <v/>
      </c>
      <c r="AJ86" s="18" t="str">
        <f>""</f>
        <v/>
      </c>
      <c r="AK86" s="18" t="str">
        <f>""</f>
        <v/>
      </c>
      <c r="AL86" s="18" t="str">
        <f>""</f>
        <v/>
      </c>
      <c r="AM86" s="18" t="str">
        <f>""</f>
        <v/>
      </c>
    </row>
    <row r="87" spans="1:39" ht="15.75" customHeight="1" x14ac:dyDescent="0.25">
      <c r="A87" s="19" t="str">
        <f>IF('Step 2 - Special'!B34="","","Active")</f>
        <v/>
      </c>
      <c r="B87" s="20" t="str">
        <f>IF('Step 2 - Special'!B34="","",'Step 2 - Special'!B34)</f>
        <v/>
      </c>
      <c r="C87" s="20" t="str">
        <f>IF('Step 2 - Special'!B34="","",'Step 2 - Special'!B34)</f>
        <v/>
      </c>
      <c r="D87" s="19" t="str">
        <f>IF('Step 2 - Special'!B34="","",'Step 2 - Special'!F34)</f>
        <v/>
      </c>
      <c r="E87" s="19" t="str">
        <f>IF('Step 2 - Special'!B34="","",'Step 2 - Special'!G34)</f>
        <v/>
      </c>
      <c r="F87" s="20" t="str">
        <f>IF('Step 2 - Special'!B34="","",IF('Step 2 - Special'!C34="","","Fund Code"))</f>
        <v/>
      </c>
      <c r="G87" s="19" t="str">
        <f>IF('Step 2 - Special'!B34="","",IF('Step 2 - Special'!C34="","","Equals"))</f>
        <v/>
      </c>
      <c r="H87" s="20" t="str">
        <f>IF('Step 2 - Special'!B34="","",IF('Step 2 - Special'!C34="","",'Step 2 - Special'!C34))</f>
        <v/>
      </c>
      <c r="I87" s="20" t="str">
        <f>IF('Step 2 - Special'!B34="","","Organization Code")</f>
        <v/>
      </c>
      <c r="J87" s="19" t="str">
        <f>IF('Step 2 - Special'!B34="","","Equals")</f>
        <v/>
      </c>
      <c r="K87" s="20" t="str">
        <f>IF('Step 2 - Special'!B34="","",'Step 2 - Special'!D34)</f>
        <v/>
      </c>
      <c r="L87" s="20" t="str">
        <f>IF('Step 2 - Special'!B34="","","Other Criteria")</f>
        <v/>
      </c>
      <c r="M87" s="19" t="str">
        <f>IF('Step 2 - Special'!B34="","","Equals")</f>
        <v/>
      </c>
      <c r="N87" s="20" t="str">
        <f>IF('Step 2 - Special'!B34="","",'Step 2 - Special'!E34)</f>
        <v/>
      </c>
      <c r="O87" s="20" t="str">
        <f>""</f>
        <v/>
      </c>
      <c r="P87" s="20" t="str">
        <f>""</f>
        <v/>
      </c>
      <c r="Q87" s="20" t="str">
        <f>""</f>
        <v/>
      </c>
      <c r="R87" s="20" t="str">
        <f>""</f>
        <v/>
      </c>
      <c r="S87" s="20" t="str">
        <f>""</f>
        <v/>
      </c>
      <c r="T87" s="20" t="str">
        <f>""</f>
        <v/>
      </c>
      <c r="U87" s="20" t="str">
        <f>IF('Step 2 - Special'!B34="","",'Step 2 - Special'!H34)</f>
        <v/>
      </c>
      <c r="V87" s="19" t="str">
        <f>IF('Step 2 - Special'!B34="","",'Step 2 - Special'!J34)</f>
        <v/>
      </c>
      <c r="W87" s="20" t="str">
        <f>IF('Step 2 - Special'!B34="","",'Step 2 - Special'!K34)</f>
        <v/>
      </c>
      <c r="X87" s="19" t="str">
        <f>IF('Step 2 - Special'!B34="","",'Step 2 - Special'!M34)</f>
        <v/>
      </c>
      <c r="Y87" s="20" t="str">
        <f>""</f>
        <v/>
      </c>
      <c r="Z87" s="20" t="str">
        <f>""</f>
        <v/>
      </c>
      <c r="AA87" s="20" t="str">
        <f>""</f>
        <v/>
      </c>
      <c r="AB87" s="20" t="str">
        <f>""</f>
        <v/>
      </c>
      <c r="AC87" s="20" t="str">
        <f>""</f>
        <v/>
      </c>
      <c r="AD87" s="20" t="str">
        <f>""</f>
        <v/>
      </c>
      <c r="AE87" s="20" t="str">
        <f>""</f>
        <v/>
      </c>
      <c r="AF87" s="20" t="str">
        <f>""</f>
        <v/>
      </c>
      <c r="AG87" s="20" t="str">
        <f>""</f>
        <v/>
      </c>
      <c r="AH87" s="20" t="str">
        <f>""</f>
        <v/>
      </c>
      <c r="AI87" s="20" t="str">
        <f>""</f>
        <v/>
      </c>
      <c r="AJ87" s="20" t="str">
        <f>""</f>
        <v/>
      </c>
      <c r="AK87" s="20" t="str">
        <f>""</f>
        <v/>
      </c>
      <c r="AL87" s="20" t="str">
        <f>""</f>
        <v/>
      </c>
      <c r="AM87" s="20" t="str">
        <f>""</f>
        <v/>
      </c>
    </row>
    <row r="88" spans="1:39" ht="15.75" customHeight="1" x14ac:dyDescent="0.25">
      <c r="A88" s="17" t="str">
        <f>IF('Step 2 - Special'!B35="","","Active")</f>
        <v/>
      </c>
      <c r="B88" s="18" t="str">
        <f>IF('Step 2 - Special'!B35="","",'Step 2 - Special'!B35)</f>
        <v/>
      </c>
      <c r="C88" s="18" t="str">
        <f>IF('Step 2 - Special'!B35="","",'Step 2 - Special'!B35)</f>
        <v/>
      </c>
      <c r="D88" s="17" t="str">
        <f>IF('Step 2 - Special'!B35="","",'Step 2 - Special'!F35)</f>
        <v/>
      </c>
      <c r="E88" s="17" t="str">
        <f>IF('Step 2 - Special'!B35="","",'Step 2 - Special'!G35)</f>
        <v/>
      </c>
      <c r="F88" s="18" t="str">
        <f>IF('Step 2 - Special'!B35="","",IF('Step 2 - Special'!C35="","","Fund Code"))</f>
        <v/>
      </c>
      <c r="G88" s="17" t="str">
        <f>IF('Step 2 - Special'!B35="","",IF('Step 2 - Special'!C35="","","Equals"))</f>
        <v/>
      </c>
      <c r="H88" s="18" t="str">
        <f>IF('Step 2 - Special'!B35="","",IF('Step 2 - Special'!C35="","",'Step 2 - Special'!C35))</f>
        <v/>
      </c>
      <c r="I88" s="18" t="str">
        <f>IF('Step 2 - Special'!B35="","","Organization Code")</f>
        <v/>
      </c>
      <c r="J88" s="17" t="str">
        <f>IF('Step 2 - Special'!B35="","","Equals")</f>
        <v/>
      </c>
      <c r="K88" s="18" t="str">
        <f>IF('Step 2 - Special'!B35="","",'Step 2 - Special'!D35)</f>
        <v/>
      </c>
      <c r="L88" s="18" t="str">
        <f>IF('Step 2 - Special'!B35="","","Other Criteria")</f>
        <v/>
      </c>
      <c r="M88" s="17" t="str">
        <f>IF('Step 2 - Special'!B35="","","Equals")</f>
        <v/>
      </c>
      <c r="N88" s="18" t="str">
        <f>IF('Step 2 - Special'!B35="","",'Step 2 - Special'!E35)</f>
        <v/>
      </c>
      <c r="O88" s="18" t="str">
        <f>""</f>
        <v/>
      </c>
      <c r="P88" s="18" t="str">
        <f>""</f>
        <v/>
      </c>
      <c r="Q88" s="18" t="str">
        <f>""</f>
        <v/>
      </c>
      <c r="R88" s="18" t="str">
        <f>""</f>
        <v/>
      </c>
      <c r="S88" s="18" t="str">
        <f>""</f>
        <v/>
      </c>
      <c r="T88" s="18" t="str">
        <f>""</f>
        <v/>
      </c>
      <c r="U88" s="18" t="str">
        <f>IF('Step 2 - Special'!B35="","",'Step 2 - Special'!H35)</f>
        <v/>
      </c>
      <c r="V88" s="17" t="str">
        <f>IF('Step 2 - Special'!B35="","",'Step 2 - Special'!J35)</f>
        <v/>
      </c>
      <c r="W88" s="18" t="str">
        <f>IF('Step 2 - Special'!B35="","",'Step 2 - Special'!K35)</f>
        <v/>
      </c>
      <c r="X88" s="17" t="str">
        <f>IF('Step 2 - Special'!B35="","",'Step 2 - Special'!M35)</f>
        <v/>
      </c>
      <c r="Y88" s="18" t="str">
        <f>""</f>
        <v/>
      </c>
      <c r="Z88" s="18" t="str">
        <f>""</f>
        <v/>
      </c>
      <c r="AA88" s="18" t="str">
        <f>""</f>
        <v/>
      </c>
      <c r="AB88" s="18" t="str">
        <f>""</f>
        <v/>
      </c>
      <c r="AC88" s="18" t="str">
        <f>""</f>
        <v/>
      </c>
      <c r="AD88" s="18" t="str">
        <f>""</f>
        <v/>
      </c>
      <c r="AE88" s="18" t="str">
        <f>""</f>
        <v/>
      </c>
      <c r="AF88" s="18" t="str">
        <f>""</f>
        <v/>
      </c>
      <c r="AG88" s="18" t="str">
        <f>""</f>
        <v/>
      </c>
      <c r="AH88" s="18" t="str">
        <f>""</f>
        <v/>
      </c>
      <c r="AI88" s="18" t="str">
        <f>""</f>
        <v/>
      </c>
      <c r="AJ88" s="18" t="str">
        <f>""</f>
        <v/>
      </c>
      <c r="AK88" s="18" t="str">
        <f>""</f>
        <v/>
      </c>
      <c r="AL88" s="18" t="str">
        <f>""</f>
        <v/>
      </c>
      <c r="AM88" s="18" t="str">
        <f>""</f>
        <v/>
      </c>
    </row>
    <row r="89" spans="1:39" ht="15.75" customHeight="1" x14ac:dyDescent="0.25">
      <c r="A89" s="19" t="str">
        <f>IF('Step 2 - Special'!B36="","","Active")</f>
        <v/>
      </c>
      <c r="B89" s="20" t="str">
        <f>IF('Step 2 - Special'!B36="","",'Step 2 - Special'!B36)</f>
        <v/>
      </c>
      <c r="C89" s="20" t="str">
        <f>IF('Step 2 - Special'!B36="","",'Step 2 - Special'!B36)</f>
        <v/>
      </c>
      <c r="D89" s="19" t="str">
        <f>IF('Step 2 - Special'!B36="","",'Step 2 - Special'!F36)</f>
        <v/>
      </c>
      <c r="E89" s="19" t="str">
        <f>IF('Step 2 - Special'!B36="","",'Step 2 - Special'!G36)</f>
        <v/>
      </c>
      <c r="F89" s="20" t="str">
        <f>IF('Step 2 - Special'!B36="","",IF('Step 2 - Special'!C36="","","Fund Code"))</f>
        <v/>
      </c>
      <c r="G89" s="19" t="str">
        <f>IF('Step 2 - Special'!B36="","",IF('Step 2 - Special'!C36="","","Equals"))</f>
        <v/>
      </c>
      <c r="H89" s="20" t="str">
        <f>IF('Step 2 - Special'!B36="","",IF('Step 2 - Special'!C36="","",'Step 2 - Special'!C36))</f>
        <v/>
      </c>
      <c r="I89" s="20" t="str">
        <f>IF('Step 2 - Special'!B36="","","Organization Code")</f>
        <v/>
      </c>
      <c r="J89" s="19" t="str">
        <f>IF('Step 2 - Special'!B36="","","Equals")</f>
        <v/>
      </c>
      <c r="K89" s="20" t="str">
        <f>IF('Step 2 - Special'!B36="","",'Step 2 - Special'!D36)</f>
        <v/>
      </c>
      <c r="L89" s="20" t="str">
        <f>IF('Step 2 - Special'!B36="","","Other Criteria")</f>
        <v/>
      </c>
      <c r="M89" s="19" t="str">
        <f>IF('Step 2 - Special'!B36="","","Equals")</f>
        <v/>
      </c>
      <c r="N89" s="20" t="str">
        <f>IF('Step 2 - Special'!B36="","",'Step 2 - Special'!E36)</f>
        <v/>
      </c>
      <c r="O89" s="20" t="str">
        <f>""</f>
        <v/>
      </c>
      <c r="P89" s="20" t="str">
        <f>""</f>
        <v/>
      </c>
      <c r="Q89" s="20" t="str">
        <f>""</f>
        <v/>
      </c>
      <c r="R89" s="20" t="str">
        <f>""</f>
        <v/>
      </c>
      <c r="S89" s="20" t="str">
        <f>""</f>
        <v/>
      </c>
      <c r="T89" s="20" t="str">
        <f>""</f>
        <v/>
      </c>
      <c r="U89" s="20" t="str">
        <f>IF('Step 2 - Special'!B36="","",'Step 2 - Special'!H36)</f>
        <v/>
      </c>
      <c r="V89" s="19" t="str">
        <f>IF('Step 2 - Special'!B36="","",'Step 2 - Special'!J36)</f>
        <v/>
      </c>
      <c r="W89" s="20" t="str">
        <f>IF('Step 2 - Special'!B36="","",'Step 2 - Special'!K36)</f>
        <v/>
      </c>
      <c r="X89" s="19" t="str">
        <f>IF('Step 2 - Special'!B36="","",'Step 2 - Special'!M36)</f>
        <v/>
      </c>
      <c r="Y89" s="20" t="str">
        <f>""</f>
        <v/>
      </c>
      <c r="Z89" s="20" t="str">
        <f>""</f>
        <v/>
      </c>
      <c r="AA89" s="20" t="str">
        <f>""</f>
        <v/>
      </c>
      <c r="AB89" s="20" t="str">
        <f>""</f>
        <v/>
      </c>
      <c r="AC89" s="20" t="str">
        <f>""</f>
        <v/>
      </c>
      <c r="AD89" s="20" t="str">
        <f>""</f>
        <v/>
      </c>
      <c r="AE89" s="20" t="str">
        <f>""</f>
        <v/>
      </c>
      <c r="AF89" s="20" t="str">
        <f>""</f>
        <v/>
      </c>
      <c r="AG89" s="20" t="str">
        <f>""</f>
        <v/>
      </c>
      <c r="AH89" s="20" t="str">
        <f>""</f>
        <v/>
      </c>
      <c r="AI89" s="20" t="str">
        <f>""</f>
        <v/>
      </c>
      <c r="AJ89" s="20" t="str">
        <f>""</f>
        <v/>
      </c>
      <c r="AK89" s="20" t="str">
        <f>""</f>
        <v/>
      </c>
      <c r="AL89" s="20" t="str">
        <f>""</f>
        <v/>
      </c>
      <c r="AM89" s="20" t="str">
        <f>""</f>
        <v/>
      </c>
    </row>
    <row r="90" spans="1:39" ht="15.75" customHeight="1" x14ac:dyDescent="0.25">
      <c r="A90" s="17" t="str">
        <f>IF('Step 2 - Special'!B37="","","Active")</f>
        <v/>
      </c>
      <c r="B90" s="18" t="str">
        <f>IF('Step 2 - Special'!B37="","",'Step 2 - Special'!B37)</f>
        <v/>
      </c>
      <c r="C90" s="18" t="str">
        <f>IF('Step 2 - Special'!B37="","",'Step 2 - Special'!B37)</f>
        <v/>
      </c>
      <c r="D90" s="17" t="str">
        <f>IF('Step 2 - Special'!B37="","",'Step 2 - Special'!F37)</f>
        <v/>
      </c>
      <c r="E90" s="17" t="str">
        <f>IF('Step 2 - Special'!B37="","",'Step 2 - Special'!G37)</f>
        <v/>
      </c>
      <c r="F90" s="18" t="str">
        <f>IF('Step 2 - Special'!B37="","",IF('Step 2 - Special'!C37="","","Fund Code"))</f>
        <v/>
      </c>
      <c r="G90" s="17" t="str">
        <f>IF('Step 2 - Special'!B37="","",IF('Step 2 - Special'!C37="","","Equals"))</f>
        <v/>
      </c>
      <c r="H90" s="18" t="str">
        <f>IF('Step 2 - Special'!B37="","",IF('Step 2 - Special'!C37="","",'Step 2 - Special'!C37))</f>
        <v/>
      </c>
      <c r="I90" s="18" t="str">
        <f>IF('Step 2 - Special'!B37="","","Organization Code")</f>
        <v/>
      </c>
      <c r="J90" s="17" t="str">
        <f>IF('Step 2 - Special'!B37="","","Equals")</f>
        <v/>
      </c>
      <c r="K90" s="18" t="str">
        <f>IF('Step 2 - Special'!B37="","",'Step 2 - Special'!D37)</f>
        <v/>
      </c>
      <c r="L90" s="18" t="str">
        <f>IF('Step 2 - Special'!B37="","","Other Criteria")</f>
        <v/>
      </c>
      <c r="M90" s="17" t="str">
        <f>IF('Step 2 - Special'!B37="","","Equals")</f>
        <v/>
      </c>
      <c r="N90" s="18" t="str">
        <f>IF('Step 2 - Special'!B37="","",'Step 2 - Special'!E37)</f>
        <v/>
      </c>
      <c r="O90" s="18" t="str">
        <f>""</f>
        <v/>
      </c>
      <c r="P90" s="18" t="str">
        <f>""</f>
        <v/>
      </c>
      <c r="Q90" s="18" t="str">
        <f>""</f>
        <v/>
      </c>
      <c r="R90" s="18" t="str">
        <f>""</f>
        <v/>
      </c>
      <c r="S90" s="18" t="str">
        <f>""</f>
        <v/>
      </c>
      <c r="T90" s="18" t="str">
        <f>""</f>
        <v/>
      </c>
      <c r="U90" s="18" t="str">
        <f>IF('Step 2 - Special'!B37="","",'Step 2 - Special'!H37)</f>
        <v/>
      </c>
      <c r="V90" s="17" t="str">
        <f>IF('Step 2 - Special'!B37="","",'Step 2 - Special'!J37)</f>
        <v/>
      </c>
      <c r="W90" s="18" t="str">
        <f>IF('Step 2 - Special'!B37="","",'Step 2 - Special'!K37)</f>
        <v/>
      </c>
      <c r="X90" s="17" t="str">
        <f>IF('Step 2 - Special'!B37="","",'Step 2 - Special'!M37)</f>
        <v/>
      </c>
      <c r="Y90" s="18" t="str">
        <f>""</f>
        <v/>
      </c>
      <c r="Z90" s="18" t="str">
        <f>""</f>
        <v/>
      </c>
      <c r="AA90" s="18" t="str">
        <f>""</f>
        <v/>
      </c>
      <c r="AB90" s="18" t="str">
        <f>""</f>
        <v/>
      </c>
      <c r="AC90" s="18" t="str">
        <f>""</f>
        <v/>
      </c>
      <c r="AD90" s="18" t="str">
        <f>""</f>
        <v/>
      </c>
      <c r="AE90" s="18" t="str">
        <f>""</f>
        <v/>
      </c>
      <c r="AF90" s="18" t="str">
        <f>""</f>
        <v/>
      </c>
      <c r="AG90" s="18" t="str">
        <f>""</f>
        <v/>
      </c>
      <c r="AH90" s="18" t="str">
        <f>""</f>
        <v/>
      </c>
      <c r="AI90" s="18" t="str">
        <f>""</f>
        <v/>
      </c>
      <c r="AJ90" s="18" t="str">
        <f>""</f>
        <v/>
      </c>
      <c r="AK90" s="18" t="str">
        <f>""</f>
        <v/>
      </c>
      <c r="AL90" s="18" t="str">
        <f>""</f>
        <v/>
      </c>
      <c r="AM90" s="18" t="str">
        <f>""</f>
        <v/>
      </c>
    </row>
    <row r="91" spans="1:39" ht="15.75" customHeight="1" x14ac:dyDescent="0.25">
      <c r="A91" s="19" t="str">
        <f>IF('Step 2 - Special'!B38="","","Active")</f>
        <v/>
      </c>
      <c r="B91" s="20" t="str">
        <f>IF('Step 2 - Special'!B38="","",'Step 2 - Special'!B38)</f>
        <v/>
      </c>
      <c r="C91" s="20" t="str">
        <f>IF('Step 2 - Special'!B38="","",'Step 2 - Special'!B38)</f>
        <v/>
      </c>
      <c r="D91" s="19" t="str">
        <f>IF('Step 2 - Special'!B38="","",'Step 2 - Special'!F38)</f>
        <v/>
      </c>
      <c r="E91" s="19" t="str">
        <f>IF('Step 2 - Special'!B38="","",'Step 2 - Special'!G38)</f>
        <v/>
      </c>
      <c r="F91" s="20" t="str">
        <f>IF('Step 2 - Special'!B38="","",IF('Step 2 - Special'!C38="","","Fund Code"))</f>
        <v/>
      </c>
      <c r="G91" s="19" t="str">
        <f>IF('Step 2 - Special'!B38="","",IF('Step 2 - Special'!C38="","","Equals"))</f>
        <v/>
      </c>
      <c r="H91" s="20" t="str">
        <f>IF('Step 2 - Special'!B38="","",IF('Step 2 - Special'!C38="","",'Step 2 - Special'!C38))</f>
        <v/>
      </c>
      <c r="I91" s="20" t="str">
        <f>IF('Step 2 - Special'!B38="","","Organization Code")</f>
        <v/>
      </c>
      <c r="J91" s="19" t="str">
        <f>IF('Step 2 - Special'!B38="","","Equals")</f>
        <v/>
      </c>
      <c r="K91" s="20" t="str">
        <f>IF('Step 2 - Special'!B38="","",'Step 2 - Special'!D38)</f>
        <v/>
      </c>
      <c r="L91" s="20" t="str">
        <f>IF('Step 2 - Special'!B38="","","Other Criteria")</f>
        <v/>
      </c>
      <c r="M91" s="19" t="str">
        <f>IF('Step 2 - Special'!B38="","","Equals")</f>
        <v/>
      </c>
      <c r="N91" s="20" t="str">
        <f>IF('Step 2 - Special'!B38="","",'Step 2 - Special'!E38)</f>
        <v/>
      </c>
      <c r="O91" s="20" t="str">
        <f>""</f>
        <v/>
      </c>
      <c r="P91" s="20" t="str">
        <f>""</f>
        <v/>
      </c>
      <c r="Q91" s="20" t="str">
        <f>""</f>
        <v/>
      </c>
      <c r="R91" s="20" t="str">
        <f>""</f>
        <v/>
      </c>
      <c r="S91" s="20" t="str">
        <f>""</f>
        <v/>
      </c>
      <c r="T91" s="20" t="str">
        <f>""</f>
        <v/>
      </c>
      <c r="U91" s="20" t="str">
        <f>IF('Step 2 - Special'!B38="","",'Step 2 - Special'!H38)</f>
        <v/>
      </c>
      <c r="V91" s="19" t="str">
        <f>IF('Step 2 - Special'!B38="","",'Step 2 - Special'!J38)</f>
        <v/>
      </c>
      <c r="W91" s="20" t="str">
        <f>IF('Step 2 - Special'!B38="","",'Step 2 - Special'!K38)</f>
        <v/>
      </c>
      <c r="X91" s="19" t="str">
        <f>IF('Step 2 - Special'!B38="","",'Step 2 - Special'!M38)</f>
        <v/>
      </c>
      <c r="Y91" s="20" t="str">
        <f>""</f>
        <v/>
      </c>
      <c r="Z91" s="20" t="str">
        <f>""</f>
        <v/>
      </c>
      <c r="AA91" s="20" t="str">
        <f>""</f>
        <v/>
      </c>
      <c r="AB91" s="20" t="str">
        <f>""</f>
        <v/>
      </c>
      <c r="AC91" s="20" t="str">
        <f>""</f>
        <v/>
      </c>
      <c r="AD91" s="20" t="str">
        <f>""</f>
        <v/>
      </c>
      <c r="AE91" s="20" t="str">
        <f>""</f>
        <v/>
      </c>
      <c r="AF91" s="20" t="str">
        <f>""</f>
        <v/>
      </c>
      <c r="AG91" s="20" t="str">
        <f>""</f>
        <v/>
      </c>
      <c r="AH91" s="20" t="str">
        <f>""</f>
        <v/>
      </c>
      <c r="AI91" s="20" t="str">
        <f>""</f>
        <v/>
      </c>
      <c r="AJ91" s="20" t="str">
        <f>""</f>
        <v/>
      </c>
      <c r="AK91" s="20" t="str">
        <f>""</f>
        <v/>
      </c>
      <c r="AL91" s="20" t="str">
        <f>""</f>
        <v/>
      </c>
      <c r="AM91" s="20" t="str">
        <f>""</f>
        <v/>
      </c>
    </row>
    <row r="92" spans="1:39" ht="15.75" customHeight="1" x14ac:dyDescent="0.25">
      <c r="A92" s="17" t="str">
        <f>IF('Step 2 - Special'!B39="","","Active")</f>
        <v/>
      </c>
      <c r="B92" s="18" t="str">
        <f>IF('Step 2 - Special'!B39="","",'Step 2 - Special'!B39)</f>
        <v/>
      </c>
      <c r="C92" s="18" t="str">
        <f>IF('Step 2 - Special'!B39="","",'Step 2 - Special'!B39)</f>
        <v/>
      </c>
      <c r="D92" s="17" t="str">
        <f>IF('Step 2 - Special'!B39="","",'Step 2 - Special'!F39)</f>
        <v/>
      </c>
      <c r="E92" s="17" t="str">
        <f>IF('Step 2 - Special'!B39="","",'Step 2 - Special'!G39)</f>
        <v/>
      </c>
      <c r="F92" s="18" t="str">
        <f>IF('Step 2 - Special'!B39="","",IF('Step 2 - Special'!C39="","","Fund Code"))</f>
        <v/>
      </c>
      <c r="G92" s="17" t="str">
        <f>IF('Step 2 - Special'!B39="","",IF('Step 2 - Special'!C39="","","Equals"))</f>
        <v/>
      </c>
      <c r="H92" s="18" t="str">
        <f>IF('Step 2 - Special'!B39="","",IF('Step 2 - Special'!C39="","",'Step 2 - Special'!C39))</f>
        <v/>
      </c>
      <c r="I92" s="18" t="str">
        <f>IF('Step 2 - Special'!B39="","","Organization Code")</f>
        <v/>
      </c>
      <c r="J92" s="17" t="str">
        <f>IF('Step 2 - Special'!B39="","","Equals")</f>
        <v/>
      </c>
      <c r="K92" s="18" t="str">
        <f>IF('Step 2 - Special'!B39="","",'Step 2 - Special'!D39)</f>
        <v/>
      </c>
      <c r="L92" s="18" t="str">
        <f>IF('Step 2 - Special'!B39="","","Other Criteria")</f>
        <v/>
      </c>
      <c r="M92" s="17" t="str">
        <f>IF('Step 2 - Special'!B39="","","Equals")</f>
        <v/>
      </c>
      <c r="N92" s="18" t="str">
        <f>IF('Step 2 - Special'!B39="","",'Step 2 - Special'!E39)</f>
        <v/>
      </c>
      <c r="O92" s="18" t="str">
        <f>""</f>
        <v/>
      </c>
      <c r="P92" s="18" t="str">
        <f>""</f>
        <v/>
      </c>
      <c r="Q92" s="18" t="str">
        <f>""</f>
        <v/>
      </c>
      <c r="R92" s="18" t="str">
        <f>""</f>
        <v/>
      </c>
      <c r="S92" s="18" t="str">
        <f>""</f>
        <v/>
      </c>
      <c r="T92" s="18" t="str">
        <f>""</f>
        <v/>
      </c>
      <c r="U92" s="18" t="str">
        <f>IF('Step 2 - Special'!B39="","",'Step 2 - Special'!H39)</f>
        <v/>
      </c>
      <c r="V92" s="17" t="str">
        <f>IF('Step 2 - Special'!B39="","",'Step 2 - Special'!J39)</f>
        <v/>
      </c>
      <c r="W92" s="18" t="str">
        <f>IF('Step 2 - Special'!B39="","",'Step 2 - Special'!K39)</f>
        <v/>
      </c>
      <c r="X92" s="17" t="str">
        <f>IF('Step 2 - Special'!B39="","",'Step 2 - Special'!M39)</f>
        <v/>
      </c>
      <c r="Y92" s="18" t="str">
        <f>""</f>
        <v/>
      </c>
      <c r="Z92" s="18" t="str">
        <f>""</f>
        <v/>
      </c>
      <c r="AA92" s="18" t="str">
        <f>""</f>
        <v/>
      </c>
      <c r="AB92" s="18" t="str">
        <f>""</f>
        <v/>
      </c>
      <c r="AC92" s="18" t="str">
        <f>""</f>
        <v/>
      </c>
      <c r="AD92" s="18" t="str">
        <f>""</f>
        <v/>
      </c>
      <c r="AE92" s="18" t="str">
        <f>""</f>
        <v/>
      </c>
      <c r="AF92" s="18" t="str">
        <f>""</f>
        <v/>
      </c>
      <c r="AG92" s="18" t="str">
        <f>""</f>
        <v/>
      </c>
      <c r="AH92" s="18" t="str">
        <f>""</f>
        <v/>
      </c>
      <c r="AI92" s="18" t="str">
        <f>""</f>
        <v/>
      </c>
      <c r="AJ92" s="18" t="str">
        <f>""</f>
        <v/>
      </c>
      <c r="AK92" s="18" t="str">
        <f>""</f>
        <v/>
      </c>
      <c r="AL92" s="18" t="str">
        <f>""</f>
        <v/>
      </c>
      <c r="AM92" s="18" t="str">
        <f>""</f>
        <v/>
      </c>
    </row>
    <row r="93" spans="1:39" ht="15.75" customHeight="1" x14ac:dyDescent="0.25">
      <c r="A93" s="19" t="str">
        <f>IF('Step 2 - Special'!B40="","","Active")</f>
        <v/>
      </c>
      <c r="B93" s="20" t="str">
        <f>IF('Step 2 - Special'!B40="","",'Step 2 - Special'!B40)</f>
        <v/>
      </c>
      <c r="C93" s="20" t="str">
        <f>IF('Step 2 - Special'!B40="","",'Step 2 - Special'!B40)</f>
        <v/>
      </c>
      <c r="D93" s="19" t="str">
        <f>IF('Step 2 - Special'!B40="","",'Step 2 - Special'!F40)</f>
        <v/>
      </c>
      <c r="E93" s="19" t="str">
        <f>IF('Step 2 - Special'!B40="","",'Step 2 - Special'!G40)</f>
        <v/>
      </c>
      <c r="F93" s="20" t="str">
        <f>IF('Step 2 - Special'!B40="","",IF('Step 2 - Special'!C40="","","Fund Code"))</f>
        <v/>
      </c>
      <c r="G93" s="19" t="str">
        <f>IF('Step 2 - Special'!B40="","",IF('Step 2 - Special'!C40="","","Equals"))</f>
        <v/>
      </c>
      <c r="H93" s="20" t="str">
        <f>IF('Step 2 - Special'!B40="","",IF('Step 2 - Special'!C40="","",'Step 2 - Special'!C40))</f>
        <v/>
      </c>
      <c r="I93" s="20" t="str">
        <f>IF('Step 2 - Special'!B40="","","Organization Code")</f>
        <v/>
      </c>
      <c r="J93" s="19" t="str">
        <f>IF('Step 2 - Special'!B40="","","Equals")</f>
        <v/>
      </c>
      <c r="K93" s="20" t="str">
        <f>IF('Step 2 - Special'!B40="","",'Step 2 - Special'!D40)</f>
        <v/>
      </c>
      <c r="L93" s="20" t="str">
        <f>IF('Step 2 - Special'!B40="","","Other Criteria")</f>
        <v/>
      </c>
      <c r="M93" s="19" t="str">
        <f>IF('Step 2 - Special'!B40="","","Equals")</f>
        <v/>
      </c>
      <c r="N93" s="20" t="str">
        <f>IF('Step 2 - Special'!B40="","",'Step 2 - Special'!E40)</f>
        <v/>
      </c>
      <c r="O93" s="20" t="str">
        <f>""</f>
        <v/>
      </c>
      <c r="P93" s="20" t="str">
        <f>""</f>
        <v/>
      </c>
      <c r="Q93" s="20" t="str">
        <f>""</f>
        <v/>
      </c>
      <c r="R93" s="20" t="str">
        <f>""</f>
        <v/>
      </c>
      <c r="S93" s="20" t="str">
        <f>""</f>
        <v/>
      </c>
      <c r="T93" s="20" t="str">
        <f>""</f>
        <v/>
      </c>
      <c r="U93" s="20" t="str">
        <f>IF('Step 2 - Special'!B40="","",'Step 2 - Special'!H40)</f>
        <v/>
      </c>
      <c r="V93" s="19" t="str">
        <f>IF('Step 2 - Special'!B40="","",'Step 2 - Special'!J40)</f>
        <v/>
      </c>
      <c r="W93" s="20" t="str">
        <f>IF('Step 2 - Special'!B40="","",'Step 2 - Special'!K40)</f>
        <v/>
      </c>
      <c r="X93" s="19" t="str">
        <f>IF('Step 2 - Special'!B40="","",'Step 2 - Special'!M40)</f>
        <v/>
      </c>
      <c r="Y93" s="20" t="str">
        <f>""</f>
        <v/>
      </c>
      <c r="Z93" s="20" t="str">
        <f>""</f>
        <v/>
      </c>
      <c r="AA93" s="20" t="str">
        <f>""</f>
        <v/>
      </c>
      <c r="AB93" s="20" t="str">
        <f>""</f>
        <v/>
      </c>
      <c r="AC93" s="20" t="str">
        <f>""</f>
        <v/>
      </c>
      <c r="AD93" s="20" t="str">
        <f>""</f>
        <v/>
      </c>
      <c r="AE93" s="20" t="str">
        <f>""</f>
        <v/>
      </c>
      <c r="AF93" s="20" t="str">
        <f>""</f>
        <v/>
      </c>
      <c r="AG93" s="20" t="str">
        <f>""</f>
        <v/>
      </c>
      <c r="AH93" s="20" t="str">
        <f>""</f>
        <v/>
      </c>
      <c r="AI93" s="20" t="str">
        <f>""</f>
        <v/>
      </c>
      <c r="AJ93" s="20" t="str">
        <f>""</f>
        <v/>
      </c>
      <c r="AK93" s="20" t="str">
        <f>""</f>
        <v/>
      </c>
      <c r="AL93" s="20" t="str">
        <f>""</f>
        <v/>
      </c>
      <c r="AM93" s="20" t="str">
        <f>""</f>
        <v/>
      </c>
    </row>
    <row r="94" spans="1:39" ht="15.75" customHeight="1" x14ac:dyDescent="0.25">
      <c r="A94" s="17" t="str">
        <f>IF('Step 2 - Special'!B41="","","Active")</f>
        <v/>
      </c>
      <c r="B94" s="18" t="str">
        <f>IF('Step 2 - Special'!B41="","",'Step 2 - Special'!B41)</f>
        <v/>
      </c>
      <c r="C94" s="18" t="str">
        <f>IF('Step 2 - Special'!B41="","",'Step 2 - Special'!B41)</f>
        <v/>
      </c>
      <c r="D94" s="17" t="str">
        <f>IF('Step 2 - Special'!B41="","",'Step 2 - Special'!F41)</f>
        <v/>
      </c>
      <c r="E94" s="17" t="str">
        <f>IF('Step 2 - Special'!B41="","",'Step 2 - Special'!G41)</f>
        <v/>
      </c>
      <c r="F94" s="18" t="str">
        <f>IF('Step 2 - Special'!B41="","",IF('Step 2 - Special'!C41="","","Fund Code"))</f>
        <v/>
      </c>
      <c r="G94" s="17" t="str">
        <f>IF('Step 2 - Special'!B41="","",IF('Step 2 - Special'!C41="","","Equals"))</f>
        <v/>
      </c>
      <c r="H94" s="18" t="str">
        <f>IF('Step 2 - Special'!B41="","",IF('Step 2 - Special'!C41="","",'Step 2 - Special'!C41))</f>
        <v/>
      </c>
      <c r="I94" s="18" t="str">
        <f>IF('Step 2 - Special'!B41="","","Organization Code")</f>
        <v/>
      </c>
      <c r="J94" s="17" t="str">
        <f>IF('Step 2 - Special'!B41="","","Equals")</f>
        <v/>
      </c>
      <c r="K94" s="18" t="str">
        <f>IF('Step 2 - Special'!B41="","",'Step 2 - Special'!D41)</f>
        <v/>
      </c>
      <c r="L94" s="18" t="str">
        <f>IF('Step 2 - Special'!B41="","","Other Criteria")</f>
        <v/>
      </c>
      <c r="M94" s="17" t="str">
        <f>IF('Step 2 - Special'!B41="","","Equals")</f>
        <v/>
      </c>
      <c r="N94" s="18" t="str">
        <f>IF('Step 2 - Special'!B41="","",'Step 2 - Special'!E41)</f>
        <v/>
      </c>
      <c r="O94" s="18" t="str">
        <f>""</f>
        <v/>
      </c>
      <c r="P94" s="18" t="str">
        <f>""</f>
        <v/>
      </c>
      <c r="Q94" s="18" t="str">
        <f>""</f>
        <v/>
      </c>
      <c r="R94" s="18" t="str">
        <f>""</f>
        <v/>
      </c>
      <c r="S94" s="18" t="str">
        <f>""</f>
        <v/>
      </c>
      <c r="T94" s="18" t="str">
        <f>""</f>
        <v/>
      </c>
      <c r="U94" s="18" t="str">
        <f>IF('Step 2 - Special'!B41="","",'Step 2 - Special'!H41)</f>
        <v/>
      </c>
      <c r="V94" s="17" t="str">
        <f>IF('Step 2 - Special'!B41="","",'Step 2 - Special'!J41)</f>
        <v/>
      </c>
      <c r="W94" s="18" t="str">
        <f>IF('Step 2 - Special'!B41="","",'Step 2 - Special'!K41)</f>
        <v/>
      </c>
      <c r="X94" s="17" t="str">
        <f>IF('Step 2 - Special'!B41="","",'Step 2 - Special'!M41)</f>
        <v/>
      </c>
      <c r="Y94" s="18" t="str">
        <f>""</f>
        <v/>
      </c>
      <c r="Z94" s="18" t="str">
        <f>""</f>
        <v/>
      </c>
      <c r="AA94" s="18" t="str">
        <f>""</f>
        <v/>
      </c>
      <c r="AB94" s="18" t="str">
        <f>""</f>
        <v/>
      </c>
      <c r="AC94" s="18" t="str">
        <f>""</f>
        <v/>
      </c>
      <c r="AD94" s="18" t="str">
        <f>""</f>
        <v/>
      </c>
      <c r="AE94" s="18" t="str">
        <f>""</f>
        <v/>
      </c>
      <c r="AF94" s="18" t="str">
        <f>""</f>
        <v/>
      </c>
      <c r="AG94" s="18" t="str">
        <f>""</f>
        <v/>
      </c>
      <c r="AH94" s="18" t="str">
        <f>""</f>
        <v/>
      </c>
      <c r="AI94" s="18" t="str">
        <f>""</f>
        <v/>
      </c>
      <c r="AJ94" s="18" t="str">
        <f>""</f>
        <v/>
      </c>
      <c r="AK94" s="18" t="str">
        <f>""</f>
        <v/>
      </c>
      <c r="AL94" s="18" t="str">
        <f>""</f>
        <v/>
      </c>
      <c r="AM94" s="18" t="str">
        <f>""</f>
        <v/>
      </c>
    </row>
    <row r="95" spans="1:39" ht="15.75" customHeight="1" x14ac:dyDescent="0.25">
      <c r="A95" s="19" t="str">
        <f>IF('Step 2 - Special'!B42="","","Active")</f>
        <v/>
      </c>
      <c r="B95" s="20" t="str">
        <f>IF('Step 2 - Special'!B42="","",'Step 2 - Special'!B42)</f>
        <v/>
      </c>
      <c r="C95" s="20" t="str">
        <f>IF('Step 2 - Special'!B42="","",'Step 2 - Special'!B42)</f>
        <v/>
      </c>
      <c r="D95" s="19" t="str">
        <f>IF('Step 2 - Special'!B42="","",'Step 2 - Special'!F42)</f>
        <v/>
      </c>
      <c r="E95" s="19" t="str">
        <f>IF('Step 2 - Special'!B42="","",'Step 2 - Special'!G42)</f>
        <v/>
      </c>
      <c r="F95" s="20" t="str">
        <f>IF('Step 2 - Special'!B42="","",IF('Step 2 - Special'!C42="","","Fund Code"))</f>
        <v/>
      </c>
      <c r="G95" s="19" t="str">
        <f>IF('Step 2 - Special'!B42="","",IF('Step 2 - Special'!C42="","","Equals"))</f>
        <v/>
      </c>
      <c r="H95" s="20" t="str">
        <f>IF('Step 2 - Special'!B42="","",IF('Step 2 - Special'!C42="","",'Step 2 - Special'!C42))</f>
        <v/>
      </c>
      <c r="I95" s="20" t="str">
        <f>IF('Step 2 - Special'!B42="","","Organization Code")</f>
        <v/>
      </c>
      <c r="J95" s="19" t="str">
        <f>IF('Step 2 - Special'!B42="","","Equals")</f>
        <v/>
      </c>
      <c r="K95" s="20" t="str">
        <f>IF('Step 2 - Special'!B42="","",'Step 2 - Special'!D42)</f>
        <v/>
      </c>
      <c r="L95" s="20" t="str">
        <f>IF('Step 2 - Special'!B42="","","Other Criteria")</f>
        <v/>
      </c>
      <c r="M95" s="19" t="str">
        <f>IF('Step 2 - Special'!B42="","","Equals")</f>
        <v/>
      </c>
      <c r="N95" s="20" t="str">
        <f>IF('Step 2 - Special'!B42="","",'Step 2 - Special'!E42)</f>
        <v/>
      </c>
      <c r="O95" s="20" t="str">
        <f>""</f>
        <v/>
      </c>
      <c r="P95" s="20" t="str">
        <f>""</f>
        <v/>
      </c>
      <c r="Q95" s="20" t="str">
        <f>""</f>
        <v/>
      </c>
      <c r="R95" s="20" t="str">
        <f>""</f>
        <v/>
      </c>
      <c r="S95" s="20" t="str">
        <f>""</f>
        <v/>
      </c>
      <c r="T95" s="20" t="str">
        <f>""</f>
        <v/>
      </c>
      <c r="U95" s="20" t="str">
        <f>IF('Step 2 - Special'!B42="","",'Step 2 - Special'!H42)</f>
        <v/>
      </c>
      <c r="V95" s="19" t="str">
        <f>IF('Step 2 - Special'!B42="","",'Step 2 - Special'!J42)</f>
        <v/>
      </c>
      <c r="W95" s="20" t="str">
        <f>IF('Step 2 - Special'!B42="","",'Step 2 - Special'!K42)</f>
        <v/>
      </c>
      <c r="X95" s="19" t="str">
        <f>IF('Step 2 - Special'!B42="","",'Step 2 - Special'!M42)</f>
        <v/>
      </c>
      <c r="Y95" s="20" t="str">
        <f>""</f>
        <v/>
      </c>
      <c r="Z95" s="20" t="str">
        <f>""</f>
        <v/>
      </c>
      <c r="AA95" s="20" t="str">
        <f>""</f>
        <v/>
      </c>
      <c r="AB95" s="20" t="str">
        <f>""</f>
        <v/>
      </c>
      <c r="AC95" s="20" t="str">
        <f>""</f>
        <v/>
      </c>
      <c r="AD95" s="20" t="str">
        <f>""</f>
        <v/>
      </c>
      <c r="AE95" s="20" t="str">
        <f>""</f>
        <v/>
      </c>
      <c r="AF95" s="20" t="str">
        <f>""</f>
        <v/>
      </c>
      <c r="AG95" s="20" t="str">
        <f>""</f>
        <v/>
      </c>
      <c r="AH95" s="20" t="str">
        <f>""</f>
        <v/>
      </c>
      <c r="AI95" s="20" t="str">
        <f>""</f>
        <v/>
      </c>
      <c r="AJ95" s="20" t="str">
        <f>""</f>
        <v/>
      </c>
      <c r="AK95" s="20" t="str">
        <f>""</f>
        <v/>
      </c>
      <c r="AL95" s="20" t="str">
        <f>""</f>
        <v/>
      </c>
      <c r="AM95" s="20" t="str">
        <f>""</f>
        <v/>
      </c>
    </row>
    <row r="96" spans="1:39" ht="15.75" customHeight="1" x14ac:dyDescent="0.25">
      <c r="A96" s="17" t="str">
        <f>IF('Step 2 - Special'!B43="","","Active")</f>
        <v/>
      </c>
      <c r="B96" s="18" t="str">
        <f>IF('Step 2 - Special'!B43="","",'Step 2 - Special'!B43)</f>
        <v/>
      </c>
      <c r="C96" s="18" t="str">
        <f>IF('Step 2 - Special'!B43="","",'Step 2 - Special'!B43)</f>
        <v/>
      </c>
      <c r="D96" s="17" t="str">
        <f>IF('Step 2 - Special'!B43="","",'Step 2 - Special'!F43)</f>
        <v/>
      </c>
      <c r="E96" s="17" t="str">
        <f>IF('Step 2 - Special'!B43="","",'Step 2 - Special'!G43)</f>
        <v/>
      </c>
      <c r="F96" s="18" t="str">
        <f>IF('Step 2 - Special'!B43="","",IF('Step 2 - Special'!C43="","","Fund Code"))</f>
        <v/>
      </c>
      <c r="G96" s="17" t="str">
        <f>IF('Step 2 - Special'!B43="","",IF('Step 2 - Special'!C43="","","Equals"))</f>
        <v/>
      </c>
      <c r="H96" s="18" t="str">
        <f>IF('Step 2 - Special'!B43="","",IF('Step 2 - Special'!C43="","",'Step 2 - Special'!C43))</f>
        <v/>
      </c>
      <c r="I96" s="18" t="str">
        <f>IF('Step 2 - Special'!B43="","","Organization Code")</f>
        <v/>
      </c>
      <c r="J96" s="17" t="str">
        <f>IF('Step 2 - Special'!B43="","","Equals")</f>
        <v/>
      </c>
      <c r="K96" s="18" t="str">
        <f>IF('Step 2 - Special'!B43="","",'Step 2 - Special'!D43)</f>
        <v/>
      </c>
      <c r="L96" s="18" t="str">
        <f>IF('Step 2 - Special'!B43="","","Other Criteria")</f>
        <v/>
      </c>
      <c r="M96" s="17" t="str">
        <f>IF('Step 2 - Special'!B43="","","Equals")</f>
        <v/>
      </c>
      <c r="N96" s="18" t="str">
        <f>IF('Step 2 - Special'!B43="","",'Step 2 - Special'!E43)</f>
        <v/>
      </c>
      <c r="O96" s="18" t="str">
        <f>""</f>
        <v/>
      </c>
      <c r="P96" s="18" t="str">
        <f>""</f>
        <v/>
      </c>
      <c r="Q96" s="18" t="str">
        <f>""</f>
        <v/>
      </c>
      <c r="R96" s="18" t="str">
        <f>""</f>
        <v/>
      </c>
      <c r="S96" s="18" t="str">
        <f>""</f>
        <v/>
      </c>
      <c r="T96" s="18" t="str">
        <f>""</f>
        <v/>
      </c>
      <c r="U96" s="18" t="str">
        <f>IF('Step 2 - Special'!B43="","",'Step 2 - Special'!H43)</f>
        <v/>
      </c>
      <c r="V96" s="17" t="str">
        <f>IF('Step 2 - Special'!B43="","",'Step 2 - Special'!J43)</f>
        <v/>
      </c>
      <c r="W96" s="18" t="str">
        <f>IF('Step 2 - Special'!B43="","",'Step 2 - Special'!K43)</f>
        <v/>
      </c>
      <c r="X96" s="17" t="str">
        <f>IF('Step 2 - Special'!B43="","",'Step 2 - Special'!M43)</f>
        <v/>
      </c>
      <c r="Y96" s="18" t="str">
        <f>""</f>
        <v/>
      </c>
      <c r="Z96" s="18" t="str">
        <f>""</f>
        <v/>
      </c>
      <c r="AA96" s="18" t="str">
        <f>""</f>
        <v/>
      </c>
      <c r="AB96" s="18" t="str">
        <f>""</f>
        <v/>
      </c>
      <c r="AC96" s="18" t="str">
        <f>""</f>
        <v/>
      </c>
      <c r="AD96" s="18" t="str">
        <f>""</f>
        <v/>
      </c>
      <c r="AE96" s="18" t="str">
        <f>""</f>
        <v/>
      </c>
      <c r="AF96" s="18" t="str">
        <f>""</f>
        <v/>
      </c>
      <c r="AG96" s="18" t="str">
        <f>""</f>
        <v/>
      </c>
      <c r="AH96" s="18" t="str">
        <f>""</f>
        <v/>
      </c>
      <c r="AI96" s="18" t="str">
        <f>""</f>
        <v/>
      </c>
      <c r="AJ96" s="18" t="str">
        <f>""</f>
        <v/>
      </c>
      <c r="AK96" s="18" t="str">
        <f>""</f>
        <v/>
      </c>
      <c r="AL96" s="18" t="str">
        <f>""</f>
        <v/>
      </c>
      <c r="AM96" s="18" t="str">
        <f>""</f>
        <v/>
      </c>
    </row>
    <row r="97" spans="1:39" ht="15.75" customHeight="1" x14ac:dyDescent="0.25">
      <c r="A97" s="19" t="str">
        <f>IF('Step 2 - Special'!B44="","","Active")</f>
        <v/>
      </c>
      <c r="B97" s="20" t="str">
        <f>IF('Step 2 - Special'!B44="","",'Step 2 - Special'!B44)</f>
        <v/>
      </c>
      <c r="C97" s="20" t="str">
        <f>IF('Step 2 - Special'!B44="","",'Step 2 - Special'!B44)</f>
        <v/>
      </c>
      <c r="D97" s="19" t="str">
        <f>IF('Step 2 - Special'!B44="","",'Step 2 - Special'!F44)</f>
        <v/>
      </c>
      <c r="E97" s="19" t="str">
        <f>IF('Step 2 - Special'!B44="","",'Step 2 - Special'!G44)</f>
        <v/>
      </c>
      <c r="F97" s="20" t="str">
        <f>IF('Step 2 - Special'!B44="","",IF('Step 2 - Special'!C44="","","Fund Code"))</f>
        <v/>
      </c>
      <c r="G97" s="19" t="str">
        <f>IF('Step 2 - Special'!B44="","",IF('Step 2 - Special'!C44="","","Equals"))</f>
        <v/>
      </c>
      <c r="H97" s="20" t="str">
        <f>IF('Step 2 - Special'!B44="","",IF('Step 2 - Special'!C44="","",'Step 2 - Special'!C44))</f>
        <v/>
      </c>
      <c r="I97" s="20" t="str">
        <f>IF('Step 2 - Special'!B44="","","Organization Code")</f>
        <v/>
      </c>
      <c r="J97" s="19" t="str">
        <f>IF('Step 2 - Special'!B44="","","Equals")</f>
        <v/>
      </c>
      <c r="K97" s="20" t="str">
        <f>IF('Step 2 - Special'!B44="","",'Step 2 - Special'!D44)</f>
        <v/>
      </c>
      <c r="L97" s="20" t="str">
        <f>IF('Step 2 - Special'!B44="","","Other Criteria")</f>
        <v/>
      </c>
      <c r="M97" s="19" t="str">
        <f>IF('Step 2 - Special'!B44="","","Equals")</f>
        <v/>
      </c>
      <c r="N97" s="20" t="str">
        <f>IF('Step 2 - Special'!B44="","",'Step 2 - Special'!E44)</f>
        <v/>
      </c>
      <c r="O97" s="20" t="str">
        <f>""</f>
        <v/>
      </c>
      <c r="P97" s="20" t="str">
        <f>""</f>
        <v/>
      </c>
      <c r="Q97" s="20" t="str">
        <f>""</f>
        <v/>
      </c>
      <c r="R97" s="20" t="str">
        <f>""</f>
        <v/>
      </c>
      <c r="S97" s="20" t="str">
        <f>""</f>
        <v/>
      </c>
      <c r="T97" s="20" t="str">
        <f>""</f>
        <v/>
      </c>
      <c r="U97" s="20" t="str">
        <f>IF('Step 2 - Special'!B44="","",'Step 2 - Special'!H44)</f>
        <v/>
      </c>
      <c r="V97" s="19" t="str">
        <f>IF('Step 2 - Special'!B44="","",'Step 2 - Special'!J44)</f>
        <v/>
      </c>
      <c r="W97" s="20" t="str">
        <f>IF('Step 2 - Special'!B44="","",'Step 2 - Special'!K44)</f>
        <v/>
      </c>
      <c r="X97" s="19" t="str">
        <f>IF('Step 2 - Special'!B44="","",'Step 2 - Special'!M44)</f>
        <v/>
      </c>
      <c r="Y97" s="20" t="str">
        <f>""</f>
        <v/>
      </c>
      <c r="Z97" s="20" t="str">
        <f>""</f>
        <v/>
      </c>
      <c r="AA97" s="20" t="str">
        <f>""</f>
        <v/>
      </c>
      <c r="AB97" s="20" t="str">
        <f>""</f>
        <v/>
      </c>
      <c r="AC97" s="20" t="str">
        <f>""</f>
        <v/>
      </c>
      <c r="AD97" s="20" t="str">
        <f>""</f>
        <v/>
      </c>
      <c r="AE97" s="20" t="str">
        <f>""</f>
        <v/>
      </c>
      <c r="AF97" s="20" t="str">
        <f>""</f>
        <v/>
      </c>
      <c r="AG97" s="20" t="str">
        <f>""</f>
        <v/>
      </c>
      <c r="AH97" s="20" t="str">
        <f>""</f>
        <v/>
      </c>
      <c r="AI97" s="20" t="str">
        <f>""</f>
        <v/>
      </c>
      <c r="AJ97" s="20" t="str">
        <f>""</f>
        <v/>
      </c>
      <c r="AK97" s="20" t="str">
        <f>""</f>
        <v/>
      </c>
      <c r="AL97" s="20" t="str">
        <f>""</f>
        <v/>
      </c>
      <c r="AM97" s="20" t="str">
        <f>""</f>
        <v/>
      </c>
    </row>
    <row r="98" spans="1:39" ht="15.75" customHeight="1" x14ac:dyDescent="0.25">
      <c r="A98" s="17" t="str">
        <f>IF('Step 2 - Special'!B45="","","Active")</f>
        <v/>
      </c>
      <c r="B98" s="18" t="str">
        <f>IF('Step 2 - Special'!B45="","",'Step 2 - Special'!B45)</f>
        <v/>
      </c>
      <c r="C98" s="18" t="str">
        <f>IF('Step 2 - Special'!B45="","",'Step 2 - Special'!B45)</f>
        <v/>
      </c>
      <c r="D98" s="17" t="str">
        <f>IF('Step 2 - Special'!B45="","",'Step 2 - Special'!F45)</f>
        <v/>
      </c>
      <c r="E98" s="17" t="str">
        <f>IF('Step 2 - Special'!B45="","",'Step 2 - Special'!G45)</f>
        <v/>
      </c>
      <c r="F98" s="18" t="str">
        <f>IF('Step 2 - Special'!B45="","",IF('Step 2 - Special'!C45="","","Fund Code"))</f>
        <v/>
      </c>
      <c r="G98" s="17" t="str">
        <f>IF('Step 2 - Special'!B45="","",IF('Step 2 - Special'!C45="","","Equals"))</f>
        <v/>
      </c>
      <c r="H98" s="18" t="str">
        <f>IF('Step 2 - Special'!B45="","",IF('Step 2 - Special'!C45="","",'Step 2 - Special'!C45))</f>
        <v/>
      </c>
      <c r="I98" s="18" t="str">
        <f>IF('Step 2 - Special'!B45="","","Organization Code")</f>
        <v/>
      </c>
      <c r="J98" s="17" t="str">
        <f>IF('Step 2 - Special'!B45="","","Equals")</f>
        <v/>
      </c>
      <c r="K98" s="18" t="str">
        <f>IF('Step 2 - Special'!B45="","",'Step 2 - Special'!D45)</f>
        <v/>
      </c>
      <c r="L98" s="18" t="str">
        <f>IF('Step 2 - Special'!B45="","","Other Criteria")</f>
        <v/>
      </c>
      <c r="M98" s="17" t="str">
        <f>IF('Step 2 - Special'!B45="","","Equals")</f>
        <v/>
      </c>
      <c r="N98" s="18" t="str">
        <f>IF('Step 2 - Special'!B45="","",'Step 2 - Special'!E45)</f>
        <v/>
      </c>
      <c r="O98" s="18" t="str">
        <f>""</f>
        <v/>
      </c>
      <c r="P98" s="18" t="str">
        <f>""</f>
        <v/>
      </c>
      <c r="Q98" s="18" t="str">
        <f>""</f>
        <v/>
      </c>
      <c r="R98" s="18" t="str">
        <f>""</f>
        <v/>
      </c>
      <c r="S98" s="18" t="str">
        <f>""</f>
        <v/>
      </c>
      <c r="T98" s="18" t="str">
        <f>""</f>
        <v/>
      </c>
      <c r="U98" s="18" t="str">
        <f>IF('Step 2 - Special'!B45="","",'Step 2 - Special'!H45)</f>
        <v/>
      </c>
      <c r="V98" s="17" t="str">
        <f>IF('Step 2 - Special'!B45="","",'Step 2 - Special'!J45)</f>
        <v/>
      </c>
      <c r="W98" s="18" t="str">
        <f>IF('Step 2 - Special'!B45="","",'Step 2 - Special'!K45)</f>
        <v/>
      </c>
      <c r="X98" s="17" t="str">
        <f>IF('Step 2 - Special'!B45="","",'Step 2 - Special'!M45)</f>
        <v/>
      </c>
      <c r="Y98" s="18" t="str">
        <f>""</f>
        <v/>
      </c>
      <c r="Z98" s="18" t="str">
        <f>""</f>
        <v/>
      </c>
      <c r="AA98" s="18" t="str">
        <f>""</f>
        <v/>
      </c>
      <c r="AB98" s="18" t="str">
        <f>""</f>
        <v/>
      </c>
      <c r="AC98" s="18" t="str">
        <f>""</f>
        <v/>
      </c>
      <c r="AD98" s="18" t="str">
        <f>""</f>
        <v/>
      </c>
      <c r="AE98" s="18" t="str">
        <f>""</f>
        <v/>
      </c>
      <c r="AF98" s="18" t="str">
        <f>""</f>
        <v/>
      </c>
      <c r="AG98" s="18" t="str">
        <f>""</f>
        <v/>
      </c>
      <c r="AH98" s="18" t="str">
        <f>""</f>
        <v/>
      </c>
      <c r="AI98" s="18" t="str">
        <f>""</f>
        <v/>
      </c>
      <c r="AJ98" s="18" t="str">
        <f>""</f>
        <v/>
      </c>
      <c r="AK98" s="18" t="str">
        <f>""</f>
        <v/>
      </c>
      <c r="AL98" s="18" t="str">
        <f>""</f>
        <v/>
      </c>
      <c r="AM98" s="18" t="str">
        <f>""</f>
        <v/>
      </c>
    </row>
    <row r="99" spans="1:39" ht="15.75" customHeight="1" x14ac:dyDescent="0.25">
      <c r="A99" s="19" t="str">
        <f>IF('Step 2 - Special'!B46="","","Active")</f>
        <v/>
      </c>
      <c r="B99" s="20" t="str">
        <f>IF('Step 2 - Special'!B46="","",'Step 2 - Special'!B46)</f>
        <v/>
      </c>
      <c r="C99" s="20" t="str">
        <f>IF('Step 2 - Special'!B46="","",'Step 2 - Special'!B46)</f>
        <v/>
      </c>
      <c r="D99" s="19" t="str">
        <f>IF('Step 2 - Special'!B46="","",'Step 2 - Special'!F46)</f>
        <v/>
      </c>
      <c r="E99" s="19" t="str">
        <f>IF('Step 2 - Special'!B46="","",'Step 2 - Special'!G46)</f>
        <v/>
      </c>
      <c r="F99" s="20" t="str">
        <f>IF('Step 2 - Special'!B46="","",IF('Step 2 - Special'!C46="","","Fund Code"))</f>
        <v/>
      </c>
      <c r="G99" s="19" t="str">
        <f>IF('Step 2 - Special'!B46="","",IF('Step 2 - Special'!C46="","","Equals"))</f>
        <v/>
      </c>
      <c r="H99" s="20" t="str">
        <f>IF('Step 2 - Special'!B46="","",IF('Step 2 - Special'!C46="","",'Step 2 - Special'!C46))</f>
        <v/>
      </c>
      <c r="I99" s="20" t="str">
        <f>IF('Step 2 - Special'!B46="","","Organization Code")</f>
        <v/>
      </c>
      <c r="J99" s="19" t="str">
        <f>IF('Step 2 - Special'!B46="","","Equals")</f>
        <v/>
      </c>
      <c r="K99" s="20" t="str">
        <f>IF('Step 2 - Special'!B46="","",'Step 2 - Special'!D46)</f>
        <v/>
      </c>
      <c r="L99" s="20" t="str">
        <f>IF('Step 2 - Special'!B46="","","Other Criteria")</f>
        <v/>
      </c>
      <c r="M99" s="19" t="str">
        <f>IF('Step 2 - Special'!B46="","","Equals")</f>
        <v/>
      </c>
      <c r="N99" s="20" t="str">
        <f>IF('Step 2 - Special'!B46="","",'Step 2 - Special'!E46)</f>
        <v/>
      </c>
      <c r="O99" s="20" t="str">
        <f>""</f>
        <v/>
      </c>
      <c r="P99" s="20" t="str">
        <f>""</f>
        <v/>
      </c>
      <c r="Q99" s="20" t="str">
        <f>""</f>
        <v/>
      </c>
      <c r="R99" s="20" t="str">
        <f>""</f>
        <v/>
      </c>
      <c r="S99" s="20" t="str">
        <f>""</f>
        <v/>
      </c>
      <c r="T99" s="20" t="str">
        <f>""</f>
        <v/>
      </c>
      <c r="U99" s="20" t="str">
        <f>IF('Step 2 - Special'!B46="","",'Step 2 - Special'!H46)</f>
        <v/>
      </c>
      <c r="V99" s="19" t="str">
        <f>IF('Step 2 - Special'!B46="","",'Step 2 - Special'!J46)</f>
        <v/>
      </c>
      <c r="W99" s="20" t="str">
        <f>IF('Step 2 - Special'!B46="","",'Step 2 - Special'!K46)</f>
        <v/>
      </c>
      <c r="X99" s="19" t="str">
        <f>IF('Step 2 - Special'!B46="","",'Step 2 - Special'!M46)</f>
        <v/>
      </c>
      <c r="Y99" s="20" t="str">
        <f>""</f>
        <v/>
      </c>
      <c r="Z99" s="20" t="str">
        <f>""</f>
        <v/>
      </c>
      <c r="AA99" s="20" t="str">
        <f>""</f>
        <v/>
      </c>
      <c r="AB99" s="20" t="str">
        <f>""</f>
        <v/>
      </c>
      <c r="AC99" s="20" t="str">
        <f>""</f>
        <v/>
      </c>
      <c r="AD99" s="20" t="str">
        <f>""</f>
        <v/>
      </c>
      <c r="AE99" s="20" t="str">
        <f>""</f>
        <v/>
      </c>
      <c r="AF99" s="20" t="str">
        <f>""</f>
        <v/>
      </c>
      <c r="AG99" s="20" t="str">
        <f>""</f>
        <v/>
      </c>
      <c r="AH99" s="20" t="str">
        <f>""</f>
        <v/>
      </c>
      <c r="AI99" s="20" t="str">
        <f>""</f>
        <v/>
      </c>
      <c r="AJ99" s="20" t="str">
        <f>""</f>
        <v/>
      </c>
      <c r="AK99" s="20" t="str">
        <f>""</f>
        <v/>
      </c>
      <c r="AL99" s="20" t="str">
        <f>""</f>
        <v/>
      </c>
      <c r="AM99" s="20" t="str">
        <f>""</f>
        <v/>
      </c>
    </row>
    <row r="100" spans="1:39" ht="15.75" customHeight="1" x14ac:dyDescent="0.25">
      <c r="A100" s="17" t="str">
        <f>IF('Step 2 - Special'!B47="","","Active")</f>
        <v/>
      </c>
      <c r="B100" s="18" t="str">
        <f>IF('Step 2 - Special'!B47="","",'Step 2 - Special'!B47)</f>
        <v/>
      </c>
      <c r="C100" s="18" t="str">
        <f>IF('Step 2 - Special'!B47="","",'Step 2 - Special'!B47)</f>
        <v/>
      </c>
      <c r="D100" s="17" t="str">
        <f>IF('Step 2 - Special'!B47="","",'Step 2 - Special'!F47)</f>
        <v/>
      </c>
      <c r="E100" s="17" t="str">
        <f>IF('Step 2 - Special'!B47="","",'Step 2 - Special'!G47)</f>
        <v/>
      </c>
      <c r="F100" s="18" t="str">
        <f>IF('Step 2 - Special'!B47="","",IF('Step 2 - Special'!C47="","","Fund Code"))</f>
        <v/>
      </c>
      <c r="G100" s="17" t="str">
        <f>IF('Step 2 - Special'!B47="","",IF('Step 2 - Special'!C47="","","Equals"))</f>
        <v/>
      </c>
      <c r="H100" s="18" t="str">
        <f>IF('Step 2 - Special'!B47="","",IF('Step 2 - Special'!C47="","",'Step 2 - Special'!C47))</f>
        <v/>
      </c>
      <c r="I100" s="18" t="str">
        <f>IF('Step 2 - Special'!B47="","","Organization Code")</f>
        <v/>
      </c>
      <c r="J100" s="17" t="str">
        <f>IF('Step 2 - Special'!B47="","","Equals")</f>
        <v/>
      </c>
      <c r="K100" s="18" t="str">
        <f>IF('Step 2 - Special'!B47="","",'Step 2 - Special'!D47)</f>
        <v/>
      </c>
      <c r="L100" s="18" t="str">
        <f>IF('Step 2 - Special'!B47="","","Other Criteria")</f>
        <v/>
      </c>
      <c r="M100" s="17" t="str">
        <f>IF('Step 2 - Special'!B47="","","Equals")</f>
        <v/>
      </c>
      <c r="N100" s="18" t="str">
        <f>IF('Step 2 - Special'!B47="","",'Step 2 - Special'!E47)</f>
        <v/>
      </c>
      <c r="O100" s="18" t="str">
        <f>""</f>
        <v/>
      </c>
      <c r="P100" s="18" t="str">
        <f>""</f>
        <v/>
      </c>
      <c r="Q100" s="18" t="str">
        <f>""</f>
        <v/>
      </c>
      <c r="R100" s="18" t="str">
        <f>""</f>
        <v/>
      </c>
      <c r="S100" s="18" t="str">
        <f>""</f>
        <v/>
      </c>
      <c r="T100" s="18" t="str">
        <f>""</f>
        <v/>
      </c>
      <c r="U100" s="18" t="str">
        <f>IF('Step 2 - Special'!B47="","",'Step 2 - Special'!H47)</f>
        <v/>
      </c>
      <c r="V100" s="17" t="str">
        <f>IF('Step 2 - Special'!B47="","",'Step 2 - Special'!J47)</f>
        <v/>
      </c>
      <c r="W100" s="18" t="str">
        <f>IF('Step 2 - Special'!B47="","",'Step 2 - Special'!K47)</f>
        <v/>
      </c>
      <c r="X100" s="17" t="str">
        <f>IF('Step 2 - Special'!B47="","",'Step 2 - Special'!M47)</f>
        <v/>
      </c>
      <c r="Y100" s="18" t="str">
        <f>""</f>
        <v/>
      </c>
      <c r="Z100" s="18" t="str">
        <f>""</f>
        <v/>
      </c>
      <c r="AA100" s="18" t="str">
        <f>""</f>
        <v/>
      </c>
      <c r="AB100" s="18" t="str">
        <f>""</f>
        <v/>
      </c>
      <c r="AC100" s="18" t="str">
        <f>""</f>
        <v/>
      </c>
      <c r="AD100" s="18" t="str">
        <f>""</f>
        <v/>
      </c>
      <c r="AE100" s="18" t="str">
        <f>""</f>
        <v/>
      </c>
      <c r="AF100" s="18" t="str">
        <f>""</f>
        <v/>
      </c>
      <c r="AG100" s="18" t="str">
        <f>""</f>
        <v/>
      </c>
      <c r="AH100" s="18" t="str">
        <f>""</f>
        <v/>
      </c>
      <c r="AI100" s="18" t="str">
        <f>""</f>
        <v/>
      </c>
      <c r="AJ100" s="18" t="str">
        <f>""</f>
        <v/>
      </c>
      <c r="AK100" s="18" t="str">
        <f>""</f>
        <v/>
      </c>
      <c r="AL100" s="18" t="str">
        <f>""</f>
        <v/>
      </c>
      <c r="AM100" s="18" t="str">
        <f>""</f>
        <v/>
      </c>
    </row>
    <row r="101" spans="1:39" ht="15.75" customHeight="1" x14ac:dyDescent="0.25">
      <c r="A101" s="19" t="str">
        <f>IF('Step 2 - Special'!B48="","","Active")</f>
        <v/>
      </c>
      <c r="B101" s="20" t="str">
        <f>IF('Step 2 - Special'!B48="","",'Step 2 - Special'!B48)</f>
        <v/>
      </c>
      <c r="C101" s="20" t="str">
        <f>IF('Step 2 - Special'!B48="","",'Step 2 - Special'!B48)</f>
        <v/>
      </c>
      <c r="D101" s="19" t="str">
        <f>IF('Step 2 - Special'!B48="","",'Step 2 - Special'!F48)</f>
        <v/>
      </c>
      <c r="E101" s="19" t="str">
        <f>IF('Step 2 - Special'!B48="","",'Step 2 - Special'!G48)</f>
        <v/>
      </c>
      <c r="F101" s="20" t="str">
        <f>IF('Step 2 - Special'!B48="","",IF('Step 2 - Special'!C48="","","Fund Code"))</f>
        <v/>
      </c>
      <c r="G101" s="19" t="str">
        <f>IF('Step 2 - Special'!B48="","",IF('Step 2 - Special'!C48="","","Equals"))</f>
        <v/>
      </c>
      <c r="H101" s="20" t="str">
        <f>IF('Step 2 - Special'!B48="","",IF('Step 2 - Special'!C48="","",'Step 2 - Special'!C48))</f>
        <v/>
      </c>
      <c r="I101" s="20" t="str">
        <f>IF('Step 2 - Special'!B48="","","Organization Code")</f>
        <v/>
      </c>
      <c r="J101" s="19" t="str">
        <f>IF('Step 2 - Special'!B48="","","Equals")</f>
        <v/>
      </c>
      <c r="K101" s="20" t="str">
        <f>IF('Step 2 - Special'!B48="","",'Step 2 - Special'!D48)</f>
        <v/>
      </c>
      <c r="L101" s="20" t="str">
        <f>IF('Step 2 - Special'!B48="","","Other Criteria")</f>
        <v/>
      </c>
      <c r="M101" s="19" t="str">
        <f>IF('Step 2 - Special'!B48="","","Equals")</f>
        <v/>
      </c>
      <c r="N101" s="20" t="str">
        <f>IF('Step 2 - Special'!B48="","",'Step 2 - Special'!E48)</f>
        <v/>
      </c>
      <c r="O101" s="20" t="str">
        <f>""</f>
        <v/>
      </c>
      <c r="P101" s="20" t="str">
        <f>""</f>
        <v/>
      </c>
      <c r="Q101" s="20" t="str">
        <f>""</f>
        <v/>
      </c>
      <c r="R101" s="20" t="str">
        <f>""</f>
        <v/>
      </c>
      <c r="S101" s="20" t="str">
        <f>""</f>
        <v/>
      </c>
      <c r="T101" s="20" t="str">
        <f>""</f>
        <v/>
      </c>
      <c r="U101" s="20" t="str">
        <f>IF('Step 2 - Special'!B48="","",'Step 2 - Special'!H48)</f>
        <v/>
      </c>
      <c r="V101" s="19" t="str">
        <f>IF('Step 2 - Special'!B48="","",'Step 2 - Special'!J48)</f>
        <v/>
      </c>
      <c r="W101" s="20" t="str">
        <f>IF('Step 2 - Special'!B48="","",'Step 2 - Special'!K48)</f>
        <v/>
      </c>
      <c r="X101" s="19" t="str">
        <f>IF('Step 2 - Special'!B48="","",'Step 2 - Special'!M48)</f>
        <v/>
      </c>
      <c r="Y101" s="20" t="str">
        <f>""</f>
        <v/>
      </c>
      <c r="Z101" s="20" t="str">
        <f>""</f>
        <v/>
      </c>
      <c r="AA101" s="20" t="str">
        <f>""</f>
        <v/>
      </c>
      <c r="AB101" s="20" t="str">
        <f>""</f>
        <v/>
      </c>
      <c r="AC101" s="20" t="str">
        <f>""</f>
        <v/>
      </c>
      <c r="AD101" s="20" t="str">
        <f>""</f>
        <v/>
      </c>
      <c r="AE101" s="20" t="str">
        <f>""</f>
        <v/>
      </c>
      <c r="AF101" s="20" t="str">
        <f>""</f>
        <v/>
      </c>
      <c r="AG101" s="20" t="str">
        <f>""</f>
        <v/>
      </c>
      <c r="AH101" s="20" t="str">
        <f>""</f>
        <v/>
      </c>
      <c r="AI101" s="20" t="str">
        <f>""</f>
        <v/>
      </c>
      <c r="AJ101" s="20" t="str">
        <f>""</f>
        <v/>
      </c>
      <c r="AK101" s="20" t="str">
        <f>""</f>
        <v/>
      </c>
      <c r="AL101" s="20" t="str">
        <f>""</f>
        <v/>
      </c>
      <c r="AM101" s="20" t="str">
        <f>""</f>
        <v/>
      </c>
    </row>
    <row r="102" spans="1:39" ht="15.75" customHeight="1" x14ac:dyDescent="0.25">
      <c r="A102" s="17" t="str">
        <f>IF('Step 2 - Special'!B49="","","Active")</f>
        <v/>
      </c>
      <c r="B102" s="18" t="str">
        <f>IF('Step 2 - Special'!B49="","",'Step 2 - Special'!B49)</f>
        <v/>
      </c>
      <c r="C102" s="18" t="str">
        <f>IF('Step 2 - Special'!B49="","",'Step 2 - Special'!B49)</f>
        <v/>
      </c>
      <c r="D102" s="17" t="str">
        <f>IF('Step 2 - Special'!B49="","",'Step 2 - Special'!F49)</f>
        <v/>
      </c>
      <c r="E102" s="17" t="str">
        <f>IF('Step 2 - Special'!B49="","",'Step 2 - Special'!G49)</f>
        <v/>
      </c>
      <c r="F102" s="18" t="str">
        <f>IF('Step 2 - Special'!B49="","",IF('Step 2 - Special'!C49="","","Fund Code"))</f>
        <v/>
      </c>
      <c r="G102" s="17" t="str">
        <f>IF('Step 2 - Special'!B49="","",IF('Step 2 - Special'!C49="","","Equals"))</f>
        <v/>
      </c>
      <c r="H102" s="18" t="str">
        <f>IF('Step 2 - Special'!B49="","",IF('Step 2 - Special'!C49="","",'Step 2 - Special'!C49))</f>
        <v/>
      </c>
      <c r="I102" s="18" t="str">
        <f>IF('Step 2 - Special'!B49="","","Organization Code")</f>
        <v/>
      </c>
      <c r="J102" s="17" t="str">
        <f>IF('Step 2 - Special'!B49="","","Equals")</f>
        <v/>
      </c>
      <c r="K102" s="18" t="str">
        <f>IF('Step 2 - Special'!B49="","",'Step 2 - Special'!D49)</f>
        <v/>
      </c>
      <c r="L102" s="18" t="str">
        <f>IF('Step 2 - Special'!B49="","","Other Criteria")</f>
        <v/>
      </c>
      <c r="M102" s="17" t="str">
        <f>IF('Step 2 - Special'!B49="","","Equals")</f>
        <v/>
      </c>
      <c r="N102" s="18" t="str">
        <f>IF('Step 2 - Special'!B49="","",'Step 2 - Special'!E49)</f>
        <v/>
      </c>
      <c r="O102" s="18" t="str">
        <f>""</f>
        <v/>
      </c>
      <c r="P102" s="18" t="str">
        <f>""</f>
        <v/>
      </c>
      <c r="Q102" s="18" t="str">
        <f>""</f>
        <v/>
      </c>
      <c r="R102" s="18" t="str">
        <f>""</f>
        <v/>
      </c>
      <c r="S102" s="18" t="str">
        <f>""</f>
        <v/>
      </c>
      <c r="T102" s="18" t="str">
        <f>""</f>
        <v/>
      </c>
      <c r="U102" s="18" t="str">
        <f>IF('Step 2 - Special'!B49="","",'Step 2 - Special'!H49)</f>
        <v/>
      </c>
      <c r="V102" s="17" t="str">
        <f>IF('Step 2 - Special'!B49="","",'Step 2 - Special'!J49)</f>
        <v/>
      </c>
      <c r="W102" s="18" t="str">
        <f>IF('Step 2 - Special'!B49="","",'Step 2 - Special'!K49)</f>
        <v/>
      </c>
      <c r="X102" s="17" t="str">
        <f>IF('Step 2 - Special'!B49="","",'Step 2 - Special'!M49)</f>
        <v/>
      </c>
      <c r="Y102" s="18" t="str">
        <f>""</f>
        <v/>
      </c>
      <c r="Z102" s="18" t="str">
        <f>""</f>
        <v/>
      </c>
      <c r="AA102" s="18" t="str">
        <f>""</f>
        <v/>
      </c>
      <c r="AB102" s="18" t="str">
        <f>""</f>
        <v/>
      </c>
      <c r="AC102" s="18" t="str">
        <f>""</f>
        <v/>
      </c>
      <c r="AD102" s="18" t="str">
        <f>""</f>
        <v/>
      </c>
      <c r="AE102" s="18" t="str">
        <f>""</f>
        <v/>
      </c>
      <c r="AF102" s="18" t="str">
        <f>""</f>
        <v/>
      </c>
      <c r="AG102" s="18" t="str">
        <f>""</f>
        <v/>
      </c>
      <c r="AH102" s="18" t="str">
        <f>""</f>
        <v/>
      </c>
      <c r="AI102" s="18" t="str">
        <f>""</f>
        <v/>
      </c>
      <c r="AJ102" s="18" t="str">
        <f>""</f>
        <v/>
      </c>
      <c r="AK102" s="18" t="str">
        <f>""</f>
        <v/>
      </c>
      <c r="AL102" s="18" t="str">
        <f>""</f>
        <v/>
      </c>
      <c r="AM102" s="18" t="str">
        <f>""</f>
        <v/>
      </c>
    </row>
    <row r="103" spans="1:39" ht="15.75" customHeight="1" x14ac:dyDescent="0.25">
      <c r="A103" s="19" t="str">
        <f>IF('Step 2 - Special'!B50="","","Active")</f>
        <v/>
      </c>
      <c r="B103" s="20" t="str">
        <f>IF('Step 2 - Special'!B50="","",'Step 2 - Special'!B50)</f>
        <v/>
      </c>
      <c r="C103" s="20" t="str">
        <f>IF('Step 2 - Special'!B50="","",'Step 2 - Special'!B50)</f>
        <v/>
      </c>
      <c r="D103" s="19" t="str">
        <f>IF('Step 2 - Special'!B50="","",'Step 2 - Special'!F50)</f>
        <v/>
      </c>
      <c r="E103" s="19" t="str">
        <f>IF('Step 2 - Special'!B50="","",'Step 2 - Special'!G50)</f>
        <v/>
      </c>
      <c r="F103" s="20" t="str">
        <f>IF('Step 2 - Special'!B50="","",IF('Step 2 - Special'!C50="","","Fund Code"))</f>
        <v/>
      </c>
      <c r="G103" s="19" t="str">
        <f>IF('Step 2 - Special'!B50="","",IF('Step 2 - Special'!C50="","","Equals"))</f>
        <v/>
      </c>
      <c r="H103" s="20" t="str">
        <f>IF('Step 2 - Special'!B50="","",IF('Step 2 - Special'!C50="","",'Step 2 - Special'!C50))</f>
        <v/>
      </c>
      <c r="I103" s="20" t="str">
        <f>IF('Step 2 - Special'!B50="","","Organization Code")</f>
        <v/>
      </c>
      <c r="J103" s="19" t="str">
        <f>IF('Step 2 - Special'!B50="","","Equals")</f>
        <v/>
      </c>
      <c r="K103" s="20" t="str">
        <f>IF('Step 2 - Special'!B50="","",'Step 2 - Special'!D50)</f>
        <v/>
      </c>
      <c r="L103" s="20" t="str">
        <f>IF('Step 2 - Special'!B50="","","Other Criteria")</f>
        <v/>
      </c>
      <c r="M103" s="19" t="str">
        <f>IF('Step 2 - Special'!B50="","","Equals")</f>
        <v/>
      </c>
      <c r="N103" s="20" t="str">
        <f>IF('Step 2 - Special'!B50="","",'Step 2 - Special'!E50)</f>
        <v/>
      </c>
      <c r="O103" s="20" t="str">
        <f>""</f>
        <v/>
      </c>
      <c r="P103" s="20" t="str">
        <f>""</f>
        <v/>
      </c>
      <c r="Q103" s="20" t="str">
        <f>""</f>
        <v/>
      </c>
      <c r="R103" s="20" t="str">
        <f>""</f>
        <v/>
      </c>
      <c r="S103" s="20" t="str">
        <f>""</f>
        <v/>
      </c>
      <c r="T103" s="20" t="str">
        <f>""</f>
        <v/>
      </c>
      <c r="U103" s="20" t="str">
        <f>IF('Step 2 - Special'!B50="","",'Step 2 - Special'!H50)</f>
        <v/>
      </c>
      <c r="V103" s="19" t="str">
        <f>IF('Step 2 - Special'!B50="","",'Step 2 - Special'!J50)</f>
        <v/>
      </c>
      <c r="W103" s="20" t="str">
        <f>IF('Step 2 - Special'!B50="","",'Step 2 - Special'!K50)</f>
        <v/>
      </c>
      <c r="X103" s="19" t="str">
        <f>IF('Step 2 - Special'!B50="","",'Step 2 - Special'!M50)</f>
        <v/>
      </c>
      <c r="Y103" s="20" t="str">
        <f>""</f>
        <v/>
      </c>
      <c r="Z103" s="20" t="str">
        <f>""</f>
        <v/>
      </c>
      <c r="AA103" s="20" t="str">
        <f>""</f>
        <v/>
      </c>
      <c r="AB103" s="20" t="str">
        <f>""</f>
        <v/>
      </c>
      <c r="AC103" s="20" t="str">
        <f>""</f>
        <v/>
      </c>
      <c r="AD103" s="20" t="str">
        <f>""</f>
        <v/>
      </c>
      <c r="AE103" s="20" t="str">
        <f>""</f>
        <v/>
      </c>
      <c r="AF103" s="20" t="str">
        <f>""</f>
        <v/>
      </c>
      <c r="AG103" s="20" t="str">
        <f>""</f>
        <v/>
      </c>
      <c r="AH103" s="20" t="str">
        <f>""</f>
        <v/>
      </c>
      <c r="AI103" s="20" t="str">
        <f>""</f>
        <v/>
      </c>
      <c r="AJ103" s="20" t="str">
        <f>""</f>
        <v/>
      </c>
      <c r="AK103" s="20" t="str">
        <f>""</f>
        <v/>
      </c>
      <c r="AL103" s="20" t="str">
        <f>""</f>
        <v/>
      </c>
      <c r="AM103" s="20" t="str">
        <f>""</f>
        <v/>
      </c>
    </row>
    <row r="104" spans="1:39" ht="15.75" customHeight="1" x14ac:dyDescent="0.25">
      <c r="A104" s="17" t="str">
        <f>IF('Step 2 - Special'!B51="","","Active")</f>
        <v/>
      </c>
      <c r="B104" s="18" t="str">
        <f>IF('Step 2 - Special'!B51="","",'Step 2 - Special'!B51)</f>
        <v/>
      </c>
      <c r="C104" s="18" t="str">
        <f>IF('Step 2 - Special'!B51="","",'Step 2 - Special'!B51)</f>
        <v/>
      </c>
      <c r="D104" s="17" t="str">
        <f>IF('Step 2 - Special'!B51="","",'Step 2 - Special'!F51)</f>
        <v/>
      </c>
      <c r="E104" s="17" t="str">
        <f>IF('Step 2 - Special'!B51="","",'Step 2 - Special'!G51)</f>
        <v/>
      </c>
      <c r="F104" s="18" t="str">
        <f>IF('Step 2 - Special'!B51="","",IF('Step 2 - Special'!C51="","","Fund Code"))</f>
        <v/>
      </c>
      <c r="G104" s="17" t="str">
        <f>IF('Step 2 - Special'!B51="","",IF('Step 2 - Special'!C51="","","Equals"))</f>
        <v/>
      </c>
      <c r="H104" s="18" t="str">
        <f>IF('Step 2 - Special'!B51="","",IF('Step 2 - Special'!C51="","",'Step 2 - Special'!C51))</f>
        <v/>
      </c>
      <c r="I104" s="18" t="str">
        <f>IF('Step 2 - Special'!B51="","","Organization Code")</f>
        <v/>
      </c>
      <c r="J104" s="17" t="str">
        <f>IF('Step 2 - Special'!B51="","","Equals")</f>
        <v/>
      </c>
      <c r="K104" s="18" t="str">
        <f>IF('Step 2 - Special'!B51="","",'Step 2 - Special'!D51)</f>
        <v/>
      </c>
      <c r="L104" s="18" t="str">
        <f>IF('Step 2 - Special'!B51="","","Other Criteria")</f>
        <v/>
      </c>
      <c r="M104" s="17" t="str">
        <f>IF('Step 2 - Special'!B51="","","Equals")</f>
        <v/>
      </c>
      <c r="N104" s="18" t="str">
        <f>IF('Step 2 - Special'!B51="","",'Step 2 - Special'!E51)</f>
        <v/>
      </c>
      <c r="O104" s="18" t="str">
        <f>""</f>
        <v/>
      </c>
      <c r="P104" s="18" t="str">
        <f>""</f>
        <v/>
      </c>
      <c r="Q104" s="18" t="str">
        <f>""</f>
        <v/>
      </c>
      <c r="R104" s="18" t="str">
        <f>""</f>
        <v/>
      </c>
      <c r="S104" s="18" t="str">
        <f>""</f>
        <v/>
      </c>
      <c r="T104" s="18" t="str">
        <f>""</f>
        <v/>
      </c>
      <c r="U104" s="18" t="str">
        <f>IF('Step 2 - Special'!B51="","",'Step 2 - Special'!H51)</f>
        <v/>
      </c>
      <c r="V104" s="17" t="str">
        <f>IF('Step 2 - Special'!B51="","",'Step 2 - Special'!J51)</f>
        <v/>
      </c>
      <c r="W104" s="18" t="str">
        <f>IF('Step 2 - Special'!B51="","",'Step 2 - Special'!K51)</f>
        <v/>
      </c>
      <c r="X104" s="17" t="str">
        <f>IF('Step 2 - Special'!B51="","",'Step 2 - Special'!M51)</f>
        <v/>
      </c>
      <c r="Y104" s="18" t="str">
        <f>""</f>
        <v/>
      </c>
      <c r="Z104" s="18" t="str">
        <f>""</f>
        <v/>
      </c>
      <c r="AA104" s="18" t="str">
        <f>""</f>
        <v/>
      </c>
      <c r="AB104" s="18" t="str">
        <f>""</f>
        <v/>
      </c>
      <c r="AC104" s="18" t="str">
        <f>""</f>
        <v/>
      </c>
      <c r="AD104" s="18" t="str">
        <f>""</f>
        <v/>
      </c>
      <c r="AE104" s="18" t="str">
        <f>""</f>
        <v/>
      </c>
      <c r="AF104" s="18" t="str">
        <f>""</f>
        <v/>
      </c>
      <c r="AG104" s="18" t="str">
        <f>""</f>
        <v/>
      </c>
      <c r="AH104" s="18" t="str">
        <f>""</f>
        <v/>
      </c>
      <c r="AI104" s="18" t="str">
        <f>""</f>
        <v/>
      </c>
      <c r="AJ104" s="18" t="str">
        <f>""</f>
        <v/>
      </c>
      <c r="AK104" s="18" t="str">
        <f>""</f>
        <v/>
      </c>
      <c r="AL104" s="18" t="str">
        <f>""</f>
        <v/>
      </c>
      <c r="AM104" s="18" t="str">
        <f>""</f>
        <v/>
      </c>
    </row>
    <row r="105" spans="1:39" ht="15.75" customHeight="1" x14ac:dyDescent="0.25">
      <c r="A105" s="19" t="str">
        <f>IF('Step 2 - Special'!B52="","","Active")</f>
        <v/>
      </c>
      <c r="B105" s="20" t="str">
        <f>IF('Step 2 - Special'!B52="","",'Step 2 - Special'!B52)</f>
        <v/>
      </c>
      <c r="C105" s="20" t="str">
        <f>IF('Step 2 - Special'!B52="","",'Step 2 - Special'!B52)</f>
        <v/>
      </c>
      <c r="D105" s="19" t="str">
        <f>IF('Step 2 - Special'!B52="","",'Step 2 - Special'!F52)</f>
        <v/>
      </c>
      <c r="E105" s="19" t="str">
        <f>IF('Step 2 - Special'!B52="","",'Step 2 - Special'!G52)</f>
        <v/>
      </c>
      <c r="F105" s="20" t="str">
        <f>IF('Step 2 - Special'!B52="","",IF('Step 2 - Special'!C52="","","Fund Code"))</f>
        <v/>
      </c>
      <c r="G105" s="19" t="str">
        <f>IF('Step 2 - Special'!B52="","",IF('Step 2 - Special'!C52="","","Equals"))</f>
        <v/>
      </c>
      <c r="H105" s="20" t="str">
        <f>IF('Step 2 - Special'!B52="","",IF('Step 2 - Special'!C52="","",'Step 2 - Special'!C52))</f>
        <v/>
      </c>
      <c r="I105" s="20" t="str">
        <f>IF('Step 2 - Special'!B52="","","Organization Code")</f>
        <v/>
      </c>
      <c r="J105" s="19" t="str">
        <f>IF('Step 2 - Special'!B52="","","Equals")</f>
        <v/>
      </c>
      <c r="K105" s="20" t="str">
        <f>IF('Step 2 - Special'!B52="","",'Step 2 - Special'!D52)</f>
        <v/>
      </c>
      <c r="L105" s="20" t="str">
        <f>IF('Step 2 - Special'!B52="","","Other Criteria")</f>
        <v/>
      </c>
      <c r="M105" s="19" t="str">
        <f>IF('Step 2 - Special'!B52="","","Equals")</f>
        <v/>
      </c>
      <c r="N105" s="20" t="str">
        <f>IF('Step 2 - Special'!B52="","",'Step 2 - Special'!E52)</f>
        <v/>
      </c>
      <c r="O105" s="20" t="str">
        <f>""</f>
        <v/>
      </c>
      <c r="P105" s="20" t="str">
        <f>""</f>
        <v/>
      </c>
      <c r="Q105" s="20" t="str">
        <f>""</f>
        <v/>
      </c>
      <c r="R105" s="20" t="str">
        <f>""</f>
        <v/>
      </c>
      <c r="S105" s="20" t="str">
        <f>""</f>
        <v/>
      </c>
      <c r="T105" s="20" t="str">
        <f>""</f>
        <v/>
      </c>
      <c r="U105" s="20" t="str">
        <f>IF('Step 2 - Special'!B52="","",'Step 2 - Special'!H52)</f>
        <v/>
      </c>
      <c r="V105" s="19" t="str">
        <f>IF('Step 2 - Special'!B52="","",'Step 2 - Special'!J52)</f>
        <v/>
      </c>
      <c r="W105" s="20" t="str">
        <f>IF('Step 2 - Special'!B52="","",'Step 2 - Special'!K52)</f>
        <v/>
      </c>
      <c r="X105" s="19" t="str">
        <f>IF('Step 2 - Special'!B52="","",'Step 2 - Special'!M52)</f>
        <v/>
      </c>
      <c r="Y105" s="20" t="str">
        <f>""</f>
        <v/>
      </c>
      <c r="Z105" s="20" t="str">
        <f>""</f>
        <v/>
      </c>
      <c r="AA105" s="20" t="str">
        <f>""</f>
        <v/>
      </c>
      <c r="AB105" s="20" t="str">
        <f>""</f>
        <v/>
      </c>
      <c r="AC105" s="20" t="str">
        <f>""</f>
        <v/>
      </c>
      <c r="AD105" s="20" t="str">
        <f>""</f>
        <v/>
      </c>
      <c r="AE105" s="20" t="str">
        <f>""</f>
        <v/>
      </c>
      <c r="AF105" s="20" t="str">
        <f>""</f>
        <v/>
      </c>
      <c r="AG105" s="20" t="str">
        <f>""</f>
        <v/>
      </c>
      <c r="AH105" s="20" t="str">
        <f>""</f>
        <v/>
      </c>
      <c r="AI105" s="20" t="str">
        <f>""</f>
        <v/>
      </c>
      <c r="AJ105" s="20" t="str">
        <f>""</f>
        <v/>
      </c>
      <c r="AK105" s="20" t="str">
        <f>""</f>
        <v/>
      </c>
      <c r="AL105" s="20" t="str">
        <f>""</f>
        <v/>
      </c>
      <c r="AM105" s="20" t="str">
        <f>""</f>
        <v/>
      </c>
    </row>
    <row r="106" spans="1:39" ht="15.75" customHeight="1" x14ac:dyDescent="0.25">
      <c r="A106" s="17" t="str">
        <f>IF('Step 2 - Special'!B53="","","Active")</f>
        <v/>
      </c>
      <c r="B106" s="18" t="str">
        <f>IF('Step 2 - Special'!B53="","",'Step 2 - Special'!B53)</f>
        <v/>
      </c>
      <c r="C106" s="18" t="str">
        <f>IF('Step 2 - Special'!B53="","",'Step 2 - Special'!B53)</f>
        <v/>
      </c>
      <c r="D106" s="17" t="str">
        <f>IF('Step 2 - Special'!B53="","",'Step 2 - Special'!F53)</f>
        <v/>
      </c>
      <c r="E106" s="17" t="str">
        <f>IF('Step 2 - Special'!B53="","",'Step 2 - Special'!G53)</f>
        <v/>
      </c>
      <c r="F106" s="18" t="str">
        <f>IF('Step 2 - Special'!B53="","",IF('Step 2 - Special'!C53="","","Fund Code"))</f>
        <v/>
      </c>
      <c r="G106" s="17" t="str">
        <f>IF('Step 2 - Special'!B53="","",IF('Step 2 - Special'!C53="","","Equals"))</f>
        <v/>
      </c>
      <c r="H106" s="18" t="str">
        <f>IF('Step 2 - Special'!B53="","",IF('Step 2 - Special'!C53="","",'Step 2 - Special'!C53))</f>
        <v/>
      </c>
      <c r="I106" s="18" t="str">
        <f>IF('Step 2 - Special'!B53="","","Organization Code")</f>
        <v/>
      </c>
      <c r="J106" s="17" t="str">
        <f>IF('Step 2 - Special'!B53="","","Equals")</f>
        <v/>
      </c>
      <c r="K106" s="18" t="str">
        <f>IF('Step 2 - Special'!B53="","",'Step 2 - Special'!D53)</f>
        <v/>
      </c>
      <c r="L106" s="18" t="str">
        <f>IF('Step 2 - Special'!B53="","","Other Criteria")</f>
        <v/>
      </c>
      <c r="M106" s="17" t="str">
        <f>IF('Step 2 - Special'!B53="","","Equals")</f>
        <v/>
      </c>
      <c r="N106" s="18" t="str">
        <f>IF('Step 2 - Special'!B53="","",'Step 2 - Special'!E53)</f>
        <v/>
      </c>
      <c r="O106" s="18" t="str">
        <f>""</f>
        <v/>
      </c>
      <c r="P106" s="18" t="str">
        <f>""</f>
        <v/>
      </c>
      <c r="Q106" s="18" t="str">
        <f>""</f>
        <v/>
      </c>
      <c r="R106" s="18" t="str">
        <f>""</f>
        <v/>
      </c>
      <c r="S106" s="18" t="str">
        <f>""</f>
        <v/>
      </c>
      <c r="T106" s="18" t="str">
        <f>""</f>
        <v/>
      </c>
      <c r="U106" s="18" t="str">
        <f>IF('Step 2 - Special'!B53="","",'Step 2 - Special'!H53)</f>
        <v/>
      </c>
      <c r="V106" s="17" t="str">
        <f>IF('Step 2 - Special'!B53="","",'Step 2 - Special'!J53)</f>
        <v/>
      </c>
      <c r="W106" s="18" t="str">
        <f>IF('Step 2 - Special'!B53="","",'Step 2 - Special'!K53)</f>
        <v/>
      </c>
      <c r="X106" s="17" t="str">
        <f>IF('Step 2 - Special'!B53="","",'Step 2 - Special'!M53)</f>
        <v/>
      </c>
      <c r="Y106" s="18" t="str">
        <f>""</f>
        <v/>
      </c>
      <c r="Z106" s="18" t="str">
        <f>""</f>
        <v/>
      </c>
      <c r="AA106" s="18" t="str">
        <f>""</f>
        <v/>
      </c>
      <c r="AB106" s="18" t="str">
        <f>""</f>
        <v/>
      </c>
      <c r="AC106" s="18" t="str">
        <f>""</f>
        <v/>
      </c>
      <c r="AD106" s="18" t="str">
        <f>""</f>
        <v/>
      </c>
      <c r="AE106" s="18" t="str">
        <f>""</f>
        <v/>
      </c>
      <c r="AF106" s="18" t="str">
        <f>""</f>
        <v/>
      </c>
      <c r="AG106" s="18" t="str">
        <f>""</f>
        <v/>
      </c>
      <c r="AH106" s="18" t="str">
        <f>""</f>
        <v/>
      </c>
      <c r="AI106" s="18" t="str">
        <f>""</f>
        <v/>
      </c>
      <c r="AJ106" s="18" t="str">
        <f>""</f>
        <v/>
      </c>
      <c r="AK106" s="18" t="str">
        <f>""</f>
        <v/>
      </c>
      <c r="AL106" s="18" t="str">
        <f>""</f>
        <v/>
      </c>
      <c r="AM106" s="18" t="str">
        <f>""</f>
        <v/>
      </c>
    </row>
    <row r="107" spans="1:39" ht="13.5" customHeight="1" x14ac:dyDescent="0.25">
      <c r="A107" s="29" t="s">
        <v>189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</row>
    <row r="108" spans="1:39" ht="15.75" customHeight="1" x14ac:dyDescent="0.25">
      <c r="A108" s="17" t="str">
        <f>IF('Step 3 - Dean-Director-AVP'!B5="","","Active")</f>
        <v/>
      </c>
      <c r="B108" s="18" t="str">
        <f>IF('Step 3 - Dean-Director-AVP'!B5="","",'Step 3 - Dean-Director-AVP'!B5)</f>
        <v/>
      </c>
      <c r="C108" s="18" t="str">
        <f>IF('Step 3 - Dean-Director-AVP'!B5="","",'Step 3 - Dean-Director-AVP'!B5)</f>
        <v/>
      </c>
      <c r="D108" s="17" t="str">
        <f>IF('Step 3 - Dean-Director-AVP'!B5="","",'Step 3 - Dean-Director-AVP'!G5)</f>
        <v/>
      </c>
      <c r="E108" s="17" t="str">
        <f>IF('Step 3 - Dean-Director-AVP'!B5="","",'Step 3 - Dean-Director-AVP'!H5)</f>
        <v/>
      </c>
      <c r="F108" s="18" t="str">
        <f>IF('Step 3 - Dean-Director-AVP'!B5="","",IF('Step 3 - Dean-Director-AVP'!C5="","","Fund Code"))</f>
        <v/>
      </c>
      <c r="G108" s="17" t="str">
        <f>IF('Step 3 - Dean-Director-AVP'!B5="","",IF('Step 3 - Dean-Director-AVP'!C5="","","Equals"))</f>
        <v/>
      </c>
      <c r="H108" s="18" t="str">
        <f>IF('Step 3 - Dean-Director-AVP'!B5="","",IF('Step 3 - Dean-Director-AVP'!C5="","",'Step 3 - Dean-Director-AVP'!C5))</f>
        <v/>
      </c>
      <c r="I108" s="18" t="str">
        <f>IF('Step 3 - Dean-Director-AVP'!B5="","","Organization Code")</f>
        <v/>
      </c>
      <c r="J108" s="17" t="str">
        <f>IF('Step 3 - Dean-Director-AVP'!B5="","","Equals")</f>
        <v/>
      </c>
      <c r="K108" s="18" t="str">
        <f>IF('Step 3 - Dean-Director-AVP'!B5="","",'Step 3 - Dean-Director-AVP'!D5)</f>
        <v/>
      </c>
      <c r="L108" s="18" t="str">
        <f>IF('Step 3 - Dean-Director-AVP'!B5="","","Other Criteria")</f>
        <v/>
      </c>
      <c r="M108" s="17" t="str">
        <f>IF('Step 3 - Dean-Director-AVP'!B5="","","Equals")</f>
        <v/>
      </c>
      <c r="N108" s="18" t="str">
        <f>IF('Step 3 - Dean-Director-AVP'!B5="","",'Step 3 - Dean-Director-AVP'!E5)</f>
        <v/>
      </c>
      <c r="O108" s="18" t="str">
        <f>IF('Step 3 - Dean-Director-AVP'!B5="","",IF('Step 3 - Dean-Director-AVP'!F5="","","Total"))</f>
        <v/>
      </c>
      <c r="P108" s="17" t="str">
        <f>IF('Step 3 - Dean-Director-AVP'!B5="","",IF('Step 3 - Dean-Director-AVP'!F5="","","&gt;="))</f>
        <v/>
      </c>
      <c r="Q108" s="18" t="str">
        <f>IF('Step 3 - Dean-Director-AVP'!B5="","",IF('Step 3 - Dean-Director-AVP'!F5="","",'Step 3 - Dean-Director-AVP'!F5))</f>
        <v/>
      </c>
      <c r="R108" s="18" t="str">
        <f>""</f>
        <v/>
      </c>
      <c r="S108" s="18" t="str">
        <f>""</f>
        <v/>
      </c>
      <c r="T108" s="18" t="str">
        <f>""</f>
        <v/>
      </c>
      <c r="U108" s="18" t="str">
        <f>IF('Step 3 - Dean-Director-AVP'!B5="","",'Step 3 - Dean-Director-AVP'!I5)</f>
        <v/>
      </c>
      <c r="V108" s="17" t="str">
        <f>IF('Step 3 - Dean-Director-AVP'!B5="","",'Step 3 - Dean-Director-AVP'!K5)</f>
        <v/>
      </c>
      <c r="W108" s="18" t="str">
        <f>IF('Step 3 - Dean-Director-AVP'!B5="","",'Step 3 - Dean-Director-AVP'!L5)</f>
        <v/>
      </c>
      <c r="X108" s="17" t="str">
        <f>IF('Step 3 - Dean-Director-AVP'!B5="","",'Step 3 - Dean-Director-AVP'!N5)</f>
        <v/>
      </c>
      <c r="Y108" s="18" t="str">
        <f>""</f>
        <v/>
      </c>
      <c r="Z108" s="18" t="str">
        <f>""</f>
        <v/>
      </c>
      <c r="AA108" s="18" t="str">
        <f>""</f>
        <v/>
      </c>
      <c r="AB108" s="18" t="str">
        <f>""</f>
        <v/>
      </c>
      <c r="AC108" s="18" t="str">
        <f>""</f>
        <v/>
      </c>
      <c r="AD108" s="18" t="str">
        <f>""</f>
        <v/>
      </c>
      <c r="AE108" s="18" t="str">
        <f>""</f>
        <v/>
      </c>
      <c r="AF108" s="18" t="str">
        <f>""</f>
        <v/>
      </c>
      <c r="AG108" s="18" t="str">
        <f>""</f>
        <v/>
      </c>
      <c r="AH108" s="18" t="str">
        <f>""</f>
        <v/>
      </c>
      <c r="AI108" s="18" t="str">
        <f>""</f>
        <v/>
      </c>
      <c r="AJ108" s="18" t="str">
        <f>""</f>
        <v/>
      </c>
      <c r="AK108" s="18" t="str">
        <f>""</f>
        <v/>
      </c>
      <c r="AL108" s="18" t="str">
        <f>""</f>
        <v/>
      </c>
      <c r="AM108" s="18" t="str">
        <f>""</f>
        <v/>
      </c>
    </row>
    <row r="109" spans="1:39" ht="15.75" customHeight="1" x14ac:dyDescent="0.25">
      <c r="A109" s="19" t="str">
        <f>IF('Step 3 - Dean-Director-AVP'!B6="","","Active")</f>
        <v/>
      </c>
      <c r="B109" s="20" t="str">
        <f>IF('Step 3 - Dean-Director-AVP'!B6="","",'Step 3 - Dean-Director-AVP'!B6)</f>
        <v/>
      </c>
      <c r="C109" s="20" t="str">
        <f>IF('Step 3 - Dean-Director-AVP'!B6="","",'Step 3 - Dean-Director-AVP'!B6)</f>
        <v/>
      </c>
      <c r="D109" s="19" t="str">
        <f>IF('Step 3 - Dean-Director-AVP'!B6="","",'Step 3 - Dean-Director-AVP'!G6)</f>
        <v/>
      </c>
      <c r="E109" s="19" t="str">
        <f>IF('Step 3 - Dean-Director-AVP'!B6="","",'Step 3 - Dean-Director-AVP'!H6)</f>
        <v/>
      </c>
      <c r="F109" s="20" t="str">
        <f>IF('Step 3 - Dean-Director-AVP'!B6="","",IF('Step 3 - Dean-Director-AVP'!C6="","","Fund Code"))</f>
        <v/>
      </c>
      <c r="G109" s="19" t="str">
        <f>IF('Step 3 - Dean-Director-AVP'!B6="","",IF('Step 3 - Dean-Director-AVP'!C6="","","Equals"))</f>
        <v/>
      </c>
      <c r="H109" s="20" t="str">
        <f>IF('Step 3 - Dean-Director-AVP'!B6="","",IF('Step 3 - Dean-Director-AVP'!C6="","",'Step 3 - Dean-Director-AVP'!C6))</f>
        <v/>
      </c>
      <c r="I109" s="20" t="str">
        <f>IF('Step 3 - Dean-Director-AVP'!B6="","","Organization Code")</f>
        <v/>
      </c>
      <c r="J109" s="19" t="str">
        <f>IF('Step 3 - Dean-Director-AVP'!B6="","","Equals")</f>
        <v/>
      </c>
      <c r="K109" s="20" t="str">
        <f>IF('Step 3 - Dean-Director-AVP'!B6="","",'Step 3 - Dean-Director-AVP'!D6)</f>
        <v/>
      </c>
      <c r="L109" s="20" t="str">
        <f>IF('Step 3 - Dean-Director-AVP'!B6="","","Other Criteria")</f>
        <v/>
      </c>
      <c r="M109" s="19" t="str">
        <f>IF('Step 3 - Dean-Director-AVP'!B6="","","Equals")</f>
        <v/>
      </c>
      <c r="N109" s="20" t="str">
        <f>IF('Step 3 - Dean-Director-AVP'!B6="","",'Step 3 - Dean-Director-AVP'!E6)</f>
        <v/>
      </c>
      <c r="O109" s="20" t="str">
        <f>IF('Step 3 - Dean-Director-AVP'!B6="","",IF('Step 3 - Dean-Director-AVP'!F6="","","Total"))</f>
        <v/>
      </c>
      <c r="P109" s="19" t="str">
        <f>IF('Step 3 - Dean-Director-AVP'!B6="","",IF('Step 3 - Dean-Director-AVP'!F6="","","&gt;="))</f>
        <v/>
      </c>
      <c r="Q109" s="20" t="str">
        <f>IF('Step 3 - Dean-Director-AVP'!B6="","",IF('Step 3 - Dean-Director-AVP'!F6="","",'Step 3 - Dean-Director-AVP'!F6))</f>
        <v/>
      </c>
      <c r="R109" s="20" t="str">
        <f>""</f>
        <v/>
      </c>
      <c r="S109" s="20" t="str">
        <f>""</f>
        <v/>
      </c>
      <c r="T109" s="20" t="str">
        <f>""</f>
        <v/>
      </c>
      <c r="U109" s="20" t="str">
        <f>IF('Step 3 - Dean-Director-AVP'!B6="","",'Step 3 - Dean-Director-AVP'!I6)</f>
        <v/>
      </c>
      <c r="V109" s="19" t="str">
        <f>IF('Step 3 - Dean-Director-AVP'!B6="","",'Step 3 - Dean-Director-AVP'!K6)</f>
        <v/>
      </c>
      <c r="W109" s="20" t="str">
        <f>IF('Step 3 - Dean-Director-AVP'!B6="","",'Step 3 - Dean-Director-AVP'!L6)</f>
        <v/>
      </c>
      <c r="X109" s="19" t="str">
        <f>IF('Step 3 - Dean-Director-AVP'!B6="","",'Step 3 - Dean-Director-AVP'!N6)</f>
        <v/>
      </c>
      <c r="Y109" s="20" t="str">
        <f>""</f>
        <v/>
      </c>
      <c r="Z109" s="20" t="str">
        <f>""</f>
        <v/>
      </c>
      <c r="AA109" s="20" t="str">
        <f>""</f>
        <v/>
      </c>
      <c r="AB109" s="20" t="str">
        <f>""</f>
        <v/>
      </c>
      <c r="AC109" s="20" t="str">
        <f>""</f>
        <v/>
      </c>
      <c r="AD109" s="20" t="str">
        <f>""</f>
        <v/>
      </c>
      <c r="AE109" s="20" t="str">
        <f>""</f>
        <v/>
      </c>
      <c r="AF109" s="20" t="str">
        <f>""</f>
        <v/>
      </c>
      <c r="AG109" s="20" t="str">
        <f>""</f>
        <v/>
      </c>
      <c r="AH109" s="20" t="str">
        <f>""</f>
        <v/>
      </c>
      <c r="AI109" s="20" t="str">
        <f>""</f>
        <v/>
      </c>
      <c r="AJ109" s="20" t="str">
        <f>""</f>
        <v/>
      </c>
      <c r="AK109" s="20" t="str">
        <f>""</f>
        <v/>
      </c>
      <c r="AL109" s="20" t="str">
        <f>""</f>
        <v/>
      </c>
      <c r="AM109" s="20" t="str">
        <f>""</f>
        <v/>
      </c>
    </row>
    <row r="110" spans="1:39" ht="15.75" customHeight="1" x14ac:dyDescent="0.25">
      <c r="A110" s="17" t="str">
        <f>IF('Step 3 - Dean-Director-AVP'!B7="","","Active")</f>
        <v/>
      </c>
      <c r="B110" s="18" t="str">
        <f>IF('Step 3 - Dean-Director-AVP'!B7="","",'Step 3 - Dean-Director-AVP'!B7)</f>
        <v/>
      </c>
      <c r="C110" s="18" t="str">
        <f>IF('Step 3 - Dean-Director-AVP'!B7="","",'Step 3 - Dean-Director-AVP'!B7)</f>
        <v/>
      </c>
      <c r="D110" s="17" t="str">
        <f>IF('Step 3 - Dean-Director-AVP'!B7="","",'Step 3 - Dean-Director-AVP'!G7)</f>
        <v/>
      </c>
      <c r="E110" s="17" t="str">
        <f>IF('Step 3 - Dean-Director-AVP'!B7="","",'Step 3 - Dean-Director-AVP'!H7)</f>
        <v/>
      </c>
      <c r="F110" s="18" t="str">
        <f>IF('Step 3 - Dean-Director-AVP'!B7="","",IF('Step 3 - Dean-Director-AVP'!C7="","","Fund Code"))</f>
        <v/>
      </c>
      <c r="G110" s="17" t="str">
        <f>IF('Step 3 - Dean-Director-AVP'!B7="","",IF('Step 3 - Dean-Director-AVP'!C7="","","Equals"))</f>
        <v/>
      </c>
      <c r="H110" s="18" t="str">
        <f>IF('Step 3 - Dean-Director-AVP'!B7="","",IF('Step 3 - Dean-Director-AVP'!C7="","",'Step 3 - Dean-Director-AVP'!C7))</f>
        <v/>
      </c>
      <c r="I110" s="18" t="str">
        <f>IF('Step 3 - Dean-Director-AVP'!B7="","","Organization Code")</f>
        <v/>
      </c>
      <c r="J110" s="17" t="str">
        <f>IF('Step 3 - Dean-Director-AVP'!B7="","","Equals")</f>
        <v/>
      </c>
      <c r="K110" s="18" t="str">
        <f>IF('Step 3 - Dean-Director-AVP'!B7="","",'Step 3 - Dean-Director-AVP'!D7)</f>
        <v/>
      </c>
      <c r="L110" s="18" t="str">
        <f>IF('Step 3 - Dean-Director-AVP'!B7="","","Other Criteria")</f>
        <v/>
      </c>
      <c r="M110" s="17" t="str">
        <f>IF('Step 3 - Dean-Director-AVP'!B7="","","Equals")</f>
        <v/>
      </c>
      <c r="N110" s="18" t="str">
        <f>IF('Step 3 - Dean-Director-AVP'!B7="","",'Step 3 - Dean-Director-AVP'!E7)</f>
        <v/>
      </c>
      <c r="O110" s="18" t="str">
        <f>IF('Step 3 - Dean-Director-AVP'!B7="","",IF('Step 3 - Dean-Director-AVP'!F7="","","Total"))</f>
        <v/>
      </c>
      <c r="P110" s="17" t="str">
        <f>IF('Step 3 - Dean-Director-AVP'!B7="","",IF('Step 3 - Dean-Director-AVP'!F7="","","&gt;="))</f>
        <v/>
      </c>
      <c r="Q110" s="18" t="str">
        <f>IF('Step 3 - Dean-Director-AVP'!B7="","",IF('Step 3 - Dean-Director-AVP'!F7="","",'Step 3 - Dean-Director-AVP'!F7))</f>
        <v/>
      </c>
      <c r="R110" s="18" t="str">
        <f>""</f>
        <v/>
      </c>
      <c r="S110" s="18" t="str">
        <f>""</f>
        <v/>
      </c>
      <c r="T110" s="18" t="str">
        <f>""</f>
        <v/>
      </c>
      <c r="U110" s="18" t="str">
        <f>IF('Step 3 - Dean-Director-AVP'!B7="","",'Step 3 - Dean-Director-AVP'!I7)</f>
        <v/>
      </c>
      <c r="V110" s="17" t="str">
        <f>IF('Step 3 - Dean-Director-AVP'!B7="","",'Step 3 - Dean-Director-AVP'!K7)</f>
        <v/>
      </c>
      <c r="W110" s="18" t="str">
        <f>IF('Step 3 - Dean-Director-AVP'!B7="","",'Step 3 - Dean-Director-AVP'!L7)</f>
        <v/>
      </c>
      <c r="X110" s="17" t="str">
        <f>IF('Step 3 - Dean-Director-AVP'!B7="","",'Step 3 - Dean-Director-AVP'!N7)</f>
        <v/>
      </c>
      <c r="Y110" s="18" t="str">
        <f>""</f>
        <v/>
      </c>
      <c r="Z110" s="18" t="str">
        <f>""</f>
        <v/>
      </c>
      <c r="AA110" s="18" t="str">
        <f>""</f>
        <v/>
      </c>
      <c r="AB110" s="18" t="str">
        <f>""</f>
        <v/>
      </c>
      <c r="AC110" s="18" t="str">
        <f>""</f>
        <v/>
      </c>
      <c r="AD110" s="18" t="str">
        <f>""</f>
        <v/>
      </c>
      <c r="AE110" s="18" t="str">
        <f>""</f>
        <v/>
      </c>
      <c r="AF110" s="18" t="str">
        <f>""</f>
        <v/>
      </c>
      <c r="AG110" s="18" t="str">
        <f>""</f>
        <v/>
      </c>
      <c r="AH110" s="18" t="str">
        <f>""</f>
        <v/>
      </c>
      <c r="AI110" s="18" t="str">
        <f>""</f>
        <v/>
      </c>
      <c r="AJ110" s="18" t="str">
        <f>""</f>
        <v/>
      </c>
      <c r="AK110" s="18" t="str">
        <f>""</f>
        <v/>
      </c>
      <c r="AL110" s="18" t="str">
        <f>""</f>
        <v/>
      </c>
      <c r="AM110" s="18" t="str">
        <f>""</f>
        <v/>
      </c>
    </row>
    <row r="111" spans="1:39" ht="15.75" customHeight="1" x14ac:dyDescent="0.25">
      <c r="A111" s="19" t="str">
        <f>IF('Step 3 - Dean-Director-AVP'!B8="","","Active")</f>
        <v/>
      </c>
      <c r="B111" s="20" t="str">
        <f>IF('Step 3 - Dean-Director-AVP'!B8="","",'Step 3 - Dean-Director-AVP'!B8)</f>
        <v/>
      </c>
      <c r="C111" s="20" t="str">
        <f>IF('Step 3 - Dean-Director-AVP'!B8="","",'Step 3 - Dean-Director-AVP'!B8)</f>
        <v/>
      </c>
      <c r="D111" s="19" t="str">
        <f>IF('Step 3 - Dean-Director-AVP'!B8="","",'Step 3 - Dean-Director-AVP'!G8)</f>
        <v/>
      </c>
      <c r="E111" s="19" t="str">
        <f>IF('Step 3 - Dean-Director-AVP'!B8="","",'Step 3 - Dean-Director-AVP'!H8)</f>
        <v/>
      </c>
      <c r="F111" s="20" t="str">
        <f>IF('Step 3 - Dean-Director-AVP'!B8="","",IF('Step 3 - Dean-Director-AVP'!C8="","","Fund Code"))</f>
        <v/>
      </c>
      <c r="G111" s="19" t="str">
        <f>IF('Step 3 - Dean-Director-AVP'!B8="","",IF('Step 3 - Dean-Director-AVP'!C8="","","Equals"))</f>
        <v/>
      </c>
      <c r="H111" s="20" t="str">
        <f>IF('Step 3 - Dean-Director-AVP'!B8="","",IF('Step 3 - Dean-Director-AVP'!C8="","",'Step 3 - Dean-Director-AVP'!C8))</f>
        <v/>
      </c>
      <c r="I111" s="20" t="str">
        <f>IF('Step 3 - Dean-Director-AVP'!B8="","","Organization Code")</f>
        <v/>
      </c>
      <c r="J111" s="19" t="str">
        <f>IF('Step 3 - Dean-Director-AVP'!B8="","","Equals")</f>
        <v/>
      </c>
      <c r="K111" s="20" t="str">
        <f>IF('Step 3 - Dean-Director-AVP'!B8="","",'Step 3 - Dean-Director-AVP'!D8)</f>
        <v/>
      </c>
      <c r="L111" s="20" t="str">
        <f>IF('Step 3 - Dean-Director-AVP'!B8="","","Other Criteria")</f>
        <v/>
      </c>
      <c r="M111" s="19" t="str">
        <f>IF('Step 3 - Dean-Director-AVP'!B8="","","Equals")</f>
        <v/>
      </c>
      <c r="N111" s="20" t="str">
        <f>IF('Step 3 - Dean-Director-AVP'!B8="","",'Step 3 - Dean-Director-AVP'!E8)</f>
        <v/>
      </c>
      <c r="O111" s="20" t="str">
        <f>IF('Step 3 - Dean-Director-AVP'!B8="","",IF('Step 3 - Dean-Director-AVP'!F8="","","Total"))</f>
        <v/>
      </c>
      <c r="P111" s="19" t="str">
        <f>IF('Step 3 - Dean-Director-AVP'!B8="","",IF('Step 3 - Dean-Director-AVP'!F8="","","&gt;="))</f>
        <v/>
      </c>
      <c r="Q111" s="20" t="str">
        <f>IF('Step 3 - Dean-Director-AVP'!B8="","",IF('Step 3 - Dean-Director-AVP'!F8="","",'Step 3 - Dean-Director-AVP'!F8))</f>
        <v/>
      </c>
      <c r="R111" s="20" t="str">
        <f>""</f>
        <v/>
      </c>
      <c r="S111" s="20" t="str">
        <f>""</f>
        <v/>
      </c>
      <c r="T111" s="20" t="str">
        <f>""</f>
        <v/>
      </c>
      <c r="U111" s="20" t="str">
        <f>IF('Step 3 - Dean-Director-AVP'!B8="","",'Step 3 - Dean-Director-AVP'!I8)</f>
        <v/>
      </c>
      <c r="V111" s="19" t="str">
        <f>IF('Step 3 - Dean-Director-AVP'!B8="","",'Step 3 - Dean-Director-AVP'!K8)</f>
        <v/>
      </c>
      <c r="W111" s="20" t="str">
        <f>IF('Step 3 - Dean-Director-AVP'!B8="","",'Step 3 - Dean-Director-AVP'!L8)</f>
        <v/>
      </c>
      <c r="X111" s="19" t="str">
        <f>IF('Step 3 - Dean-Director-AVP'!B8="","",'Step 3 - Dean-Director-AVP'!N8)</f>
        <v/>
      </c>
      <c r="Y111" s="20" t="str">
        <f>""</f>
        <v/>
      </c>
      <c r="Z111" s="20" t="str">
        <f>""</f>
        <v/>
      </c>
      <c r="AA111" s="20" t="str">
        <f>""</f>
        <v/>
      </c>
      <c r="AB111" s="20" t="str">
        <f>""</f>
        <v/>
      </c>
      <c r="AC111" s="20" t="str">
        <f>""</f>
        <v/>
      </c>
      <c r="AD111" s="20" t="str">
        <f>""</f>
        <v/>
      </c>
      <c r="AE111" s="20" t="str">
        <f>""</f>
        <v/>
      </c>
      <c r="AF111" s="20" t="str">
        <f>""</f>
        <v/>
      </c>
      <c r="AG111" s="20" t="str">
        <f>""</f>
        <v/>
      </c>
      <c r="AH111" s="20" t="str">
        <f>""</f>
        <v/>
      </c>
      <c r="AI111" s="20" t="str">
        <f>""</f>
        <v/>
      </c>
      <c r="AJ111" s="20" t="str">
        <f>""</f>
        <v/>
      </c>
      <c r="AK111" s="20" t="str">
        <f>""</f>
        <v/>
      </c>
      <c r="AL111" s="20" t="str">
        <f>""</f>
        <v/>
      </c>
      <c r="AM111" s="20" t="str">
        <f>""</f>
        <v/>
      </c>
    </row>
    <row r="112" spans="1:39" ht="15.75" customHeight="1" x14ac:dyDescent="0.25">
      <c r="A112" s="17" t="str">
        <f>IF('Step 3 - Dean-Director-AVP'!B9="","","Active")</f>
        <v/>
      </c>
      <c r="B112" s="18" t="str">
        <f>IF('Step 3 - Dean-Director-AVP'!B9="","",'Step 3 - Dean-Director-AVP'!B9)</f>
        <v/>
      </c>
      <c r="C112" s="18" t="str">
        <f>IF('Step 3 - Dean-Director-AVP'!B9="","",'Step 3 - Dean-Director-AVP'!B9)</f>
        <v/>
      </c>
      <c r="D112" s="17" t="str">
        <f>IF('Step 3 - Dean-Director-AVP'!B9="","",'Step 3 - Dean-Director-AVP'!G9)</f>
        <v/>
      </c>
      <c r="E112" s="17" t="str">
        <f>IF('Step 3 - Dean-Director-AVP'!B9="","",'Step 3 - Dean-Director-AVP'!H9)</f>
        <v/>
      </c>
      <c r="F112" s="18" t="str">
        <f>IF('Step 3 - Dean-Director-AVP'!B9="","",IF('Step 3 - Dean-Director-AVP'!C9="","","Fund Code"))</f>
        <v/>
      </c>
      <c r="G112" s="17" t="str">
        <f>IF('Step 3 - Dean-Director-AVP'!B9="","",IF('Step 3 - Dean-Director-AVP'!C9="","","Equals"))</f>
        <v/>
      </c>
      <c r="H112" s="18" t="str">
        <f>IF('Step 3 - Dean-Director-AVP'!B9="","",IF('Step 3 - Dean-Director-AVP'!C9="","",'Step 3 - Dean-Director-AVP'!C9))</f>
        <v/>
      </c>
      <c r="I112" s="18" t="str">
        <f>IF('Step 3 - Dean-Director-AVP'!B9="","","Organization Code")</f>
        <v/>
      </c>
      <c r="J112" s="17" t="str">
        <f>IF('Step 3 - Dean-Director-AVP'!B9="","","Equals")</f>
        <v/>
      </c>
      <c r="K112" s="18" t="str">
        <f>IF('Step 3 - Dean-Director-AVP'!B9="","",'Step 3 - Dean-Director-AVP'!D9)</f>
        <v/>
      </c>
      <c r="L112" s="18" t="str">
        <f>IF('Step 3 - Dean-Director-AVP'!B9="","","Other Criteria")</f>
        <v/>
      </c>
      <c r="M112" s="17" t="str">
        <f>IF('Step 3 - Dean-Director-AVP'!B9="","","Equals")</f>
        <v/>
      </c>
      <c r="N112" s="18" t="str">
        <f>IF('Step 3 - Dean-Director-AVP'!B9="","",'Step 3 - Dean-Director-AVP'!E9)</f>
        <v/>
      </c>
      <c r="O112" s="18" t="str">
        <f>IF('Step 3 - Dean-Director-AVP'!B9="","",IF('Step 3 - Dean-Director-AVP'!F9="","","Total"))</f>
        <v/>
      </c>
      <c r="P112" s="17" t="str">
        <f>IF('Step 3 - Dean-Director-AVP'!B9="","",IF('Step 3 - Dean-Director-AVP'!F9="","","&gt;="))</f>
        <v/>
      </c>
      <c r="Q112" s="18" t="str">
        <f>IF('Step 3 - Dean-Director-AVP'!B9="","",IF('Step 3 - Dean-Director-AVP'!F9="","",'Step 3 - Dean-Director-AVP'!F9))</f>
        <v/>
      </c>
      <c r="R112" s="18" t="str">
        <f>""</f>
        <v/>
      </c>
      <c r="S112" s="18" t="str">
        <f>""</f>
        <v/>
      </c>
      <c r="T112" s="18" t="str">
        <f>""</f>
        <v/>
      </c>
      <c r="U112" s="18" t="str">
        <f>IF('Step 3 - Dean-Director-AVP'!B9="","",'Step 3 - Dean-Director-AVP'!I9)</f>
        <v/>
      </c>
      <c r="V112" s="17" t="str">
        <f>IF('Step 3 - Dean-Director-AVP'!B9="","",'Step 3 - Dean-Director-AVP'!K9)</f>
        <v/>
      </c>
      <c r="W112" s="18" t="str">
        <f>IF('Step 3 - Dean-Director-AVP'!B9="","",'Step 3 - Dean-Director-AVP'!L9)</f>
        <v/>
      </c>
      <c r="X112" s="17" t="str">
        <f>IF('Step 3 - Dean-Director-AVP'!B9="","",'Step 3 - Dean-Director-AVP'!N9)</f>
        <v/>
      </c>
      <c r="Y112" s="18" t="str">
        <f>""</f>
        <v/>
      </c>
      <c r="Z112" s="18" t="str">
        <f>""</f>
        <v/>
      </c>
      <c r="AA112" s="18" t="str">
        <f>""</f>
        <v/>
      </c>
      <c r="AB112" s="18" t="str">
        <f>""</f>
        <v/>
      </c>
      <c r="AC112" s="18" t="str">
        <f>""</f>
        <v/>
      </c>
      <c r="AD112" s="18" t="str">
        <f>""</f>
        <v/>
      </c>
      <c r="AE112" s="18" t="str">
        <f>""</f>
        <v/>
      </c>
      <c r="AF112" s="18" t="str">
        <f>""</f>
        <v/>
      </c>
      <c r="AG112" s="18" t="str">
        <f>""</f>
        <v/>
      </c>
      <c r="AH112" s="18" t="str">
        <f>""</f>
        <v/>
      </c>
      <c r="AI112" s="18" t="str">
        <f>""</f>
        <v/>
      </c>
      <c r="AJ112" s="18" t="str">
        <f>""</f>
        <v/>
      </c>
      <c r="AK112" s="18" t="str">
        <f>""</f>
        <v/>
      </c>
      <c r="AL112" s="18" t="str">
        <f>""</f>
        <v/>
      </c>
      <c r="AM112" s="18" t="str">
        <f>""</f>
        <v/>
      </c>
    </row>
    <row r="113" spans="1:39" ht="15.75" customHeight="1" x14ac:dyDescent="0.25">
      <c r="A113" s="19" t="str">
        <f>IF('Step 3 - Dean-Director-AVP'!B10="","","Active")</f>
        <v/>
      </c>
      <c r="B113" s="20" t="str">
        <f>IF('Step 3 - Dean-Director-AVP'!B10="","",'Step 3 - Dean-Director-AVP'!B10)</f>
        <v/>
      </c>
      <c r="C113" s="20" t="str">
        <f>IF('Step 3 - Dean-Director-AVP'!B10="","",'Step 3 - Dean-Director-AVP'!B10)</f>
        <v/>
      </c>
      <c r="D113" s="19" t="str">
        <f>IF('Step 3 - Dean-Director-AVP'!B10="","",'Step 3 - Dean-Director-AVP'!G10)</f>
        <v/>
      </c>
      <c r="E113" s="19" t="str">
        <f>IF('Step 3 - Dean-Director-AVP'!B10="","",'Step 3 - Dean-Director-AVP'!H10)</f>
        <v/>
      </c>
      <c r="F113" s="20" t="str">
        <f>IF('Step 3 - Dean-Director-AVP'!B10="","",IF('Step 3 - Dean-Director-AVP'!C10="","","Fund Code"))</f>
        <v/>
      </c>
      <c r="G113" s="19" t="str">
        <f>IF('Step 3 - Dean-Director-AVP'!B10="","",IF('Step 3 - Dean-Director-AVP'!C10="","","Equals"))</f>
        <v/>
      </c>
      <c r="H113" s="20" t="str">
        <f>IF('Step 3 - Dean-Director-AVP'!B10="","",IF('Step 3 - Dean-Director-AVP'!C10="","",'Step 3 - Dean-Director-AVP'!C10))</f>
        <v/>
      </c>
      <c r="I113" s="20" t="str">
        <f>IF('Step 3 - Dean-Director-AVP'!B10="","","Organization Code")</f>
        <v/>
      </c>
      <c r="J113" s="19" t="str">
        <f>IF('Step 3 - Dean-Director-AVP'!B10="","","Equals")</f>
        <v/>
      </c>
      <c r="K113" s="20" t="str">
        <f>IF('Step 3 - Dean-Director-AVP'!B10="","",'Step 3 - Dean-Director-AVP'!D10)</f>
        <v/>
      </c>
      <c r="L113" s="20" t="str">
        <f>IF('Step 3 - Dean-Director-AVP'!B10="","","Other Criteria")</f>
        <v/>
      </c>
      <c r="M113" s="19" t="str">
        <f>IF('Step 3 - Dean-Director-AVP'!B10="","","Equals")</f>
        <v/>
      </c>
      <c r="N113" s="20" t="str">
        <f>IF('Step 3 - Dean-Director-AVP'!B10="","",'Step 3 - Dean-Director-AVP'!E10)</f>
        <v/>
      </c>
      <c r="O113" s="20" t="str">
        <f>IF('Step 3 - Dean-Director-AVP'!B10="","",IF('Step 3 - Dean-Director-AVP'!F10="","","Total"))</f>
        <v/>
      </c>
      <c r="P113" s="19" t="str">
        <f>IF('Step 3 - Dean-Director-AVP'!B10="","",IF('Step 3 - Dean-Director-AVP'!F10="","","&gt;="))</f>
        <v/>
      </c>
      <c r="Q113" s="20" t="str">
        <f>IF('Step 3 - Dean-Director-AVP'!B10="","",IF('Step 3 - Dean-Director-AVP'!F10="","",'Step 3 - Dean-Director-AVP'!F10))</f>
        <v/>
      </c>
      <c r="R113" s="20" t="str">
        <f>""</f>
        <v/>
      </c>
      <c r="S113" s="20" t="str">
        <f>""</f>
        <v/>
      </c>
      <c r="T113" s="20" t="str">
        <f>""</f>
        <v/>
      </c>
      <c r="U113" s="20" t="str">
        <f>IF('Step 3 - Dean-Director-AVP'!B10="","",'Step 3 - Dean-Director-AVP'!I10)</f>
        <v/>
      </c>
      <c r="V113" s="19" t="str">
        <f>IF('Step 3 - Dean-Director-AVP'!B10="","",'Step 3 - Dean-Director-AVP'!K10)</f>
        <v/>
      </c>
      <c r="W113" s="20" t="str">
        <f>IF('Step 3 - Dean-Director-AVP'!B10="","",'Step 3 - Dean-Director-AVP'!L10)</f>
        <v/>
      </c>
      <c r="X113" s="19" t="str">
        <f>IF('Step 3 - Dean-Director-AVP'!B10="","",'Step 3 - Dean-Director-AVP'!N10)</f>
        <v/>
      </c>
      <c r="Y113" s="20" t="str">
        <f>""</f>
        <v/>
      </c>
      <c r="Z113" s="20" t="str">
        <f>""</f>
        <v/>
      </c>
      <c r="AA113" s="20" t="str">
        <f>""</f>
        <v/>
      </c>
      <c r="AB113" s="20" t="str">
        <f>""</f>
        <v/>
      </c>
      <c r="AC113" s="20" t="str">
        <f>""</f>
        <v/>
      </c>
      <c r="AD113" s="20" t="str">
        <f>""</f>
        <v/>
      </c>
      <c r="AE113" s="20" t="str">
        <f>""</f>
        <v/>
      </c>
      <c r="AF113" s="20" t="str">
        <f>""</f>
        <v/>
      </c>
      <c r="AG113" s="20" t="str">
        <f>""</f>
        <v/>
      </c>
      <c r="AH113" s="20" t="str">
        <f>""</f>
        <v/>
      </c>
      <c r="AI113" s="20" t="str">
        <f>""</f>
        <v/>
      </c>
      <c r="AJ113" s="20" t="str">
        <f>""</f>
        <v/>
      </c>
      <c r="AK113" s="20" t="str">
        <f>""</f>
        <v/>
      </c>
      <c r="AL113" s="20" t="str">
        <f>""</f>
        <v/>
      </c>
      <c r="AM113" s="20" t="str">
        <f>""</f>
        <v/>
      </c>
    </row>
    <row r="114" spans="1:39" ht="15.75" customHeight="1" x14ac:dyDescent="0.25">
      <c r="A114" s="17" t="str">
        <f>IF('Step 3 - Dean-Director-AVP'!B11="","","Active")</f>
        <v/>
      </c>
      <c r="B114" s="18" t="str">
        <f>IF('Step 3 - Dean-Director-AVP'!B11="","",'Step 3 - Dean-Director-AVP'!B11)</f>
        <v/>
      </c>
      <c r="C114" s="18" t="str">
        <f>IF('Step 3 - Dean-Director-AVP'!B11="","",'Step 3 - Dean-Director-AVP'!B11)</f>
        <v/>
      </c>
      <c r="D114" s="17" t="str">
        <f>IF('Step 3 - Dean-Director-AVP'!B11="","",'Step 3 - Dean-Director-AVP'!G11)</f>
        <v/>
      </c>
      <c r="E114" s="17" t="str">
        <f>IF('Step 3 - Dean-Director-AVP'!B11="","",'Step 3 - Dean-Director-AVP'!H11)</f>
        <v/>
      </c>
      <c r="F114" s="18" t="str">
        <f>IF('Step 3 - Dean-Director-AVP'!B11="","",IF('Step 3 - Dean-Director-AVP'!C11="","","Fund Code"))</f>
        <v/>
      </c>
      <c r="G114" s="17" t="str">
        <f>IF('Step 3 - Dean-Director-AVP'!B11="","",IF('Step 3 - Dean-Director-AVP'!C11="","","Equals"))</f>
        <v/>
      </c>
      <c r="H114" s="18" t="str">
        <f>IF('Step 3 - Dean-Director-AVP'!B11="","",IF('Step 3 - Dean-Director-AVP'!C11="","",'Step 3 - Dean-Director-AVP'!C11))</f>
        <v/>
      </c>
      <c r="I114" s="18" t="str">
        <f>IF('Step 3 - Dean-Director-AVP'!B11="","","Organization Code")</f>
        <v/>
      </c>
      <c r="J114" s="17" t="str">
        <f>IF('Step 3 - Dean-Director-AVP'!B11="","","Equals")</f>
        <v/>
      </c>
      <c r="K114" s="18" t="str">
        <f>IF('Step 3 - Dean-Director-AVP'!B11="","",'Step 3 - Dean-Director-AVP'!D11)</f>
        <v/>
      </c>
      <c r="L114" s="18" t="str">
        <f>IF('Step 3 - Dean-Director-AVP'!B11="","","Other Criteria")</f>
        <v/>
      </c>
      <c r="M114" s="17" t="str">
        <f>IF('Step 3 - Dean-Director-AVP'!B11="","","Equals")</f>
        <v/>
      </c>
      <c r="N114" s="18" t="str">
        <f>IF('Step 3 - Dean-Director-AVP'!B11="","",'Step 3 - Dean-Director-AVP'!E11)</f>
        <v/>
      </c>
      <c r="O114" s="18" t="str">
        <f>IF('Step 3 - Dean-Director-AVP'!B11="","",IF('Step 3 - Dean-Director-AVP'!F11="","","Total"))</f>
        <v/>
      </c>
      <c r="P114" s="17" t="str">
        <f>IF('Step 3 - Dean-Director-AVP'!B11="","",IF('Step 3 - Dean-Director-AVP'!F11="","","&gt;="))</f>
        <v/>
      </c>
      <c r="Q114" s="18" t="str">
        <f>IF('Step 3 - Dean-Director-AVP'!B11="","",IF('Step 3 - Dean-Director-AVP'!F11="","",'Step 3 - Dean-Director-AVP'!F11))</f>
        <v/>
      </c>
      <c r="R114" s="18" t="str">
        <f>""</f>
        <v/>
      </c>
      <c r="S114" s="18" t="str">
        <f>""</f>
        <v/>
      </c>
      <c r="T114" s="18" t="str">
        <f>""</f>
        <v/>
      </c>
      <c r="U114" s="18" t="str">
        <f>IF('Step 3 - Dean-Director-AVP'!B11="","",'Step 3 - Dean-Director-AVP'!I11)</f>
        <v/>
      </c>
      <c r="V114" s="17" t="str">
        <f>IF('Step 3 - Dean-Director-AVP'!B11="","",'Step 3 - Dean-Director-AVP'!K11)</f>
        <v/>
      </c>
      <c r="W114" s="18" t="str">
        <f>IF('Step 3 - Dean-Director-AVP'!B11="","",'Step 3 - Dean-Director-AVP'!L11)</f>
        <v/>
      </c>
      <c r="X114" s="17" t="str">
        <f>IF('Step 3 - Dean-Director-AVP'!B11="","",'Step 3 - Dean-Director-AVP'!N11)</f>
        <v/>
      </c>
      <c r="Y114" s="18" t="str">
        <f>""</f>
        <v/>
      </c>
      <c r="Z114" s="18" t="str">
        <f>""</f>
        <v/>
      </c>
      <c r="AA114" s="18" t="str">
        <f>""</f>
        <v/>
      </c>
      <c r="AB114" s="18" t="str">
        <f>""</f>
        <v/>
      </c>
      <c r="AC114" s="18" t="str">
        <f>""</f>
        <v/>
      </c>
      <c r="AD114" s="18" t="str">
        <f>""</f>
        <v/>
      </c>
      <c r="AE114" s="18" t="str">
        <f>""</f>
        <v/>
      </c>
      <c r="AF114" s="18" t="str">
        <f>""</f>
        <v/>
      </c>
      <c r="AG114" s="18" t="str">
        <f>""</f>
        <v/>
      </c>
      <c r="AH114" s="18" t="str">
        <f>""</f>
        <v/>
      </c>
      <c r="AI114" s="18" t="str">
        <f>""</f>
        <v/>
      </c>
      <c r="AJ114" s="18" t="str">
        <f>""</f>
        <v/>
      </c>
      <c r="AK114" s="18" t="str">
        <f>""</f>
        <v/>
      </c>
      <c r="AL114" s="18" t="str">
        <f>""</f>
        <v/>
      </c>
      <c r="AM114" s="18" t="str">
        <f>""</f>
        <v/>
      </c>
    </row>
    <row r="115" spans="1:39" ht="15.75" customHeight="1" x14ac:dyDescent="0.25">
      <c r="A115" s="19" t="str">
        <f>IF('Step 3 - Dean-Director-AVP'!B12="","","Active")</f>
        <v/>
      </c>
      <c r="B115" s="20" t="str">
        <f>IF('Step 3 - Dean-Director-AVP'!B12="","",'Step 3 - Dean-Director-AVP'!B12)</f>
        <v/>
      </c>
      <c r="C115" s="20" t="str">
        <f>IF('Step 3 - Dean-Director-AVP'!B12="","",'Step 3 - Dean-Director-AVP'!B12)</f>
        <v/>
      </c>
      <c r="D115" s="19" t="str">
        <f>IF('Step 3 - Dean-Director-AVP'!B12="","",'Step 3 - Dean-Director-AVP'!G12)</f>
        <v/>
      </c>
      <c r="E115" s="19" t="str">
        <f>IF('Step 3 - Dean-Director-AVP'!B12="","",'Step 3 - Dean-Director-AVP'!H12)</f>
        <v/>
      </c>
      <c r="F115" s="20" t="str">
        <f>IF('Step 3 - Dean-Director-AVP'!B12="","",IF('Step 3 - Dean-Director-AVP'!C12="","","Fund Code"))</f>
        <v/>
      </c>
      <c r="G115" s="19" t="str">
        <f>IF('Step 3 - Dean-Director-AVP'!B12="","",IF('Step 3 - Dean-Director-AVP'!C12="","","Equals"))</f>
        <v/>
      </c>
      <c r="H115" s="20" t="str">
        <f>IF('Step 3 - Dean-Director-AVP'!B12="","",IF('Step 3 - Dean-Director-AVP'!C12="","",'Step 3 - Dean-Director-AVP'!C12))</f>
        <v/>
      </c>
      <c r="I115" s="20" t="str">
        <f>IF('Step 3 - Dean-Director-AVP'!B12="","","Organization Code")</f>
        <v/>
      </c>
      <c r="J115" s="19" t="str">
        <f>IF('Step 3 - Dean-Director-AVP'!B12="","","Equals")</f>
        <v/>
      </c>
      <c r="K115" s="20" t="str">
        <f>IF('Step 3 - Dean-Director-AVP'!B12="","",'Step 3 - Dean-Director-AVP'!D12)</f>
        <v/>
      </c>
      <c r="L115" s="20" t="str">
        <f>IF('Step 3 - Dean-Director-AVP'!B12="","","Other Criteria")</f>
        <v/>
      </c>
      <c r="M115" s="19" t="str">
        <f>IF('Step 3 - Dean-Director-AVP'!B12="","","Equals")</f>
        <v/>
      </c>
      <c r="N115" s="20" t="str">
        <f>IF('Step 3 - Dean-Director-AVP'!B12="","",'Step 3 - Dean-Director-AVP'!E12)</f>
        <v/>
      </c>
      <c r="O115" s="20" t="str">
        <f>IF('Step 3 - Dean-Director-AVP'!B12="","",IF('Step 3 - Dean-Director-AVP'!F12="","","Total"))</f>
        <v/>
      </c>
      <c r="P115" s="19" t="str">
        <f>IF('Step 3 - Dean-Director-AVP'!B12="","",IF('Step 3 - Dean-Director-AVP'!F12="","","&gt;="))</f>
        <v/>
      </c>
      <c r="Q115" s="20" t="str">
        <f>IF('Step 3 - Dean-Director-AVP'!B12="","",IF('Step 3 - Dean-Director-AVP'!F12="","",'Step 3 - Dean-Director-AVP'!F12))</f>
        <v/>
      </c>
      <c r="R115" s="20" t="str">
        <f>""</f>
        <v/>
      </c>
      <c r="S115" s="20" t="str">
        <f>""</f>
        <v/>
      </c>
      <c r="T115" s="20" t="str">
        <f>""</f>
        <v/>
      </c>
      <c r="U115" s="20" t="str">
        <f>IF('Step 3 - Dean-Director-AVP'!B12="","",'Step 3 - Dean-Director-AVP'!I12)</f>
        <v/>
      </c>
      <c r="V115" s="19" t="str">
        <f>IF('Step 3 - Dean-Director-AVP'!B12="","",'Step 3 - Dean-Director-AVP'!K12)</f>
        <v/>
      </c>
      <c r="W115" s="20" t="str">
        <f>IF('Step 3 - Dean-Director-AVP'!B12="","",'Step 3 - Dean-Director-AVP'!L12)</f>
        <v/>
      </c>
      <c r="X115" s="19" t="str">
        <f>IF('Step 3 - Dean-Director-AVP'!B12="","",'Step 3 - Dean-Director-AVP'!N12)</f>
        <v/>
      </c>
      <c r="Y115" s="20" t="str">
        <f>""</f>
        <v/>
      </c>
      <c r="Z115" s="20" t="str">
        <f>""</f>
        <v/>
      </c>
      <c r="AA115" s="20" t="str">
        <f>""</f>
        <v/>
      </c>
      <c r="AB115" s="20" t="str">
        <f>""</f>
        <v/>
      </c>
      <c r="AC115" s="20" t="str">
        <f>""</f>
        <v/>
      </c>
      <c r="AD115" s="20" t="str">
        <f>""</f>
        <v/>
      </c>
      <c r="AE115" s="20" t="str">
        <f>""</f>
        <v/>
      </c>
      <c r="AF115" s="20" t="str">
        <f>""</f>
        <v/>
      </c>
      <c r="AG115" s="20" t="str">
        <f>""</f>
        <v/>
      </c>
      <c r="AH115" s="20" t="str">
        <f>""</f>
        <v/>
      </c>
      <c r="AI115" s="20" t="str">
        <f>""</f>
        <v/>
      </c>
      <c r="AJ115" s="20" t="str">
        <f>""</f>
        <v/>
      </c>
      <c r="AK115" s="20" t="str">
        <f>""</f>
        <v/>
      </c>
      <c r="AL115" s="20" t="str">
        <f>""</f>
        <v/>
      </c>
      <c r="AM115" s="20" t="str">
        <f>""</f>
        <v/>
      </c>
    </row>
    <row r="116" spans="1:39" ht="15.75" customHeight="1" x14ac:dyDescent="0.25">
      <c r="A116" s="17" t="str">
        <f>IF('Step 3 - Dean-Director-AVP'!B13="","","Active")</f>
        <v/>
      </c>
      <c r="B116" s="18" t="str">
        <f>IF('Step 3 - Dean-Director-AVP'!B13="","",'Step 3 - Dean-Director-AVP'!B13)</f>
        <v/>
      </c>
      <c r="C116" s="18" t="str">
        <f>IF('Step 3 - Dean-Director-AVP'!B13="","",'Step 3 - Dean-Director-AVP'!B13)</f>
        <v/>
      </c>
      <c r="D116" s="17" t="str">
        <f>IF('Step 3 - Dean-Director-AVP'!B13="","",'Step 3 - Dean-Director-AVP'!G13)</f>
        <v/>
      </c>
      <c r="E116" s="17" t="str">
        <f>IF('Step 3 - Dean-Director-AVP'!B13="","",'Step 3 - Dean-Director-AVP'!H13)</f>
        <v/>
      </c>
      <c r="F116" s="18" t="str">
        <f>IF('Step 3 - Dean-Director-AVP'!B13="","",IF('Step 3 - Dean-Director-AVP'!C13="","","Fund Code"))</f>
        <v/>
      </c>
      <c r="G116" s="17" t="str">
        <f>IF('Step 3 - Dean-Director-AVP'!B13="","",IF('Step 3 - Dean-Director-AVP'!C13="","","Equals"))</f>
        <v/>
      </c>
      <c r="H116" s="18" t="str">
        <f>IF('Step 3 - Dean-Director-AVP'!B13="","",IF('Step 3 - Dean-Director-AVP'!C13="","",'Step 3 - Dean-Director-AVP'!C13))</f>
        <v/>
      </c>
      <c r="I116" s="18" t="str">
        <f>IF('Step 3 - Dean-Director-AVP'!B13="","","Organization Code")</f>
        <v/>
      </c>
      <c r="J116" s="17" t="str">
        <f>IF('Step 3 - Dean-Director-AVP'!B13="","","Equals")</f>
        <v/>
      </c>
      <c r="K116" s="18" t="str">
        <f>IF('Step 3 - Dean-Director-AVP'!B13="","",'Step 3 - Dean-Director-AVP'!D13)</f>
        <v/>
      </c>
      <c r="L116" s="18" t="str">
        <f>IF('Step 3 - Dean-Director-AVP'!B13="","","Other Criteria")</f>
        <v/>
      </c>
      <c r="M116" s="17" t="str">
        <f>IF('Step 3 - Dean-Director-AVP'!B13="","","Equals")</f>
        <v/>
      </c>
      <c r="N116" s="18" t="str">
        <f>IF('Step 3 - Dean-Director-AVP'!B13="","",'Step 3 - Dean-Director-AVP'!E13)</f>
        <v/>
      </c>
      <c r="O116" s="18" t="str">
        <f>IF('Step 3 - Dean-Director-AVP'!B13="","",IF('Step 3 - Dean-Director-AVP'!F13="","","Total"))</f>
        <v/>
      </c>
      <c r="P116" s="17" t="str">
        <f>IF('Step 3 - Dean-Director-AVP'!B13="","",IF('Step 3 - Dean-Director-AVP'!F13="","","&gt;="))</f>
        <v/>
      </c>
      <c r="Q116" s="18" t="str">
        <f>IF('Step 3 - Dean-Director-AVP'!B13="","",IF('Step 3 - Dean-Director-AVP'!F13="","",'Step 3 - Dean-Director-AVP'!F13))</f>
        <v/>
      </c>
      <c r="R116" s="18" t="str">
        <f>""</f>
        <v/>
      </c>
      <c r="S116" s="18" t="str">
        <f>""</f>
        <v/>
      </c>
      <c r="T116" s="18" t="str">
        <f>""</f>
        <v/>
      </c>
      <c r="U116" s="18" t="str">
        <f>IF('Step 3 - Dean-Director-AVP'!B13="","",'Step 3 - Dean-Director-AVP'!I13)</f>
        <v/>
      </c>
      <c r="V116" s="17" t="str">
        <f>IF('Step 3 - Dean-Director-AVP'!B13="","",'Step 3 - Dean-Director-AVP'!K13)</f>
        <v/>
      </c>
      <c r="W116" s="18" t="str">
        <f>IF('Step 3 - Dean-Director-AVP'!B13="","",'Step 3 - Dean-Director-AVP'!L13)</f>
        <v/>
      </c>
      <c r="X116" s="17" t="str">
        <f>IF('Step 3 - Dean-Director-AVP'!B13="","",'Step 3 - Dean-Director-AVP'!N13)</f>
        <v/>
      </c>
      <c r="Y116" s="18" t="str">
        <f>""</f>
        <v/>
      </c>
      <c r="Z116" s="18" t="str">
        <f>""</f>
        <v/>
      </c>
      <c r="AA116" s="18" t="str">
        <f>""</f>
        <v/>
      </c>
      <c r="AB116" s="18" t="str">
        <f>""</f>
        <v/>
      </c>
      <c r="AC116" s="18" t="str">
        <f>""</f>
        <v/>
      </c>
      <c r="AD116" s="18" t="str">
        <f>""</f>
        <v/>
      </c>
      <c r="AE116" s="18" t="str">
        <f>""</f>
        <v/>
      </c>
      <c r="AF116" s="18" t="str">
        <f>""</f>
        <v/>
      </c>
      <c r="AG116" s="18" t="str">
        <f>""</f>
        <v/>
      </c>
      <c r="AH116" s="18" t="str">
        <f>""</f>
        <v/>
      </c>
      <c r="AI116" s="18" t="str">
        <f>""</f>
        <v/>
      </c>
      <c r="AJ116" s="18" t="str">
        <f>""</f>
        <v/>
      </c>
      <c r="AK116" s="18" t="str">
        <f>""</f>
        <v/>
      </c>
      <c r="AL116" s="18" t="str">
        <f>""</f>
        <v/>
      </c>
      <c r="AM116" s="18" t="str">
        <f>""</f>
        <v/>
      </c>
    </row>
    <row r="117" spans="1:39" ht="15.75" customHeight="1" x14ac:dyDescent="0.25">
      <c r="A117" s="19" t="str">
        <f>IF('Step 3 - Dean-Director-AVP'!B14="","","Active")</f>
        <v/>
      </c>
      <c r="B117" s="20" t="str">
        <f>IF('Step 3 - Dean-Director-AVP'!B14="","",'Step 3 - Dean-Director-AVP'!B14)</f>
        <v/>
      </c>
      <c r="C117" s="20" t="str">
        <f>IF('Step 3 - Dean-Director-AVP'!B14="","",'Step 3 - Dean-Director-AVP'!B14)</f>
        <v/>
      </c>
      <c r="D117" s="19" t="str">
        <f>IF('Step 3 - Dean-Director-AVP'!B14="","",'Step 3 - Dean-Director-AVP'!G14)</f>
        <v/>
      </c>
      <c r="E117" s="19" t="str">
        <f>IF('Step 3 - Dean-Director-AVP'!B14="","",'Step 3 - Dean-Director-AVP'!H14)</f>
        <v/>
      </c>
      <c r="F117" s="20" t="str">
        <f>IF('Step 3 - Dean-Director-AVP'!B14="","",IF('Step 3 - Dean-Director-AVP'!C14="","","Fund Code"))</f>
        <v/>
      </c>
      <c r="G117" s="19" t="str">
        <f>IF('Step 3 - Dean-Director-AVP'!B14="","",IF('Step 3 - Dean-Director-AVP'!C14="","","Equals"))</f>
        <v/>
      </c>
      <c r="H117" s="20" t="str">
        <f>IF('Step 3 - Dean-Director-AVP'!B14="","",IF('Step 3 - Dean-Director-AVP'!C14="","",'Step 3 - Dean-Director-AVP'!C14))</f>
        <v/>
      </c>
      <c r="I117" s="20" t="str">
        <f>IF('Step 3 - Dean-Director-AVP'!B14="","","Organization Code")</f>
        <v/>
      </c>
      <c r="J117" s="19" t="str">
        <f>IF('Step 3 - Dean-Director-AVP'!B14="","","Equals")</f>
        <v/>
      </c>
      <c r="K117" s="20" t="str">
        <f>IF('Step 3 - Dean-Director-AVP'!B14="","",'Step 3 - Dean-Director-AVP'!D14)</f>
        <v/>
      </c>
      <c r="L117" s="20" t="str">
        <f>IF('Step 3 - Dean-Director-AVP'!B14="","","Other Criteria")</f>
        <v/>
      </c>
      <c r="M117" s="19" t="str">
        <f>IF('Step 3 - Dean-Director-AVP'!B14="","","Equals")</f>
        <v/>
      </c>
      <c r="N117" s="20" t="str">
        <f>IF('Step 3 - Dean-Director-AVP'!B14="","",'Step 3 - Dean-Director-AVP'!E14)</f>
        <v/>
      </c>
      <c r="O117" s="20" t="str">
        <f>IF('Step 3 - Dean-Director-AVP'!B14="","",IF('Step 3 - Dean-Director-AVP'!F14="","","Total"))</f>
        <v/>
      </c>
      <c r="P117" s="19" t="str">
        <f>IF('Step 3 - Dean-Director-AVP'!B14="","",IF('Step 3 - Dean-Director-AVP'!F14="","","&gt;="))</f>
        <v/>
      </c>
      <c r="Q117" s="20" t="str">
        <f>IF('Step 3 - Dean-Director-AVP'!B14="","",IF('Step 3 - Dean-Director-AVP'!F14="","",'Step 3 - Dean-Director-AVP'!F14))</f>
        <v/>
      </c>
      <c r="R117" s="20" t="str">
        <f>""</f>
        <v/>
      </c>
      <c r="S117" s="20" t="str">
        <f>""</f>
        <v/>
      </c>
      <c r="T117" s="20" t="str">
        <f>""</f>
        <v/>
      </c>
      <c r="U117" s="20" t="str">
        <f>IF('Step 3 - Dean-Director-AVP'!B14="","",'Step 3 - Dean-Director-AVP'!I14)</f>
        <v/>
      </c>
      <c r="V117" s="19" t="str">
        <f>IF('Step 3 - Dean-Director-AVP'!B14="","",'Step 3 - Dean-Director-AVP'!K14)</f>
        <v/>
      </c>
      <c r="W117" s="20" t="str">
        <f>IF('Step 3 - Dean-Director-AVP'!B14="","",'Step 3 - Dean-Director-AVP'!L14)</f>
        <v/>
      </c>
      <c r="X117" s="19" t="str">
        <f>IF('Step 3 - Dean-Director-AVP'!B14="","",'Step 3 - Dean-Director-AVP'!N14)</f>
        <v/>
      </c>
      <c r="Y117" s="20" t="str">
        <f>""</f>
        <v/>
      </c>
      <c r="Z117" s="20" t="str">
        <f>""</f>
        <v/>
      </c>
      <c r="AA117" s="20" t="str">
        <f>""</f>
        <v/>
      </c>
      <c r="AB117" s="20" t="str">
        <f>""</f>
        <v/>
      </c>
      <c r="AC117" s="20" t="str">
        <f>""</f>
        <v/>
      </c>
      <c r="AD117" s="20" t="str">
        <f>""</f>
        <v/>
      </c>
      <c r="AE117" s="20" t="str">
        <f>""</f>
        <v/>
      </c>
      <c r="AF117" s="20" t="str">
        <f>""</f>
        <v/>
      </c>
      <c r="AG117" s="20" t="str">
        <f>""</f>
        <v/>
      </c>
      <c r="AH117" s="20" t="str">
        <f>""</f>
        <v/>
      </c>
      <c r="AI117" s="20" t="str">
        <f>""</f>
        <v/>
      </c>
      <c r="AJ117" s="20" t="str">
        <f>""</f>
        <v/>
      </c>
      <c r="AK117" s="20" t="str">
        <f>""</f>
        <v/>
      </c>
      <c r="AL117" s="20" t="str">
        <f>""</f>
        <v/>
      </c>
      <c r="AM117" s="20" t="str">
        <f>""</f>
        <v/>
      </c>
    </row>
    <row r="118" spans="1:39" ht="15.75" customHeight="1" x14ac:dyDescent="0.25">
      <c r="A118" s="17" t="str">
        <f>IF('Step 3 - Dean-Director-AVP'!B15="","","Active")</f>
        <v/>
      </c>
      <c r="B118" s="18" t="str">
        <f>IF('Step 3 - Dean-Director-AVP'!B15="","",'Step 3 - Dean-Director-AVP'!B15)</f>
        <v/>
      </c>
      <c r="C118" s="18" t="str">
        <f>IF('Step 3 - Dean-Director-AVP'!B15="","",'Step 3 - Dean-Director-AVP'!B15)</f>
        <v/>
      </c>
      <c r="D118" s="17" t="str">
        <f>IF('Step 3 - Dean-Director-AVP'!B15="","",'Step 3 - Dean-Director-AVP'!G15)</f>
        <v/>
      </c>
      <c r="E118" s="17" t="str">
        <f>IF('Step 3 - Dean-Director-AVP'!B15="","",'Step 3 - Dean-Director-AVP'!H15)</f>
        <v/>
      </c>
      <c r="F118" s="18" t="str">
        <f>IF('Step 3 - Dean-Director-AVP'!B15="","",IF('Step 3 - Dean-Director-AVP'!C15="","","Fund Code"))</f>
        <v/>
      </c>
      <c r="G118" s="17" t="str">
        <f>IF('Step 3 - Dean-Director-AVP'!B15="","",IF('Step 3 - Dean-Director-AVP'!C15="","","Equals"))</f>
        <v/>
      </c>
      <c r="H118" s="18" t="str">
        <f>IF('Step 3 - Dean-Director-AVP'!B15="","",IF('Step 3 - Dean-Director-AVP'!C15="","",'Step 3 - Dean-Director-AVP'!C15))</f>
        <v/>
      </c>
      <c r="I118" s="18" t="str">
        <f>IF('Step 3 - Dean-Director-AVP'!B15="","","Organization Code")</f>
        <v/>
      </c>
      <c r="J118" s="17" t="str">
        <f>IF('Step 3 - Dean-Director-AVP'!B15="","","Equals")</f>
        <v/>
      </c>
      <c r="K118" s="18" t="str">
        <f>IF('Step 3 - Dean-Director-AVP'!B15="","",'Step 3 - Dean-Director-AVP'!D15)</f>
        <v/>
      </c>
      <c r="L118" s="18" t="str">
        <f>IF('Step 3 - Dean-Director-AVP'!B15="","","Other Criteria")</f>
        <v/>
      </c>
      <c r="M118" s="17" t="str">
        <f>IF('Step 3 - Dean-Director-AVP'!B15="","","Equals")</f>
        <v/>
      </c>
      <c r="N118" s="18" t="str">
        <f>IF('Step 3 - Dean-Director-AVP'!B15="","",'Step 3 - Dean-Director-AVP'!E15)</f>
        <v/>
      </c>
      <c r="O118" s="18" t="str">
        <f>IF('Step 3 - Dean-Director-AVP'!B15="","",IF('Step 3 - Dean-Director-AVP'!F15="","","Total"))</f>
        <v/>
      </c>
      <c r="P118" s="17" t="str">
        <f>IF('Step 3 - Dean-Director-AVP'!B15="","",IF('Step 3 - Dean-Director-AVP'!F15="","","&gt;="))</f>
        <v/>
      </c>
      <c r="Q118" s="18" t="str">
        <f>IF('Step 3 - Dean-Director-AVP'!B15="","",IF('Step 3 - Dean-Director-AVP'!F15="","",'Step 3 - Dean-Director-AVP'!F15))</f>
        <v/>
      </c>
      <c r="R118" s="18" t="str">
        <f>""</f>
        <v/>
      </c>
      <c r="S118" s="18" t="str">
        <f>""</f>
        <v/>
      </c>
      <c r="T118" s="18" t="str">
        <f>""</f>
        <v/>
      </c>
      <c r="U118" s="18" t="str">
        <f>IF('Step 3 - Dean-Director-AVP'!B15="","",'Step 3 - Dean-Director-AVP'!I15)</f>
        <v/>
      </c>
      <c r="V118" s="17" t="str">
        <f>IF('Step 3 - Dean-Director-AVP'!B15="","",'Step 3 - Dean-Director-AVP'!K15)</f>
        <v/>
      </c>
      <c r="W118" s="18" t="str">
        <f>IF('Step 3 - Dean-Director-AVP'!B15="","",'Step 3 - Dean-Director-AVP'!L15)</f>
        <v/>
      </c>
      <c r="X118" s="17" t="str">
        <f>IF('Step 3 - Dean-Director-AVP'!B15="","",'Step 3 - Dean-Director-AVP'!N15)</f>
        <v/>
      </c>
      <c r="Y118" s="18" t="str">
        <f>""</f>
        <v/>
      </c>
      <c r="Z118" s="18" t="str">
        <f>""</f>
        <v/>
      </c>
      <c r="AA118" s="18" t="str">
        <f>""</f>
        <v/>
      </c>
      <c r="AB118" s="18" t="str">
        <f>""</f>
        <v/>
      </c>
      <c r="AC118" s="18" t="str">
        <f>""</f>
        <v/>
      </c>
      <c r="AD118" s="18" t="str">
        <f>""</f>
        <v/>
      </c>
      <c r="AE118" s="18" t="str">
        <f>""</f>
        <v/>
      </c>
      <c r="AF118" s="18" t="str">
        <f>""</f>
        <v/>
      </c>
      <c r="AG118" s="18" t="str">
        <f>""</f>
        <v/>
      </c>
      <c r="AH118" s="18" t="str">
        <f>""</f>
        <v/>
      </c>
      <c r="AI118" s="18" t="str">
        <f>""</f>
        <v/>
      </c>
      <c r="AJ118" s="18" t="str">
        <f>""</f>
        <v/>
      </c>
      <c r="AK118" s="18" t="str">
        <f>""</f>
        <v/>
      </c>
      <c r="AL118" s="18" t="str">
        <f>""</f>
        <v/>
      </c>
      <c r="AM118" s="18" t="str">
        <f>""</f>
        <v/>
      </c>
    </row>
    <row r="119" spans="1:39" ht="15.75" customHeight="1" x14ac:dyDescent="0.25">
      <c r="A119" s="19" t="str">
        <f>IF('Step 3 - Dean-Director-AVP'!B16="","","Active")</f>
        <v/>
      </c>
      <c r="B119" s="20" t="str">
        <f>IF('Step 3 - Dean-Director-AVP'!B16="","",'Step 3 - Dean-Director-AVP'!B16)</f>
        <v/>
      </c>
      <c r="C119" s="20" t="str">
        <f>IF('Step 3 - Dean-Director-AVP'!B16="","",'Step 3 - Dean-Director-AVP'!B16)</f>
        <v/>
      </c>
      <c r="D119" s="19" t="str">
        <f>IF('Step 3 - Dean-Director-AVP'!B16="","",'Step 3 - Dean-Director-AVP'!G16)</f>
        <v/>
      </c>
      <c r="E119" s="19" t="str">
        <f>IF('Step 3 - Dean-Director-AVP'!B16="","",'Step 3 - Dean-Director-AVP'!H16)</f>
        <v/>
      </c>
      <c r="F119" s="20" t="str">
        <f>IF('Step 3 - Dean-Director-AVP'!B16="","",IF('Step 3 - Dean-Director-AVP'!C16="","","Fund Code"))</f>
        <v/>
      </c>
      <c r="G119" s="19" t="str">
        <f>IF('Step 3 - Dean-Director-AVP'!B16="","",IF('Step 3 - Dean-Director-AVP'!C16="","","Equals"))</f>
        <v/>
      </c>
      <c r="H119" s="20" t="str">
        <f>IF('Step 3 - Dean-Director-AVP'!B16="","",IF('Step 3 - Dean-Director-AVP'!C16="","",'Step 3 - Dean-Director-AVP'!C16))</f>
        <v/>
      </c>
      <c r="I119" s="20" t="str">
        <f>IF('Step 3 - Dean-Director-AVP'!B16="","","Organization Code")</f>
        <v/>
      </c>
      <c r="J119" s="19" t="str">
        <f>IF('Step 3 - Dean-Director-AVP'!B16="","","Equals")</f>
        <v/>
      </c>
      <c r="K119" s="20" t="str">
        <f>IF('Step 3 - Dean-Director-AVP'!B16="","",'Step 3 - Dean-Director-AVP'!D16)</f>
        <v/>
      </c>
      <c r="L119" s="20" t="str">
        <f>IF('Step 3 - Dean-Director-AVP'!B16="","","Other Criteria")</f>
        <v/>
      </c>
      <c r="M119" s="19" t="str">
        <f>IF('Step 3 - Dean-Director-AVP'!B16="","","Equals")</f>
        <v/>
      </c>
      <c r="N119" s="20" t="str">
        <f>IF('Step 3 - Dean-Director-AVP'!B16="","",'Step 3 - Dean-Director-AVP'!E16)</f>
        <v/>
      </c>
      <c r="O119" s="20" t="str">
        <f>IF('Step 3 - Dean-Director-AVP'!B16="","",IF('Step 3 - Dean-Director-AVP'!F16="","","Total"))</f>
        <v/>
      </c>
      <c r="P119" s="19" t="str">
        <f>IF('Step 3 - Dean-Director-AVP'!B16="","",IF('Step 3 - Dean-Director-AVP'!F16="","","&gt;="))</f>
        <v/>
      </c>
      <c r="Q119" s="20" t="str">
        <f>IF('Step 3 - Dean-Director-AVP'!B16="","",IF('Step 3 - Dean-Director-AVP'!F16="","",'Step 3 - Dean-Director-AVP'!F16))</f>
        <v/>
      </c>
      <c r="R119" s="20" t="str">
        <f>""</f>
        <v/>
      </c>
      <c r="S119" s="20" t="str">
        <f>""</f>
        <v/>
      </c>
      <c r="T119" s="20" t="str">
        <f>""</f>
        <v/>
      </c>
      <c r="U119" s="20" t="str">
        <f>IF('Step 3 - Dean-Director-AVP'!B16="","",'Step 3 - Dean-Director-AVP'!I16)</f>
        <v/>
      </c>
      <c r="V119" s="19" t="str">
        <f>IF('Step 3 - Dean-Director-AVP'!B16="","",'Step 3 - Dean-Director-AVP'!K16)</f>
        <v/>
      </c>
      <c r="W119" s="20" t="str">
        <f>IF('Step 3 - Dean-Director-AVP'!B16="","",'Step 3 - Dean-Director-AVP'!L16)</f>
        <v/>
      </c>
      <c r="X119" s="19" t="str">
        <f>IF('Step 3 - Dean-Director-AVP'!B16="","",'Step 3 - Dean-Director-AVP'!N16)</f>
        <v/>
      </c>
      <c r="Y119" s="20" t="str">
        <f>""</f>
        <v/>
      </c>
      <c r="Z119" s="20" t="str">
        <f>""</f>
        <v/>
      </c>
      <c r="AA119" s="20" t="str">
        <f>""</f>
        <v/>
      </c>
      <c r="AB119" s="20" t="str">
        <f>""</f>
        <v/>
      </c>
      <c r="AC119" s="20" t="str">
        <f>""</f>
        <v/>
      </c>
      <c r="AD119" s="20" t="str">
        <f>""</f>
        <v/>
      </c>
      <c r="AE119" s="20" t="str">
        <f>""</f>
        <v/>
      </c>
      <c r="AF119" s="20" t="str">
        <f>""</f>
        <v/>
      </c>
      <c r="AG119" s="20" t="str">
        <f>""</f>
        <v/>
      </c>
      <c r="AH119" s="20" t="str">
        <f>""</f>
        <v/>
      </c>
      <c r="AI119" s="20" t="str">
        <f>""</f>
        <v/>
      </c>
      <c r="AJ119" s="20" t="str">
        <f>""</f>
        <v/>
      </c>
      <c r="AK119" s="20" t="str">
        <f>""</f>
        <v/>
      </c>
      <c r="AL119" s="20" t="str">
        <f>""</f>
        <v/>
      </c>
      <c r="AM119" s="20" t="str">
        <f>""</f>
        <v/>
      </c>
    </row>
    <row r="120" spans="1:39" ht="15.75" customHeight="1" x14ac:dyDescent="0.25">
      <c r="A120" s="17" t="str">
        <f>IF('Step 3 - Dean-Director-AVP'!B17="","","Active")</f>
        <v/>
      </c>
      <c r="B120" s="18" t="str">
        <f>IF('Step 3 - Dean-Director-AVP'!B17="","",'Step 3 - Dean-Director-AVP'!B17)</f>
        <v/>
      </c>
      <c r="C120" s="18" t="str">
        <f>IF('Step 3 - Dean-Director-AVP'!B17="","",'Step 3 - Dean-Director-AVP'!B17)</f>
        <v/>
      </c>
      <c r="D120" s="17" t="str">
        <f>IF('Step 3 - Dean-Director-AVP'!B17="","",'Step 3 - Dean-Director-AVP'!G17)</f>
        <v/>
      </c>
      <c r="E120" s="17" t="str">
        <f>IF('Step 3 - Dean-Director-AVP'!B17="","",'Step 3 - Dean-Director-AVP'!H17)</f>
        <v/>
      </c>
      <c r="F120" s="18" t="str">
        <f>IF('Step 3 - Dean-Director-AVP'!B17="","",IF('Step 3 - Dean-Director-AVP'!C17="","","Fund Code"))</f>
        <v/>
      </c>
      <c r="G120" s="17" t="str">
        <f>IF('Step 3 - Dean-Director-AVP'!B17="","",IF('Step 3 - Dean-Director-AVP'!C17="","","Equals"))</f>
        <v/>
      </c>
      <c r="H120" s="18" t="str">
        <f>IF('Step 3 - Dean-Director-AVP'!B17="","",IF('Step 3 - Dean-Director-AVP'!C17="","",'Step 3 - Dean-Director-AVP'!C17))</f>
        <v/>
      </c>
      <c r="I120" s="18" t="str">
        <f>IF('Step 3 - Dean-Director-AVP'!B17="","","Organization Code")</f>
        <v/>
      </c>
      <c r="J120" s="17" t="str">
        <f>IF('Step 3 - Dean-Director-AVP'!B17="","","Equals")</f>
        <v/>
      </c>
      <c r="K120" s="18" t="str">
        <f>IF('Step 3 - Dean-Director-AVP'!B17="","",'Step 3 - Dean-Director-AVP'!D17)</f>
        <v/>
      </c>
      <c r="L120" s="18" t="str">
        <f>IF('Step 3 - Dean-Director-AVP'!B17="","","Other Criteria")</f>
        <v/>
      </c>
      <c r="M120" s="17" t="str">
        <f>IF('Step 3 - Dean-Director-AVP'!B17="","","Equals")</f>
        <v/>
      </c>
      <c r="N120" s="18" t="str">
        <f>IF('Step 3 - Dean-Director-AVP'!B17="","",'Step 3 - Dean-Director-AVP'!E17)</f>
        <v/>
      </c>
      <c r="O120" s="18" t="str">
        <f>IF('Step 3 - Dean-Director-AVP'!B17="","",IF('Step 3 - Dean-Director-AVP'!F17="","","Total"))</f>
        <v/>
      </c>
      <c r="P120" s="17" t="str">
        <f>IF('Step 3 - Dean-Director-AVP'!B17="","",IF('Step 3 - Dean-Director-AVP'!F17="","","&gt;="))</f>
        <v/>
      </c>
      <c r="Q120" s="18" t="str">
        <f>IF('Step 3 - Dean-Director-AVP'!B17="","",IF('Step 3 - Dean-Director-AVP'!F17="","",'Step 3 - Dean-Director-AVP'!F17))</f>
        <v/>
      </c>
      <c r="R120" s="18" t="str">
        <f>""</f>
        <v/>
      </c>
      <c r="S120" s="18" t="str">
        <f>""</f>
        <v/>
      </c>
      <c r="T120" s="18" t="str">
        <f>""</f>
        <v/>
      </c>
      <c r="U120" s="18" t="str">
        <f>IF('Step 3 - Dean-Director-AVP'!B17="","",'Step 3 - Dean-Director-AVP'!I17)</f>
        <v/>
      </c>
      <c r="V120" s="17" t="str">
        <f>IF('Step 3 - Dean-Director-AVP'!B17="","",'Step 3 - Dean-Director-AVP'!K17)</f>
        <v/>
      </c>
      <c r="W120" s="18" t="str">
        <f>IF('Step 3 - Dean-Director-AVP'!B17="","",'Step 3 - Dean-Director-AVP'!L17)</f>
        <v/>
      </c>
      <c r="X120" s="17" t="str">
        <f>IF('Step 3 - Dean-Director-AVP'!B17="","",'Step 3 - Dean-Director-AVP'!N17)</f>
        <v/>
      </c>
      <c r="Y120" s="18" t="str">
        <f>""</f>
        <v/>
      </c>
      <c r="Z120" s="18" t="str">
        <f>""</f>
        <v/>
      </c>
      <c r="AA120" s="18" t="str">
        <f>""</f>
        <v/>
      </c>
      <c r="AB120" s="18" t="str">
        <f>""</f>
        <v/>
      </c>
      <c r="AC120" s="18" t="str">
        <f>""</f>
        <v/>
      </c>
      <c r="AD120" s="18" t="str">
        <f>""</f>
        <v/>
      </c>
      <c r="AE120" s="18" t="str">
        <f>""</f>
        <v/>
      </c>
      <c r="AF120" s="18" t="str">
        <f>""</f>
        <v/>
      </c>
      <c r="AG120" s="18" t="str">
        <f>""</f>
        <v/>
      </c>
      <c r="AH120" s="18" t="str">
        <f>""</f>
        <v/>
      </c>
      <c r="AI120" s="18" t="str">
        <f>""</f>
        <v/>
      </c>
      <c r="AJ120" s="18" t="str">
        <f>""</f>
        <v/>
      </c>
      <c r="AK120" s="18" t="str">
        <f>""</f>
        <v/>
      </c>
      <c r="AL120" s="18" t="str">
        <f>""</f>
        <v/>
      </c>
      <c r="AM120" s="18" t="str">
        <f>""</f>
        <v/>
      </c>
    </row>
    <row r="121" spans="1:39" ht="15.75" customHeight="1" x14ac:dyDescent="0.25">
      <c r="A121" s="19" t="str">
        <f>IF('Step 3 - Dean-Director-AVP'!B18="","","Active")</f>
        <v/>
      </c>
      <c r="B121" s="20" t="str">
        <f>IF('Step 3 - Dean-Director-AVP'!B18="","",'Step 3 - Dean-Director-AVP'!B18)</f>
        <v/>
      </c>
      <c r="C121" s="20" t="str">
        <f>IF('Step 3 - Dean-Director-AVP'!B18="","",'Step 3 - Dean-Director-AVP'!B18)</f>
        <v/>
      </c>
      <c r="D121" s="19" t="str">
        <f>IF('Step 3 - Dean-Director-AVP'!B18="","",'Step 3 - Dean-Director-AVP'!G18)</f>
        <v/>
      </c>
      <c r="E121" s="19" t="str">
        <f>IF('Step 3 - Dean-Director-AVP'!B18="","",'Step 3 - Dean-Director-AVP'!H18)</f>
        <v/>
      </c>
      <c r="F121" s="20" t="str">
        <f>IF('Step 3 - Dean-Director-AVP'!B18="","",IF('Step 3 - Dean-Director-AVP'!C18="","","Fund Code"))</f>
        <v/>
      </c>
      <c r="G121" s="19" t="str">
        <f>IF('Step 3 - Dean-Director-AVP'!B18="","",IF('Step 3 - Dean-Director-AVP'!C18="","","Equals"))</f>
        <v/>
      </c>
      <c r="H121" s="20" t="str">
        <f>IF('Step 3 - Dean-Director-AVP'!B18="","",IF('Step 3 - Dean-Director-AVP'!C18="","",'Step 3 - Dean-Director-AVP'!C18))</f>
        <v/>
      </c>
      <c r="I121" s="20" t="str">
        <f>IF('Step 3 - Dean-Director-AVP'!B18="","","Organization Code")</f>
        <v/>
      </c>
      <c r="J121" s="19" t="str">
        <f>IF('Step 3 - Dean-Director-AVP'!B18="","","Equals")</f>
        <v/>
      </c>
      <c r="K121" s="20" t="str">
        <f>IF('Step 3 - Dean-Director-AVP'!B18="","",'Step 3 - Dean-Director-AVP'!D18)</f>
        <v/>
      </c>
      <c r="L121" s="20" t="str">
        <f>IF('Step 3 - Dean-Director-AVP'!B18="","","Other Criteria")</f>
        <v/>
      </c>
      <c r="M121" s="19" t="str">
        <f>IF('Step 3 - Dean-Director-AVP'!B18="","","Equals")</f>
        <v/>
      </c>
      <c r="N121" s="20" t="str">
        <f>IF('Step 3 - Dean-Director-AVP'!B18="","",'Step 3 - Dean-Director-AVP'!E18)</f>
        <v/>
      </c>
      <c r="O121" s="20" t="str">
        <f>IF('Step 3 - Dean-Director-AVP'!B18="","",IF('Step 3 - Dean-Director-AVP'!F18="","","Total"))</f>
        <v/>
      </c>
      <c r="P121" s="19" t="str">
        <f>IF('Step 3 - Dean-Director-AVP'!B18="","",IF('Step 3 - Dean-Director-AVP'!F18="","","&gt;="))</f>
        <v/>
      </c>
      <c r="Q121" s="20" t="str">
        <f>IF('Step 3 - Dean-Director-AVP'!B18="","",IF('Step 3 - Dean-Director-AVP'!F18="","",'Step 3 - Dean-Director-AVP'!F18))</f>
        <v/>
      </c>
      <c r="R121" s="20" t="str">
        <f>""</f>
        <v/>
      </c>
      <c r="S121" s="20" t="str">
        <f>""</f>
        <v/>
      </c>
      <c r="T121" s="20" t="str">
        <f>""</f>
        <v/>
      </c>
      <c r="U121" s="20" t="str">
        <f>IF('Step 3 - Dean-Director-AVP'!B18="","",'Step 3 - Dean-Director-AVP'!I18)</f>
        <v/>
      </c>
      <c r="V121" s="19" t="str">
        <f>IF('Step 3 - Dean-Director-AVP'!B18="","",'Step 3 - Dean-Director-AVP'!K18)</f>
        <v/>
      </c>
      <c r="W121" s="20" t="str">
        <f>IF('Step 3 - Dean-Director-AVP'!B18="","",'Step 3 - Dean-Director-AVP'!L18)</f>
        <v/>
      </c>
      <c r="X121" s="19" t="str">
        <f>IF('Step 3 - Dean-Director-AVP'!B18="","",'Step 3 - Dean-Director-AVP'!N18)</f>
        <v/>
      </c>
      <c r="Y121" s="20" t="str">
        <f>""</f>
        <v/>
      </c>
      <c r="Z121" s="20" t="str">
        <f>""</f>
        <v/>
      </c>
      <c r="AA121" s="20" t="str">
        <f>""</f>
        <v/>
      </c>
      <c r="AB121" s="20" t="str">
        <f>""</f>
        <v/>
      </c>
      <c r="AC121" s="20" t="str">
        <f>""</f>
        <v/>
      </c>
      <c r="AD121" s="20" t="str">
        <f>""</f>
        <v/>
      </c>
      <c r="AE121" s="20" t="str">
        <f>""</f>
        <v/>
      </c>
      <c r="AF121" s="20" t="str">
        <f>""</f>
        <v/>
      </c>
      <c r="AG121" s="20" t="str">
        <f>""</f>
        <v/>
      </c>
      <c r="AH121" s="20" t="str">
        <f>""</f>
        <v/>
      </c>
      <c r="AI121" s="20" t="str">
        <f>""</f>
        <v/>
      </c>
      <c r="AJ121" s="20" t="str">
        <f>""</f>
        <v/>
      </c>
      <c r="AK121" s="20" t="str">
        <f>""</f>
        <v/>
      </c>
      <c r="AL121" s="20" t="str">
        <f>""</f>
        <v/>
      </c>
      <c r="AM121" s="20" t="str">
        <f>""</f>
        <v/>
      </c>
    </row>
    <row r="122" spans="1:39" ht="15.75" customHeight="1" x14ac:dyDescent="0.25">
      <c r="A122" s="17" t="str">
        <f>IF('Step 3 - Dean-Director-AVP'!B19="","","Active")</f>
        <v/>
      </c>
      <c r="B122" s="18" t="str">
        <f>IF('Step 3 - Dean-Director-AVP'!B19="","",'Step 3 - Dean-Director-AVP'!B19)</f>
        <v/>
      </c>
      <c r="C122" s="18" t="str">
        <f>IF('Step 3 - Dean-Director-AVP'!B19="","",'Step 3 - Dean-Director-AVP'!B19)</f>
        <v/>
      </c>
      <c r="D122" s="17" t="str">
        <f>IF('Step 3 - Dean-Director-AVP'!B19="","",'Step 3 - Dean-Director-AVP'!G19)</f>
        <v/>
      </c>
      <c r="E122" s="17" t="str">
        <f>IF('Step 3 - Dean-Director-AVP'!B19="","",'Step 3 - Dean-Director-AVP'!H19)</f>
        <v/>
      </c>
      <c r="F122" s="18" t="str">
        <f>IF('Step 3 - Dean-Director-AVP'!B19="","",IF('Step 3 - Dean-Director-AVP'!C19="","","Fund Code"))</f>
        <v/>
      </c>
      <c r="G122" s="17" t="str">
        <f>IF('Step 3 - Dean-Director-AVP'!B19="","",IF('Step 3 - Dean-Director-AVP'!C19="","","Equals"))</f>
        <v/>
      </c>
      <c r="H122" s="18" t="str">
        <f>IF('Step 3 - Dean-Director-AVP'!B19="","",IF('Step 3 - Dean-Director-AVP'!C19="","",'Step 3 - Dean-Director-AVP'!C19))</f>
        <v/>
      </c>
      <c r="I122" s="18" t="str">
        <f>IF('Step 3 - Dean-Director-AVP'!B19="","","Organization Code")</f>
        <v/>
      </c>
      <c r="J122" s="17" t="str">
        <f>IF('Step 3 - Dean-Director-AVP'!B19="","","Equals")</f>
        <v/>
      </c>
      <c r="K122" s="18" t="str">
        <f>IF('Step 3 - Dean-Director-AVP'!B19="","",'Step 3 - Dean-Director-AVP'!D19)</f>
        <v/>
      </c>
      <c r="L122" s="18" t="str">
        <f>IF('Step 3 - Dean-Director-AVP'!B19="","","Other Criteria")</f>
        <v/>
      </c>
      <c r="M122" s="17" t="str">
        <f>IF('Step 3 - Dean-Director-AVP'!B19="","","Equals")</f>
        <v/>
      </c>
      <c r="N122" s="18" t="str">
        <f>IF('Step 3 - Dean-Director-AVP'!B19="","",'Step 3 - Dean-Director-AVP'!E19)</f>
        <v/>
      </c>
      <c r="O122" s="18" t="str">
        <f>IF('Step 3 - Dean-Director-AVP'!B19="","",IF('Step 3 - Dean-Director-AVP'!F19="","","Total"))</f>
        <v/>
      </c>
      <c r="P122" s="17" t="str">
        <f>IF('Step 3 - Dean-Director-AVP'!B19="","",IF('Step 3 - Dean-Director-AVP'!F19="","","&gt;="))</f>
        <v/>
      </c>
      <c r="Q122" s="18" t="str">
        <f>IF('Step 3 - Dean-Director-AVP'!B19="","",IF('Step 3 - Dean-Director-AVP'!F19="","",'Step 3 - Dean-Director-AVP'!F19))</f>
        <v/>
      </c>
      <c r="R122" s="18" t="str">
        <f>""</f>
        <v/>
      </c>
      <c r="S122" s="18" t="str">
        <f>""</f>
        <v/>
      </c>
      <c r="T122" s="18" t="str">
        <f>""</f>
        <v/>
      </c>
      <c r="U122" s="18" t="str">
        <f>IF('Step 3 - Dean-Director-AVP'!B19="","",'Step 3 - Dean-Director-AVP'!I19)</f>
        <v/>
      </c>
      <c r="V122" s="17" t="str">
        <f>IF('Step 3 - Dean-Director-AVP'!B19="","",'Step 3 - Dean-Director-AVP'!K19)</f>
        <v/>
      </c>
      <c r="W122" s="18" t="str">
        <f>IF('Step 3 - Dean-Director-AVP'!B19="","",'Step 3 - Dean-Director-AVP'!L19)</f>
        <v/>
      </c>
      <c r="X122" s="17" t="str">
        <f>IF('Step 3 - Dean-Director-AVP'!B19="","",'Step 3 - Dean-Director-AVP'!N19)</f>
        <v/>
      </c>
      <c r="Y122" s="18" t="str">
        <f>""</f>
        <v/>
      </c>
      <c r="Z122" s="18" t="str">
        <f>""</f>
        <v/>
      </c>
      <c r="AA122" s="18" t="str">
        <f>""</f>
        <v/>
      </c>
      <c r="AB122" s="18" t="str">
        <f>""</f>
        <v/>
      </c>
      <c r="AC122" s="18" t="str">
        <f>""</f>
        <v/>
      </c>
      <c r="AD122" s="18" t="str">
        <f>""</f>
        <v/>
      </c>
      <c r="AE122" s="18" t="str">
        <f>""</f>
        <v/>
      </c>
      <c r="AF122" s="18" t="str">
        <f>""</f>
        <v/>
      </c>
      <c r="AG122" s="18" t="str">
        <f>""</f>
        <v/>
      </c>
      <c r="AH122" s="18" t="str">
        <f>""</f>
        <v/>
      </c>
      <c r="AI122" s="18" t="str">
        <f>""</f>
        <v/>
      </c>
      <c r="AJ122" s="18" t="str">
        <f>""</f>
        <v/>
      </c>
      <c r="AK122" s="18" t="str">
        <f>""</f>
        <v/>
      </c>
      <c r="AL122" s="18" t="str">
        <f>""</f>
        <v/>
      </c>
      <c r="AM122" s="18" t="str">
        <f>""</f>
        <v/>
      </c>
    </row>
    <row r="123" spans="1:39" ht="15.75" customHeight="1" x14ac:dyDescent="0.25">
      <c r="A123" s="19" t="str">
        <f>IF('Step 3 - Dean-Director-AVP'!B20="","","Active")</f>
        <v/>
      </c>
      <c r="B123" s="20" t="str">
        <f>IF('Step 3 - Dean-Director-AVP'!B20="","",'Step 3 - Dean-Director-AVP'!B20)</f>
        <v/>
      </c>
      <c r="C123" s="20" t="str">
        <f>IF('Step 3 - Dean-Director-AVP'!B20="","",'Step 3 - Dean-Director-AVP'!B20)</f>
        <v/>
      </c>
      <c r="D123" s="19" t="str">
        <f>IF('Step 3 - Dean-Director-AVP'!B20="","",'Step 3 - Dean-Director-AVP'!G20)</f>
        <v/>
      </c>
      <c r="E123" s="19" t="str">
        <f>IF('Step 3 - Dean-Director-AVP'!B20="","",'Step 3 - Dean-Director-AVP'!H20)</f>
        <v/>
      </c>
      <c r="F123" s="20" t="str">
        <f>IF('Step 3 - Dean-Director-AVP'!B20="","",IF('Step 3 - Dean-Director-AVP'!C20="","","Fund Code"))</f>
        <v/>
      </c>
      <c r="G123" s="19" t="str">
        <f>IF('Step 3 - Dean-Director-AVP'!B20="","",IF('Step 3 - Dean-Director-AVP'!C20="","","Equals"))</f>
        <v/>
      </c>
      <c r="H123" s="20" t="str">
        <f>IF('Step 3 - Dean-Director-AVP'!B20="","",IF('Step 3 - Dean-Director-AVP'!C20="","",'Step 3 - Dean-Director-AVP'!C20))</f>
        <v/>
      </c>
      <c r="I123" s="20" t="str">
        <f>IF('Step 3 - Dean-Director-AVP'!B20="","","Organization Code")</f>
        <v/>
      </c>
      <c r="J123" s="19" t="str">
        <f>IF('Step 3 - Dean-Director-AVP'!B20="","","Equals")</f>
        <v/>
      </c>
      <c r="K123" s="20" t="str">
        <f>IF('Step 3 - Dean-Director-AVP'!B20="","",'Step 3 - Dean-Director-AVP'!D20)</f>
        <v/>
      </c>
      <c r="L123" s="20" t="str">
        <f>IF('Step 3 - Dean-Director-AVP'!B20="","","Other Criteria")</f>
        <v/>
      </c>
      <c r="M123" s="19" t="str">
        <f>IF('Step 3 - Dean-Director-AVP'!B20="","","Equals")</f>
        <v/>
      </c>
      <c r="N123" s="20" t="str">
        <f>IF('Step 3 - Dean-Director-AVP'!B20="","",'Step 3 - Dean-Director-AVP'!E20)</f>
        <v/>
      </c>
      <c r="O123" s="20" t="str">
        <f>IF('Step 3 - Dean-Director-AVP'!B20="","",IF('Step 3 - Dean-Director-AVP'!F20="","","Total"))</f>
        <v/>
      </c>
      <c r="P123" s="19" t="str">
        <f>IF('Step 3 - Dean-Director-AVP'!B20="","",IF('Step 3 - Dean-Director-AVP'!F20="","","&gt;="))</f>
        <v/>
      </c>
      <c r="Q123" s="20" t="str">
        <f>IF('Step 3 - Dean-Director-AVP'!B20="","",IF('Step 3 - Dean-Director-AVP'!F20="","",'Step 3 - Dean-Director-AVP'!F20))</f>
        <v/>
      </c>
      <c r="R123" s="20" t="str">
        <f>""</f>
        <v/>
      </c>
      <c r="S123" s="20" t="str">
        <f>""</f>
        <v/>
      </c>
      <c r="T123" s="20" t="str">
        <f>""</f>
        <v/>
      </c>
      <c r="U123" s="20" t="str">
        <f>IF('Step 3 - Dean-Director-AVP'!B20="","",'Step 3 - Dean-Director-AVP'!I20)</f>
        <v/>
      </c>
      <c r="V123" s="19" t="str">
        <f>IF('Step 3 - Dean-Director-AVP'!B20="","",'Step 3 - Dean-Director-AVP'!K20)</f>
        <v/>
      </c>
      <c r="W123" s="20" t="str">
        <f>IF('Step 3 - Dean-Director-AVP'!B20="","",'Step 3 - Dean-Director-AVP'!L20)</f>
        <v/>
      </c>
      <c r="X123" s="19" t="str">
        <f>IF('Step 3 - Dean-Director-AVP'!B20="","",'Step 3 - Dean-Director-AVP'!N20)</f>
        <v/>
      </c>
      <c r="Y123" s="20" t="str">
        <f>""</f>
        <v/>
      </c>
      <c r="Z123" s="20" t="str">
        <f>""</f>
        <v/>
      </c>
      <c r="AA123" s="20" t="str">
        <f>""</f>
        <v/>
      </c>
      <c r="AB123" s="20" t="str">
        <f>""</f>
        <v/>
      </c>
      <c r="AC123" s="20" t="str">
        <f>""</f>
        <v/>
      </c>
      <c r="AD123" s="20" t="str">
        <f>""</f>
        <v/>
      </c>
      <c r="AE123" s="20" t="str">
        <f>""</f>
        <v/>
      </c>
      <c r="AF123" s="20" t="str">
        <f>""</f>
        <v/>
      </c>
      <c r="AG123" s="20" t="str">
        <f>""</f>
        <v/>
      </c>
      <c r="AH123" s="20" t="str">
        <f>""</f>
        <v/>
      </c>
      <c r="AI123" s="20" t="str">
        <f>""</f>
        <v/>
      </c>
      <c r="AJ123" s="20" t="str">
        <f>""</f>
        <v/>
      </c>
      <c r="AK123" s="20" t="str">
        <f>""</f>
        <v/>
      </c>
      <c r="AL123" s="20" t="str">
        <f>""</f>
        <v/>
      </c>
      <c r="AM123" s="20" t="str">
        <f>""</f>
        <v/>
      </c>
    </row>
    <row r="124" spans="1:39" ht="15.75" customHeight="1" x14ac:dyDescent="0.25">
      <c r="A124" s="17" t="str">
        <f>IF('Step 3 - Dean-Director-AVP'!B21="","","Active")</f>
        <v/>
      </c>
      <c r="B124" s="18" t="str">
        <f>IF('Step 3 - Dean-Director-AVP'!B21="","",'Step 3 - Dean-Director-AVP'!B21)</f>
        <v/>
      </c>
      <c r="C124" s="18" t="str">
        <f>IF('Step 3 - Dean-Director-AVP'!B21="","",'Step 3 - Dean-Director-AVP'!B21)</f>
        <v/>
      </c>
      <c r="D124" s="17" t="str">
        <f>IF('Step 3 - Dean-Director-AVP'!B21="","",'Step 3 - Dean-Director-AVP'!G21)</f>
        <v/>
      </c>
      <c r="E124" s="17" t="str">
        <f>IF('Step 3 - Dean-Director-AVP'!B21="","",'Step 3 - Dean-Director-AVP'!H21)</f>
        <v/>
      </c>
      <c r="F124" s="18" t="str">
        <f>IF('Step 3 - Dean-Director-AVP'!B21="","",IF('Step 3 - Dean-Director-AVP'!C21="","","Fund Code"))</f>
        <v/>
      </c>
      <c r="G124" s="17" t="str">
        <f>IF('Step 3 - Dean-Director-AVP'!B21="","",IF('Step 3 - Dean-Director-AVP'!C21="","","Equals"))</f>
        <v/>
      </c>
      <c r="H124" s="18" t="str">
        <f>IF('Step 3 - Dean-Director-AVP'!B21="","",IF('Step 3 - Dean-Director-AVP'!C21="","",'Step 3 - Dean-Director-AVP'!C21))</f>
        <v/>
      </c>
      <c r="I124" s="18" t="str">
        <f>IF('Step 3 - Dean-Director-AVP'!B21="","","Organization Code")</f>
        <v/>
      </c>
      <c r="J124" s="17" t="str">
        <f>IF('Step 3 - Dean-Director-AVP'!B21="","","Equals")</f>
        <v/>
      </c>
      <c r="K124" s="18" t="str">
        <f>IF('Step 3 - Dean-Director-AVP'!B21="","",'Step 3 - Dean-Director-AVP'!D21)</f>
        <v/>
      </c>
      <c r="L124" s="18" t="str">
        <f>IF('Step 3 - Dean-Director-AVP'!B21="","","Other Criteria")</f>
        <v/>
      </c>
      <c r="M124" s="17" t="str">
        <f>IF('Step 3 - Dean-Director-AVP'!B21="","","Equals")</f>
        <v/>
      </c>
      <c r="N124" s="18" t="str">
        <f>IF('Step 3 - Dean-Director-AVP'!B21="","",'Step 3 - Dean-Director-AVP'!E21)</f>
        <v/>
      </c>
      <c r="O124" s="18" t="str">
        <f>IF('Step 3 - Dean-Director-AVP'!B21="","",IF('Step 3 - Dean-Director-AVP'!F21="","","Total"))</f>
        <v/>
      </c>
      <c r="P124" s="17" t="str">
        <f>IF('Step 3 - Dean-Director-AVP'!B21="","",IF('Step 3 - Dean-Director-AVP'!F21="","","&gt;="))</f>
        <v/>
      </c>
      <c r="Q124" s="18" t="str">
        <f>IF('Step 3 - Dean-Director-AVP'!B21="","",IF('Step 3 - Dean-Director-AVP'!F21="","",'Step 3 - Dean-Director-AVP'!F21))</f>
        <v/>
      </c>
      <c r="R124" s="18" t="str">
        <f>""</f>
        <v/>
      </c>
      <c r="S124" s="18" t="str">
        <f>""</f>
        <v/>
      </c>
      <c r="T124" s="18" t="str">
        <f>""</f>
        <v/>
      </c>
      <c r="U124" s="18" t="str">
        <f>IF('Step 3 - Dean-Director-AVP'!B21="","",'Step 3 - Dean-Director-AVP'!I21)</f>
        <v/>
      </c>
      <c r="V124" s="17" t="str">
        <f>IF('Step 3 - Dean-Director-AVP'!B21="","",'Step 3 - Dean-Director-AVP'!K21)</f>
        <v/>
      </c>
      <c r="W124" s="18" t="str">
        <f>IF('Step 3 - Dean-Director-AVP'!B21="","",'Step 3 - Dean-Director-AVP'!L21)</f>
        <v/>
      </c>
      <c r="X124" s="17" t="str">
        <f>IF('Step 3 - Dean-Director-AVP'!B21="","",'Step 3 - Dean-Director-AVP'!N21)</f>
        <v/>
      </c>
      <c r="Y124" s="18" t="str">
        <f>""</f>
        <v/>
      </c>
      <c r="Z124" s="18" t="str">
        <f>""</f>
        <v/>
      </c>
      <c r="AA124" s="18" t="str">
        <f>""</f>
        <v/>
      </c>
      <c r="AB124" s="18" t="str">
        <f>""</f>
        <v/>
      </c>
      <c r="AC124" s="18" t="str">
        <f>""</f>
        <v/>
      </c>
      <c r="AD124" s="18" t="str">
        <f>""</f>
        <v/>
      </c>
      <c r="AE124" s="18" t="str">
        <f>""</f>
        <v/>
      </c>
      <c r="AF124" s="18" t="str">
        <f>""</f>
        <v/>
      </c>
      <c r="AG124" s="18" t="str">
        <f>""</f>
        <v/>
      </c>
      <c r="AH124" s="18" t="str">
        <f>""</f>
        <v/>
      </c>
      <c r="AI124" s="18" t="str">
        <f>""</f>
        <v/>
      </c>
      <c r="AJ124" s="18" t="str">
        <f>""</f>
        <v/>
      </c>
      <c r="AK124" s="18" t="str">
        <f>""</f>
        <v/>
      </c>
      <c r="AL124" s="18" t="str">
        <f>""</f>
        <v/>
      </c>
      <c r="AM124" s="18" t="str">
        <f>""</f>
        <v/>
      </c>
    </row>
    <row r="125" spans="1:39" ht="15.75" customHeight="1" x14ac:dyDescent="0.25">
      <c r="A125" s="19" t="str">
        <f>IF('Step 3 - Dean-Director-AVP'!B22="","","Active")</f>
        <v/>
      </c>
      <c r="B125" s="20" t="str">
        <f>IF('Step 3 - Dean-Director-AVP'!B22="","",'Step 3 - Dean-Director-AVP'!B22)</f>
        <v/>
      </c>
      <c r="C125" s="20" t="str">
        <f>IF('Step 3 - Dean-Director-AVP'!B22="","",'Step 3 - Dean-Director-AVP'!B22)</f>
        <v/>
      </c>
      <c r="D125" s="19" t="str">
        <f>IF('Step 3 - Dean-Director-AVP'!B22="","",'Step 3 - Dean-Director-AVP'!G22)</f>
        <v/>
      </c>
      <c r="E125" s="19" t="str">
        <f>IF('Step 3 - Dean-Director-AVP'!B22="","",'Step 3 - Dean-Director-AVP'!H22)</f>
        <v/>
      </c>
      <c r="F125" s="20" t="str">
        <f>IF('Step 3 - Dean-Director-AVP'!B22="","",IF('Step 3 - Dean-Director-AVP'!C22="","","Fund Code"))</f>
        <v/>
      </c>
      <c r="G125" s="19" t="str">
        <f>IF('Step 3 - Dean-Director-AVP'!B22="","",IF('Step 3 - Dean-Director-AVP'!C22="","","Equals"))</f>
        <v/>
      </c>
      <c r="H125" s="20" t="str">
        <f>IF('Step 3 - Dean-Director-AVP'!B22="","",IF('Step 3 - Dean-Director-AVP'!C22="","",'Step 3 - Dean-Director-AVP'!C22))</f>
        <v/>
      </c>
      <c r="I125" s="20" t="str">
        <f>IF('Step 3 - Dean-Director-AVP'!B22="","","Organization Code")</f>
        <v/>
      </c>
      <c r="J125" s="19" t="str">
        <f>IF('Step 3 - Dean-Director-AVP'!B22="","","Equals")</f>
        <v/>
      </c>
      <c r="K125" s="20" t="str">
        <f>IF('Step 3 - Dean-Director-AVP'!B22="","",'Step 3 - Dean-Director-AVP'!D22)</f>
        <v/>
      </c>
      <c r="L125" s="20" t="str">
        <f>IF('Step 3 - Dean-Director-AVP'!B22="","","Other Criteria")</f>
        <v/>
      </c>
      <c r="M125" s="19" t="str">
        <f>IF('Step 3 - Dean-Director-AVP'!B22="","","Equals")</f>
        <v/>
      </c>
      <c r="N125" s="20" t="str">
        <f>IF('Step 3 - Dean-Director-AVP'!B22="","",'Step 3 - Dean-Director-AVP'!E22)</f>
        <v/>
      </c>
      <c r="O125" s="20" t="str">
        <f>IF('Step 3 - Dean-Director-AVP'!B22="","",IF('Step 3 - Dean-Director-AVP'!F22="","","Total"))</f>
        <v/>
      </c>
      <c r="P125" s="19" t="str">
        <f>IF('Step 3 - Dean-Director-AVP'!B22="","",IF('Step 3 - Dean-Director-AVP'!F22="","","&gt;="))</f>
        <v/>
      </c>
      <c r="Q125" s="20" t="str">
        <f>IF('Step 3 - Dean-Director-AVP'!B22="","",IF('Step 3 - Dean-Director-AVP'!F22="","",'Step 3 - Dean-Director-AVP'!F22))</f>
        <v/>
      </c>
      <c r="R125" s="20" t="str">
        <f>""</f>
        <v/>
      </c>
      <c r="S125" s="20" t="str">
        <f>""</f>
        <v/>
      </c>
      <c r="T125" s="20" t="str">
        <f>""</f>
        <v/>
      </c>
      <c r="U125" s="20" t="str">
        <f>IF('Step 3 - Dean-Director-AVP'!B22="","",'Step 3 - Dean-Director-AVP'!I22)</f>
        <v/>
      </c>
      <c r="V125" s="19" t="str">
        <f>IF('Step 3 - Dean-Director-AVP'!B22="","",'Step 3 - Dean-Director-AVP'!K22)</f>
        <v/>
      </c>
      <c r="W125" s="20" t="str">
        <f>IF('Step 3 - Dean-Director-AVP'!B22="","",'Step 3 - Dean-Director-AVP'!L22)</f>
        <v/>
      </c>
      <c r="X125" s="19" t="str">
        <f>IF('Step 3 - Dean-Director-AVP'!B22="","",'Step 3 - Dean-Director-AVP'!N22)</f>
        <v/>
      </c>
      <c r="Y125" s="20" t="str">
        <f>""</f>
        <v/>
      </c>
      <c r="Z125" s="20" t="str">
        <f>""</f>
        <v/>
      </c>
      <c r="AA125" s="20" t="str">
        <f>""</f>
        <v/>
      </c>
      <c r="AB125" s="20" t="str">
        <f>""</f>
        <v/>
      </c>
      <c r="AC125" s="20" t="str">
        <f>""</f>
        <v/>
      </c>
      <c r="AD125" s="20" t="str">
        <f>""</f>
        <v/>
      </c>
      <c r="AE125" s="20" t="str">
        <f>""</f>
        <v/>
      </c>
      <c r="AF125" s="20" t="str">
        <f>""</f>
        <v/>
      </c>
      <c r="AG125" s="20" t="str">
        <f>""</f>
        <v/>
      </c>
      <c r="AH125" s="20" t="str">
        <f>""</f>
        <v/>
      </c>
      <c r="AI125" s="20" t="str">
        <f>""</f>
        <v/>
      </c>
      <c r="AJ125" s="20" t="str">
        <f>""</f>
        <v/>
      </c>
      <c r="AK125" s="20" t="str">
        <f>""</f>
        <v/>
      </c>
      <c r="AL125" s="20" t="str">
        <f>""</f>
        <v/>
      </c>
      <c r="AM125" s="20" t="str">
        <f>""</f>
        <v/>
      </c>
    </row>
    <row r="126" spans="1:39" ht="15.75" customHeight="1" x14ac:dyDescent="0.25">
      <c r="A126" s="17" t="str">
        <f>IF('Step 3 - Dean-Director-AVP'!B23="","","Active")</f>
        <v/>
      </c>
      <c r="B126" s="18" t="str">
        <f>IF('Step 3 - Dean-Director-AVP'!B23="","",'Step 3 - Dean-Director-AVP'!B23)</f>
        <v/>
      </c>
      <c r="C126" s="18" t="str">
        <f>IF('Step 3 - Dean-Director-AVP'!B23="","",'Step 3 - Dean-Director-AVP'!B23)</f>
        <v/>
      </c>
      <c r="D126" s="17" t="str">
        <f>IF('Step 3 - Dean-Director-AVP'!B23="","",'Step 3 - Dean-Director-AVP'!G23)</f>
        <v/>
      </c>
      <c r="E126" s="17" t="str">
        <f>IF('Step 3 - Dean-Director-AVP'!B23="","",'Step 3 - Dean-Director-AVP'!H23)</f>
        <v/>
      </c>
      <c r="F126" s="18" t="str">
        <f>IF('Step 3 - Dean-Director-AVP'!B23="","",IF('Step 3 - Dean-Director-AVP'!C23="","","Fund Code"))</f>
        <v/>
      </c>
      <c r="G126" s="17" t="str">
        <f>IF('Step 3 - Dean-Director-AVP'!B23="","",IF('Step 3 - Dean-Director-AVP'!C23="","","Equals"))</f>
        <v/>
      </c>
      <c r="H126" s="18" t="str">
        <f>IF('Step 3 - Dean-Director-AVP'!B23="","",IF('Step 3 - Dean-Director-AVP'!C23="","",'Step 3 - Dean-Director-AVP'!C23))</f>
        <v/>
      </c>
      <c r="I126" s="18" t="str">
        <f>IF('Step 3 - Dean-Director-AVP'!B23="","","Organization Code")</f>
        <v/>
      </c>
      <c r="J126" s="17" t="str">
        <f>IF('Step 3 - Dean-Director-AVP'!B23="","","Equals")</f>
        <v/>
      </c>
      <c r="K126" s="18" t="str">
        <f>IF('Step 3 - Dean-Director-AVP'!B23="","",'Step 3 - Dean-Director-AVP'!D23)</f>
        <v/>
      </c>
      <c r="L126" s="18" t="str">
        <f>IF('Step 3 - Dean-Director-AVP'!B23="","","Other Criteria")</f>
        <v/>
      </c>
      <c r="M126" s="17" t="str">
        <f>IF('Step 3 - Dean-Director-AVP'!B23="","","Equals")</f>
        <v/>
      </c>
      <c r="N126" s="18" t="str">
        <f>IF('Step 3 - Dean-Director-AVP'!B23="","",'Step 3 - Dean-Director-AVP'!E23)</f>
        <v/>
      </c>
      <c r="O126" s="18" t="str">
        <f>IF('Step 3 - Dean-Director-AVP'!B23="","",IF('Step 3 - Dean-Director-AVP'!F23="","","Total"))</f>
        <v/>
      </c>
      <c r="P126" s="17" t="str">
        <f>IF('Step 3 - Dean-Director-AVP'!B23="","",IF('Step 3 - Dean-Director-AVP'!F23="","","&gt;="))</f>
        <v/>
      </c>
      <c r="Q126" s="18" t="str">
        <f>IF('Step 3 - Dean-Director-AVP'!B23="","",IF('Step 3 - Dean-Director-AVP'!F23="","",'Step 3 - Dean-Director-AVP'!F23))</f>
        <v/>
      </c>
      <c r="R126" s="18" t="str">
        <f>""</f>
        <v/>
      </c>
      <c r="S126" s="18" t="str">
        <f>""</f>
        <v/>
      </c>
      <c r="T126" s="18" t="str">
        <f>""</f>
        <v/>
      </c>
      <c r="U126" s="18" t="str">
        <f>IF('Step 3 - Dean-Director-AVP'!B23="","",'Step 3 - Dean-Director-AVP'!I23)</f>
        <v/>
      </c>
      <c r="V126" s="17" t="str">
        <f>IF('Step 3 - Dean-Director-AVP'!B23="","",'Step 3 - Dean-Director-AVP'!K23)</f>
        <v/>
      </c>
      <c r="W126" s="18" t="str">
        <f>IF('Step 3 - Dean-Director-AVP'!B23="","",'Step 3 - Dean-Director-AVP'!L23)</f>
        <v/>
      </c>
      <c r="X126" s="17" t="str">
        <f>IF('Step 3 - Dean-Director-AVP'!B23="","",'Step 3 - Dean-Director-AVP'!N23)</f>
        <v/>
      </c>
      <c r="Y126" s="18" t="str">
        <f>""</f>
        <v/>
      </c>
      <c r="Z126" s="18" t="str">
        <f>""</f>
        <v/>
      </c>
      <c r="AA126" s="18" t="str">
        <f>""</f>
        <v/>
      </c>
      <c r="AB126" s="18" t="str">
        <f>""</f>
        <v/>
      </c>
      <c r="AC126" s="18" t="str">
        <f>""</f>
        <v/>
      </c>
      <c r="AD126" s="18" t="str">
        <f>""</f>
        <v/>
      </c>
      <c r="AE126" s="18" t="str">
        <f>""</f>
        <v/>
      </c>
      <c r="AF126" s="18" t="str">
        <f>""</f>
        <v/>
      </c>
      <c r="AG126" s="18" t="str">
        <f>""</f>
        <v/>
      </c>
      <c r="AH126" s="18" t="str">
        <f>""</f>
        <v/>
      </c>
      <c r="AI126" s="18" t="str">
        <f>""</f>
        <v/>
      </c>
      <c r="AJ126" s="18" t="str">
        <f>""</f>
        <v/>
      </c>
      <c r="AK126" s="18" t="str">
        <f>""</f>
        <v/>
      </c>
      <c r="AL126" s="18" t="str">
        <f>""</f>
        <v/>
      </c>
      <c r="AM126" s="18" t="str">
        <f>""</f>
        <v/>
      </c>
    </row>
    <row r="127" spans="1:39" ht="15.75" customHeight="1" x14ac:dyDescent="0.25">
      <c r="A127" s="19" t="str">
        <f>IF('Step 3 - Dean-Director-AVP'!B24="","","Active")</f>
        <v/>
      </c>
      <c r="B127" s="20" t="str">
        <f>IF('Step 3 - Dean-Director-AVP'!B24="","",'Step 3 - Dean-Director-AVP'!B24)</f>
        <v/>
      </c>
      <c r="C127" s="20" t="str">
        <f>IF('Step 3 - Dean-Director-AVP'!B24="","",'Step 3 - Dean-Director-AVP'!B24)</f>
        <v/>
      </c>
      <c r="D127" s="19" t="str">
        <f>IF('Step 3 - Dean-Director-AVP'!B24="","",'Step 3 - Dean-Director-AVP'!G24)</f>
        <v/>
      </c>
      <c r="E127" s="19" t="str">
        <f>IF('Step 3 - Dean-Director-AVP'!B24="","",'Step 3 - Dean-Director-AVP'!H24)</f>
        <v/>
      </c>
      <c r="F127" s="20" t="str">
        <f>IF('Step 3 - Dean-Director-AVP'!B24="","",IF('Step 3 - Dean-Director-AVP'!C24="","","Fund Code"))</f>
        <v/>
      </c>
      <c r="G127" s="19" t="str">
        <f>IF('Step 3 - Dean-Director-AVP'!B24="","",IF('Step 3 - Dean-Director-AVP'!C24="","","Equals"))</f>
        <v/>
      </c>
      <c r="H127" s="20" t="str">
        <f>IF('Step 3 - Dean-Director-AVP'!B24="","",IF('Step 3 - Dean-Director-AVP'!C24="","",'Step 3 - Dean-Director-AVP'!C24))</f>
        <v/>
      </c>
      <c r="I127" s="20" t="str">
        <f>IF('Step 3 - Dean-Director-AVP'!B24="","","Organization Code")</f>
        <v/>
      </c>
      <c r="J127" s="19" t="str">
        <f>IF('Step 3 - Dean-Director-AVP'!B24="","","Equals")</f>
        <v/>
      </c>
      <c r="K127" s="20" t="str">
        <f>IF('Step 3 - Dean-Director-AVP'!B24="","",'Step 3 - Dean-Director-AVP'!D24)</f>
        <v/>
      </c>
      <c r="L127" s="20" t="str">
        <f>IF('Step 3 - Dean-Director-AVP'!B24="","","Other Criteria")</f>
        <v/>
      </c>
      <c r="M127" s="19" t="str">
        <f>IF('Step 3 - Dean-Director-AVP'!B24="","","Equals")</f>
        <v/>
      </c>
      <c r="N127" s="20" t="str">
        <f>IF('Step 3 - Dean-Director-AVP'!B24="","",'Step 3 - Dean-Director-AVP'!E24)</f>
        <v/>
      </c>
      <c r="O127" s="20" t="str">
        <f>IF('Step 3 - Dean-Director-AVP'!B24="","",IF('Step 3 - Dean-Director-AVP'!F24="","","Total"))</f>
        <v/>
      </c>
      <c r="P127" s="19" t="str">
        <f>IF('Step 3 - Dean-Director-AVP'!B24="","",IF('Step 3 - Dean-Director-AVP'!F24="","","&gt;="))</f>
        <v/>
      </c>
      <c r="Q127" s="20" t="str">
        <f>IF('Step 3 - Dean-Director-AVP'!B24="","",IF('Step 3 - Dean-Director-AVP'!F24="","",'Step 3 - Dean-Director-AVP'!F24))</f>
        <v/>
      </c>
      <c r="R127" s="20" t="str">
        <f>""</f>
        <v/>
      </c>
      <c r="S127" s="20" t="str">
        <f>""</f>
        <v/>
      </c>
      <c r="T127" s="20" t="str">
        <f>""</f>
        <v/>
      </c>
      <c r="U127" s="20" t="str">
        <f>IF('Step 3 - Dean-Director-AVP'!B24="","",'Step 3 - Dean-Director-AVP'!I24)</f>
        <v/>
      </c>
      <c r="V127" s="19" t="str">
        <f>IF('Step 3 - Dean-Director-AVP'!B24="","",'Step 3 - Dean-Director-AVP'!K24)</f>
        <v/>
      </c>
      <c r="W127" s="20" t="str">
        <f>IF('Step 3 - Dean-Director-AVP'!B24="","",'Step 3 - Dean-Director-AVP'!L24)</f>
        <v/>
      </c>
      <c r="X127" s="19" t="str">
        <f>IF('Step 3 - Dean-Director-AVP'!B24="","",'Step 3 - Dean-Director-AVP'!N24)</f>
        <v/>
      </c>
      <c r="Y127" s="20" t="str">
        <f>""</f>
        <v/>
      </c>
      <c r="Z127" s="20" t="str">
        <f>""</f>
        <v/>
      </c>
      <c r="AA127" s="20" t="str">
        <f>""</f>
        <v/>
      </c>
      <c r="AB127" s="20" t="str">
        <f>""</f>
        <v/>
      </c>
      <c r="AC127" s="20" t="str">
        <f>""</f>
        <v/>
      </c>
      <c r="AD127" s="20" t="str">
        <f>""</f>
        <v/>
      </c>
      <c r="AE127" s="20" t="str">
        <f>""</f>
        <v/>
      </c>
      <c r="AF127" s="20" t="str">
        <f>""</f>
        <v/>
      </c>
      <c r="AG127" s="20" t="str">
        <f>""</f>
        <v/>
      </c>
      <c r="AH127" s="20" t="str">
        <f>""</f>
        <v/>
      </c>
      <c r="AI127" s="20" t="str">
        <f>""</f>
        <v/>
      </c>
      <c r="AJ127" s="20" t="str">
        <f>""</f>
        <v/>
      </c>
      <c r="AK127" s="20" t="str">
        <f>""</f>
        <v/>
      </c>
      <c r="AL127" s="20" t="str">
        <f>""</f>
        <v/>
      </c>
      <c r="AM127" s="20" t="str">
        <f>""</f>
        <v/>
      </c>
    </row>
    <row r="128" spans="1:39" ht="15.75" customHeight="1" x14ac:dyDescent="0.25">
      <c r="A128" s="17" t="str">
        <f>IF('Step 3 - Dean-Director-AVP'!B25="","","Active")</f>
        <v/>
      </c>
      <c r="B128" s="18" t="str">
        <f>IF('Step 3 - Dean-Director-AVP'!B25="","",'Step 3 - Dean-Director-AVP'!B25)</f>
        <v/>
      </c>
      <c r="C128" s="18" t="str">
        <f>IF('Step 3 - Dean-Director-AVP'!B25="","",'Step 3 - Dean-Director-AVP'!B25)</f>
        <v/>
      </c>
      <c r="D128" s="17" t="str">
        <f>IF('Step 3 - Dean-Director-AVP'!B25="","",'Step 3 - Dean-Director-AVP'!G25)</f>
        <v/>
      </c>
      <c r="E128" s="17" t="str">
        <f>IF('Step 3 - Dean-Director-AVP'!B25="","",'Step 3 - Dean-Director-AVP'!H25)</f>
        <v/>
      </c>
      <c r="F128" s="18" t="str">
        <f>IF('Step 3 - Dean-Director-AVP'!B25="","",IF('Step 3 - Dean-Director-AVP'!C25="","","Fund Code"))</f>
        <v/>
      </c>
      <c r="G128" s="17" t="str">
        <f>IF('Step 3 - Dean-Director-AVP'!B25="","",IF('Step 3 - Dean-Director-AVP'!C25="","","Equals"))</f>
        <v/>
      </c>
      <c r="H128" s="18" t="str">
        <f>IF('Step 3 - Dean-Director-AVP'!B25="","",IF('Step 3 - Dean-Director-AVP'!C25="","",'Step 3 - Dean-Director-AVP'!C25))</f>
        <v/>
      </c>
      <c r="I128" s="18" t="str">
        <f>IF('Step 3 - Dean-Director-AVP'!B25="","","Organization Code")</f>
        <v/>
      </c>
      <c r="J128" s="17" t="str">
        <f>IF('Step 3 - Dean-Director-AVP'!B25="","","Equals")</f>
        <v/>
      </c>
      <c r="K128" s="18" t="str">
        <f>IF('Step 3 - Dean-Director-AVP'!B25="","",'Step 3 - Dean-Director-AVP'!D25)</f>
        <v/>
      </c>
      <c r="L128" s="18" t="str">
        <f>IF('Step 3 - Dean-Director-AVP'!B25="","","Other Criteria")</f>
        <v/>
      </c>
      <c r="M128" s="17" t="str">
        <f>IF('Step 3 - Dean-Director-AVP'!B25="","","Equals")</f>
        <v/>
      </c>
      <c r="N128" s="18" t="str">
        <f>IF('Step 3 - Dean-Director-AVP'!B25="","",'Step 3 - Dean-Director-AVP'!E25)</f>
        <v/>
      </c>
      <c r="O128" s="18" t="str">
        <f>IF('Step 3 - Dean-Director-AVP'!B25="","",IF('Step 3 - Dean-Director-AVP'!F25="","","Total"))</f>
        <v/>
      </c>
      <c r="P128" s="17" t="str">
        <f>IF('Step 3 - Dean-Director-AVP'!B25="","",IF('Step 3 - Dean-Director-AVP'!F25="","","&gt;="))</f>
        <v/>
      </c>
      <c r="Q128" s="18" t="str">
        <f>IF('Step 3 - Dean-Director-AVP'!B25="","",IF('Step 3 - Dean-Director-AVP'!F25="","",'Step 3 - Dean-Director-AVP'!F25))</f>
        <v/>
      </c>
      <c r="R128" s="18" t="str">
        <f>""</f>
        <v/>
      </c>
      <c r="S128" s="18" t="str">
        <f>""</f>
        <v/>
      </c>
      <c r="T128" s="18" t="str">
        <f>""</f>
        <v/>
      </c>
      <c r="U128" s="18" t="str">
        <f>IF('Step 3 - Dean-Director-AVP'!B25="","",'Step 3 - Dean-Director-AVP'!I25)</f>
        <v/>
      </c>
      <c r="V128" s="17" t="str">
        <f>IF('Step 3 - Dean-Director-AVP'!B25="","",'Step 3 - Dean-Director-AVP'!K25)</f>
        <v/>
      </c>
      <c r="W128" s="18" t="str">
        <f>IF('Step 3 - Dean-Director-AVP'!B25="","",'Step 3 - Dean-Director-AVP'!L25)</f>
        <v/>
      </c>
      <c r="X128" s="17" t="str">
        <f>IF('Step 3 - Dean-Director-AVP'!B25="","",'Step 3 - Dean-Director-AVP'!N25)</f>
        <v/>
      </c>
      <c r="Y128" s="18" t="str">
        <f>""</f>
        <v/>
      </c>
      <c r="Z128" s="18" t="str">
        <f>""</f>
        <v/>
      </c>
      <c r="AA128" s="18" t="str">
        <f>""</f>
        <v/>
      </c>
      <c r="AB128" s="18" t="str">
        <f>""</f>
        <v/>
      </c>
      <c r="AC128" s="18" t="str">
        <f>""</f>
        <v/>
      </c>
      <c r="AD128" s="18" t="str">
        <f>""</f>
        <v/>
      </c>
      <c r="AE128" s="18" t="str">
        <f>""</f>
        <v/>
      </c>
      <c r="AF128" s="18" t="str">
        <f>""</f>
        <v/>
      </c>
      <c r="AG128" s="18" t="str">
        <f>""</f>
        <v/>
      </c>
      <c r="AH128" s="18" t="str">
        <f>""</f>
        <v/>
      </c>
      <c r="AI128" s="18" t="str">
        <f>""</f>
        <v/>
      </c>
      <c r="AJ128" s="18" t="str">
        <f>""</f>
        <v/>
      </c>
      <c r="AK128" s="18" t="str">
        <f>""</f>
        <v/>
      </c>
      <c r="AL128" s="18" t="str">
        <f>""</f>
        <v/>
      </c>
      <c r="AM128" s="18" t="str">
        <f>""</f>
        <v/>
      </c>
    </row>
    <row r="129" spans="1:39" ht="15.75" customHeight="1" x14ac:dyDescent="0.25">
      <c r="A129" s="19" t="str">
        <f>IF('Step 3 - Dean-Director-AVP'!B26="","","Active")</f>
        <v/>
      </c>
      <c r="B129" s="20" t="str">
        <f>IF('Step 3 - Dean-Director-AVP'!B26="","",'Step 3 - Dean-Director-AVP'!B26)</f>
        <v/>
      </c>
      <c r="C129" s="20" t="str">
        <f>IF('Step 3 - Dean-Director-AVP'!B26="","",'Step 3 - Dean-Director-AVP'!B26)</f>
        <v/>
      </c>
      <c r="D129" s="19" t="str">
        <f>IF('Step 3 - Dean-Director-AVP'!B26="","",'Step 3 - Dean-Director-AVP'!G26)</f>
        <v/>
      </c>
      <c r="E129" s="19" t="str">
        <f>IF('Step 3 - Dean-Director-AVP'!B26="","",'Step 3 - Dean-Director-AVP'!H26)</f>
        <v/>
      </c>
      <c r="F129" s="20" t="str">
        <f>IF('Step 3 - Dean-Director-AVP'!B26="","",IF('Step 3 - Dean-Director-AVP'!C26="","","Fund Code"))</f>
        <v/>
      </c>
      <c r="G129" s="19" t="str">
        <f>IF('Step 3 - Dean-Director-AVP'!B26="","",IF('Step 3 - Dean-Director-AVP'!C26="","","Equals"))</f>
        <v/>
      </c>
      <c r="H129" s="20" t="str">
        <f>IF('Step 3 - Dean-Director-AVP'!B26="","",IF('Step 3 - Dean-Director-AVP'!C26="","",'Step 3 - Dean-Director-AVP'!C26))</f>
        <v/>
      </c>
      <c r="I129" s="20" t="str">
        <f>IF('Step 3 - Dean-Director-AVP'!B26="","","Organization Code")</f>
        <v/>
      </c>
      <c r="J129" s="19" t="str">
        <f>IF('Step 3 - Dean-Director-AVP'!B26="","","Equals")</f>
        <v/>
      </c>
      <c r="K129" s="20" t="str">
        <f>IF('Step 3 - Dean-Director-AVP'!B26="","",'Step 3 - Dean-Director-AVP'!D26)</f>
        <v/>
      </c>
      <c r="L129" s="20" t="str">
        <f>IF('Step 3 - Dean-Director-AVP'!B26="","","Other Criteria")</f>
        <v/>
      </c>
      <c r="M129" s="19" t="str">
        <f>IF('Step 3 - Dean-Director-AVP'!B26="","","Equals")</f>
        <v/>
      </c>
      <c r="N129" s="20" t="str">
        <f>IF('Step 3 - Dean-Director-AVP'!B26="","",'Step 3 - Dean-Director-AVP'!E26)</f>
        <v/>
      </c>
      <c r="O129" s="20" t="str">
        <f>IF('Step 3 - Dean-Director-AVP'!B26="","",IF('Step 3 - Dean-Director-AVP'!F26="","","Total"))</f>
        <v/>
      </c>
      <c r="P129" s="19" t="str">
        <f>IF('Step 3 - Dean-Director-AVP'!B26="","",IF('Step 3 - Dean-Director-AVP'!F26="","","&gt;="))</f>
        <v/>
      </c>
      <c r="Q129" s="20" t="str">
        <f>IF('Step 3 - Dean-Director-AVP'!B26="","",IF('Step 3 - Dean-Director-AVP'!F26="","",'Step 3 - Dean-Director-AVP'!F26))</f>
        <v/>
      </c>
      <c r="R129" s="20" t="str">
        <f>""</f>
        <v/>
      </c>
      <c r="S129" s="20" t="str">
        <f>""</f>
        <v/>
      </c>
      <c r="T129" s="20" t="str">
        <f>""</f>
        <v/>
      </c>
      <c r="U129" s="20" t="str">
        <f>IF('Step 3 - Dean-Director-AVP'!B26="","",'Step 3 - Dean-Director-AVP'!I26)</f>
        <v/>
      </c>
      <c r="V129" s="19" t="str">
        <f>IF('Step 3 - Dean-Director-AVP'!B26="","",'Step 3 - Dean-Director-AVP'!K26)</f>
        <v/>
      </c>
      <c r="W129" s="20" t="str">
        <f>IF('Step 3 - Dean-Director-AVP'!B26="","",'Step 3 - Dean-Director-AVP'!L26)</f>
        <v/>
      </c>
      <c r="X129" s="19" t="str">
        <f>IF('Step 3 - Dean-Director-AVP'!B26="","",'Step 3 - Dean-Director-AVP'!N26)</f>
        <v/>
      </c>
      <c r="Y129" s="20" t="str">
        <f>""</f>
        <v/>
      </c>
      <c r="Z129" s="20" t="str">
        <f>""</f>
        <v/>
      </c>
      <c r="AA129" s="20" t="str">
        <f>""</f>
        <v/>
      </c>
      <c r="AB129" s="20" t="str">
        <f>""</f>
        <v/>
      </c>
      <c r="AC129" s="20" t="str">
        <f>""</f>
        <v/>
      </c>
      <c r="AD129" s="20" t="str">
        <f>""</f>
        <v/>
      </c>
      <c r="AE129" s="20" t="str">
        <f>""</f>
        <v/>
      </c>
      <c r="AF129" s="20" t="str">
        <f>""</f>
        <v/>
      </c>
      <c r="AG129" s="20" t="str">
        <f>""</f>
        <v/>
      </c>
      <c r="AH129" s="20" t="str">
        <f>""</f>
        <v/>
      </c>
      <c r="AI129" s="20" t="str">
        <f>""</f>
        <v/>
      </c>
      <c r="AJ129" s="20" t="str">
        <f>""</f>
        <v/>
      </c>
      <c r="AK129" s="20" t="str">
        <f>""</f>
        <v/>
      </c>
      <c r="AL129" s="20" t="str">
        <f>""</f>
        <v/>
      </c>
      <c r="AM129" s="20" t="str">
        <f>""</f>
        <v/>
      </c>
    </row>
    <row r="130" spans="1:39" ht="15.75" customHeight="1" x14ac:dyDescent="0.25">
      <c r="A130" s="17" t="str">
        <f>IF('Step 3 - Dean-Director-AVP'!B27="","","Active")</f>
        <v/>
      </c>
      <c r="B130" s="18" t="str">
        <f>IF('Step 3 - Dean-Director-AVP'!B27="","",'Step 3 - Dean-Director-AVP'!B27)</f>
        <v/>
      </c>
      <c r="C130" s="18" t="str">
        <f>IF('Step 3 - Dean-Director-AVP'!B27="","",'Step 3 - Dean-Director-AVP'!B27)</f>
        <v/>
      </c>
      <c r="D130" s="17" t="str">
        <f>IF('Step 3 - Dean-Director-AVP'!B27="","",'Step 3 - Dean-Director-AVP'!G27)</f>
        <v/>
      </c>
      <c r="E130" s="17" t="str">
        <f>IF('Step 3 - Dean-Director-AVP'!B27="","",'Step 3 - Dean-Director-AVP'!H27)</f>
        <v/>
      </c>
      <c r="F130" s="18" t="str">
        <f>IF('Step 3 - Dean-Director-AVP'!B27="","",IF('Step 3 - Dean-Director-AVP'!C27="","","Fund Code"))</f>
        <v/>
      </c>
      <c r="G130" s="17" t="str">
        <f>IF('Step 3 - Dean-Director-AVP'!B27="","",IF('Step 3 - Dean-Director-AVP'!C27="","","Equals"))</f>
        <v/>
      </c>
      <c r="H130" s="18" t="str">
        <f>IF('Step 3 - Dean-Director-AVP'!B27="","",IF('Step 3 - Dean-Director-AVP'!C27="","",'Step 3 - Dean-Director-AVP'!C27))</f>
        <v/>
      </c>
      <c r="I130" s="18" t="str">
        <f>IF('Step 3 - Dean-Director-AVP'!B27="","","Organization Code")</f>
        <v/>
      </c>
      <c r="J130" s="17" t="str">
        <f>IF('Step 3 - Dean-Director-AVP'!B27="","","Equals")</f>
        <v/>
      </c>
      <c r="K130" s="18" t="str">
        <f>IF('Step 3 - Dean-Director-AVP'!B27="","",'Step 3 - Dean-Director-AVP'!D27)</f>
        <v/>
      </c>
      <c r="L130" s="18" t="str">
        <f>IF('Step 3 - Dean-Director-AVP'!B27="","","Other Criteria")</f>
        <v/>
      </c>
      <c r="M130" s="17" t="str">
        <f>IF('Step 3 - Dean-Director-AVP'!B27="","","Equals")</f>
        <v/>
      </c>
      <c r="N130" s="18" t="str">
        <f>IF('Step 3 - Dean-Director-AVP'!B27="","",'Step 3 - Dean-Director-AVP'!E27)</f>
        <v/>
      </c>
      <c r="O130" s="18" t="str">
        <f>IF('Step 3 - Dean-Director-AVP'!B27="","",IF('Step 3 - Dean-Director-AVP'!F27="","","Total"))</f>
        <v/>
      </c>
      <c r="P130" s="17" t="str">
        <f>IF('Step 3 - Dean-Director-AVP'!B27="","",IF('Step 3 - Dean-Director-AVP'!F27="","","&gt;="))</f>
        <v/>
      </c>
      <c r="Q130" s="18" t="str">
        <f>IF('Step 3 - Dean-Director-AVP'!B27="","",IF('Step 3 - Dean-Director-AVP'!F27="","",'Step 3 - Dean-Director-AVP'!F27))</f>
        <v/>
      </c>
      <c r="R130" s="18" t="str">
        <f>""</f>
        <v/>
      </c>
      <c r="S130" s="18" t="str">
        <f>""</f>
        <v/>
      </c>
      <c r="T130" s="18" t="str">
        <f>""</f>
        <v/>
      </c>
      <c r="U130" s="18" t="str">
        <f>IF('Step 3 - Dean-Director-AVP'!B27="","",'Step 3 - Dean-Director-AVP'!I27)</f>
        <v/>
      </c>
      <c r="V130" s="17" t="str">
        <f>IF('Step 3 - Dean-Director-AVP'!B27="","",'Step 3 - Dean-Director-AVP'!K27)</f>
        <v/>
      </c>
      <c r="W130" s="18" t="str">
        <f>IF('Step 3 - Dean-Director-AVP'!B27="","",'Step 3 - Dean-Director-AVP'!L27)</f>
        <v/>
      </c>
      <c r="X130" s="17" t="str">
        <f>IF('Step 3 - Dean-Director-AVP'!B27="","",'Step 3 - Dean-Director-AVP'!N27)</f>
        <v/>
      </c>
      <c r="Y130" s="18" t="str">
        <f>""</f>
        <v/>
      </c>
      <c r="Z130" s="18" t="str">
        <f>""</f>
        <v/>
      </c>
      <c r="AA130" s="18" t="str">
        <f>""</f>
        <v/>
      </c>
      <c r="AB130" s="18" t="str">
        <f>""</f>
        <v/>
      </c>
      <c r="AC130" s="18" t="str">
        <f>""</f>
        <v/>
      </c>
      <c r="AD130" s="18" t="str">
        <f>""</f>
        <v/>
      </c>
      <c r="AE130" s="18" t="str">
        <f>""</f>
        <v/>
      </c>
      <c r="AF130" s="18" t="str">
        <f>""</f>
        <v/>
      </c>
      <c r="AG130" s="18" t="str">
        <f>""</f>
        <v/>
      </c>
      <c r="AH130" s="18" t="str">
        <f>""</f>
        <v/>
      </c>
      <c r="AI130" s="18" t="str">
        <f>""</f>
        <v/>
      </c>
      <c r="AJ130" s="18" t="str">
        <f>""</f>
        <v/>
      </c>
      <c r="AK130" s="18" t="str">
        <f>""</f>
        <v/>
      </c>
      <c r="AL130" s="18" t="str">
        <f>""</f>
        <v/>
      </c>
      <c r="AM130" s="18" t="str">
        <f>""</f>
        <v/>
      </c>
    </row>
    <row r="131" spans="1:39" ht="15.75" customHeight="1" x14ac:dyDescent="0.25">
      <c r="A131" s="19" t="str">
        <f>IF('Step 3 - Dean-Director-AVP'!B28="","","Active")</f>
        <v/>
      </c>
      <c r="B131" s="20" t="str">
        <f>IF('Step 3 - Dean-Director-AVP'!B28="","",'Step 3 - Dean-Director-AVP'!B28)</f>
        <v/>
      </c>
      <c r="C131" s="20" t="str">
        <f>IF('Step 3 - Dean-Director-AVP'!B28="","",'Step 3 - Dean-Director-AVP'!B28)</f>
        <v/>
      </c>
      <c r="D131" s="19" t="str">
        <f>IF('Step 3 - Dean-Director-AVP'!B28="","",'Step 3 - Dean-Director-AVP'!G28)</f>
        <v/>
      </c>
      <c r="E131" s="19" t="str">
        <f>IF('Step 3 - Dean-Director-AVP'!B28="","",'Step 3 - Dean-Director-AVP'!H28)</f>
        <v/>
      </c>
      <c r="F131" s="20" t="str">
        <f>IF('Step 3 - Dean-Director-AVP'!B28="","",IF('Step 3 - Dean-Director-AVP'!C28="","","Fund Code"))</f>
        <v/>
      </c>
      <c r="G131" s="19" t="str">
        <f>IF('Step 3 - Dean-Director-AVP'!B28="","",IF('Step 3 - Dean-Director-AVP'!C28="","","Equals"))</f>
        <v/>
      </c>
      <c r="H131" s="20" t="str">
        <f>IF('Step 3 - Dean-Director-AVP'!B28="","",IF('Step 3 - Dean-Director-AVP'!C28="","",'Step 3 - Dean-Director-AVP'!C28))</f>
        <v/>
      </c>
      <c r="I131" s="20" t="str">
        <f>IF('Step 3 - Dean-Director-AVP'!B28="","","Organization Code")</f>
        <v/>
      </c>
      <c r="J131" s="19" t="str">
        <f>IF('Step 3 - Dean-Director-AVP'!B28="","","Equals")</f>
        <v/>
      </c>
      <c r="K131" s="20" t="str">
        <f>IF('Step 3 - Dean-Director-AVP'!B28="","",'Step 3 - Dean-Director-AVP'!D28)</f>
        <v/>
      </c>
      <c r="L131" s="20" t="str">
        <f>IF('Step 3 - Dean-Director-AVP'!B28="","","Other Criteria")</f>
        <v/>
      </c>
      <c r="M131" s="19" t="str">
        <f>IF('Step 3 - Dean-Director-AVP'!B28="","","Equals")</f>
        <v/>
      </c>
      <c r="N131" s="20" t="str">
        <f>IF('Step 3 - Dean-Director-AVP'!B28="","",'Step 3 - Dean-Director-AVP'!E28)</f>
        <v/>
      </c>
      <c r="O131" s="20" t="str">
        <f>IF('Step 3 - Dean-Director-AVP'!B28="","",IF('Step 3 - Dean-Director-AVP'!F28="","","Total"))</f>
        <v/>
      </c>
      <c r="P131" s="19" t="str">
        <f>IF('Step 3 - Dean-Director-AVP'!B28="","",IF('Step 3 - Dean-Director-AVP'!F28="","","&gt;="))</f>
        <v/>
      </c>
      <c r="Q131" s="20" t="str">
        <f>IF('Step 3 - Dean-Director-AVP'!B28="","",IF('Step 3 - Dean-Director-AVP'!F28="","",'Step 3 - Dean-Director-AVP'!F28))</f>
        <v/>
      </c>
      <c r="R131" s="20" t="str">
        <f>""</f>
        <v/>
      </c>
      <c r="S131" s="20" t="str">
        <f>""</f>
        <v/>
      </c>
      <c r="T131" s="20" t="str">
        <f>""</f>
        <v/>
      </c>
      <c r="U131" s="20" t="str">
        <f>IF('Step 3 - Dean-Director-AVP'!B28="","",'Step 3 - Dean-Director-AVP'!I28)</f>
        <v/>
      </c>
      <c r="V131" s="19" t="str">
        <f>IF('Step 3 - Dean-Director-AVP'!B28="","",'Step 3 - Dean-Director-AVP'!K28)</f>
        <v/>
      </c>
      <c r="W131" s="20" t="str">
        <f>IF('Step 3 - Dean-Director-AVP'!B28="","",'Step 3 - Dean-Director-AVP'!L28)</f>
        <v/>
      </c>
      <c r="X131" s="19" t="str">
        <f>IF('Step 3 - Dean-Director-AVP'!B28="","",'Step 3 - Dean-Director-AVP'!N28)</f>
        <v/>
      </c>
      <c r="Y131" s="20" t="str">
        <f>""</f>
        <v/>
      </c>
      <c r="Z131" s="20" t="str">
        <f>""</f>
        <v/>
      </c>
      <c r="AA131" s="20" t="str">
        <f>""</f>
        <v/>
      </c>
      <c r="AB131" s="20" t="str">
        <f>""</f>
        <v/>
      </c>
      <c r="AC131" s="20" t="str">
        <f>""</f>
        <v/>
      </c>
      <c r="AD131" s="20" t="str">
        <f>""</f>
        <v/>
      </c>
      <c r="AE131" s="20" t="str">
        <f>""</f>
        <v/>
      </c>
      <c r="AF131" s="20" t="str">
        <f>""</f>
        <v/>
      </c>
      <c r="AG131" s="20" t="str">
        <f>""</f>
        <v/>
      </c>
      <c r="AH131" s="20" t="str">
        <f>""</f>
        <v/>
      </c>
      <c r="AI131" s="20" t="str">
        <f>""</f>
        <v/>
      </c>
      <c r="AJ131" s="20" t="str">
        <f>""</f>
        <v/>
      </c>
      <c r="AK131" s="20" t="str">
        <f>""</f>
        <v/>
      </c>
      <c r="AL131" s="20" t="str">
        <f>""</f>
        <v/>
      </c>
      <c r="AM131" s="20" t="str">
        <f>""</f>
        <v/>
      </c>
    </row>
    <row r="132" spans="1:39" ht="15.75" customHeight="1" x14ac:dyDescent="0.25">
      <c r="A132" s="17" t="str">
        <f>IF('Step 3 - Dean-Director-AVP'!B29="","","Active")</f>
        <v/>
      </c>
      <c r="B132" s="18" t="str">
        <f>IF('Step 3 - Dean-Director-AVP'!B29="","",'Step 3 - Dean-Director-AVP'!B29)</f>
        <v/>
      </c>
      <c r="C132" s="18" t="str">
        <f>IF('Step 3 - Dean-Director-AVP'!B29="","",'Step 3 - Dean-Director-AVP'!B29)</f>
        <v/>
      </c>
      <c r="D132" s="17" t="str">
        <f>IF('Step 3 - Dean-Director-AVP'!B29="","",'Step 3 - Dean-Director-AVP'!G29)</f>
        <v/>
      </c>
      <c r="E132" s="17" t="str">
        <f>IF('Step 3 - Dean-Director-AVP'!B29="","",'Step 3 - Dean-Director-AVP'!H29)</f>
        <v/>
      </c>
      <c r="F132" s="18" t="str">
        <f>IF('Step 3 - Dean-Director-AVP'!B29="","",IF('Step 3 - Dean-Director-AVP'!C29="","","Fund Code"))</f>
        <v/>
      </c>
      <c r="G132" s="17" t="str">
        <f>IF('Step 3 - Dean-Director-AVP'!B29="","",IF('Step 3 - Dean-Director-AVP'!C29="","","Equals"))</f>
        <v/>
      </c>
      <c r="H132" s="18" t="str">
        <f>IF('Step 3 - Dean-Director-AVP'!B29="","",IF('Step 3 - Dean-Director-AVP'!C29="","",'Step 3 - Dean-Director-AVP'!C29))</f>
        <v/>
      </c>
      <c r="I132" s="18" t="str">
        <f>IF('Step 3 - Dean-Director-AVP'!B29="","","Organization Code")</f>
        <v/>
      </c>
      <c r="J132" s="17" t="str">
        <f>IF('Step 3 - Dean-Director-AVP'!B29="","","Equals")</f>
        <v/>
      </c>
      <c r="K132" s="18" t="str">
        <f>IF('Step 3 - Dean-Director-AVP'!B29="","",'Step 3 - Dean-Director-AVP'!D29)</f>
        <v/>
      </c>
      <c r="L132" s="18" t="str">
        <f>IF('Step 3 - Dean-Director-AVP'!B29="","","Other Criteria")</f>
        <v/>
      </c>
      <c r="M132" s="17" t="str">
        <f>IF('Step 3 - Dean-Director-AVP'!B29="","","Equals")</f>
        <v/>
      </c>
      <c r="N132" s="18" t="str">
        <f>IF('Step 3 - Dean-Director-AVP'!B29="","",'Step 3 - Dean-Director-AVP'!E29)</f>
        <v/>
      </c>
      <c r="O132" s="18" t="str">
        <f>IF('Step 3 - Dean-Director-AVP'!B29="","",IF('Step 3 - Dean-Director-AVP'!F29="","","Total"))</f>
        <v/>
      </c>
      <c r="P132" s="17" t="str">
        <f>IF('Step 3 - Dean-Director-AVP'!B29="","",IF('Step 3 - Dean-Director-AVP'!F29="","","&gt;="))</f>
        <v/>
      </c>
      <c r="Q132" s="18" t="str">
        <f>IF('Step 3 - Dean-Director-AVP'!B29="","",IF('Step 3 - Dean-Director-AVP'!F29="","",'Step 3 - Dean-Director-AVP'!F29))</f>
        <v/>
      </c>
      <c r="R132" s="18" t="str">
        <f>""</f>
        <v/>
      </c>
      <c r="S132" s="18" t="str">
        <f>""</f>
        <v/>
      </c>
      <c r="T132" s="18" t="str">
        <f>""</f>
        <v/>
      </c>
      <c r="U132" s="18" t="str">
        <f>IF('Step 3 - Dean-Director-AVP'!B29="","",'Step 3 - Dean-Director-AVP'!I29)</f>
        <v/>
      </c>
      <c r="V132" s="17" t="str">
        <f>IF('Step 3 - Dean-Director-AVP'!B29="","",'Step 3 - Dean-Director-AVP'!K29)</f>
        <v/>
      </c>
      <c r="W132" s="18" t="str">
        <f>IF('Step 3 - Dean-Director-AVP'!B29="","",'Step 3 - Dean-Director-AVP'!L29)</f>
        <v/>
      </c>
      <c r="X132" s="17" t="str">
        <f>IF('Step 3 - Dean-Director-AVP'!B29="","",'Step 3 - Dean-Director-AVP'!N29)</f>
        <v/>
      </c>
      <c r="Y132" s="18" t="str">
        <f>""</f>
        <v/>
      </c>
      <c r="Z132" s="18" t="str">
        <f>""</f>
        <v/>
      </c>
      <c r="AA132" s="18" t="str">
        <f>""</f>
        <v/>
      </c>
      <c r="AB132" s="18" t="str">
        <f>""</f>
        <v/>
      </c>
      <c r="AC132" s="18" t="str">
        <f>""</f>
        <v/>
      </c>
      <c r="AD132" s="18" t="str">
        <f>""</f>
        <v/>
      </c>
      <c r="AE132" s="18" t="str">
        <f>""</f>
        <v/>
      </c>
      <c r="AF132" s="18" t="str">
        <f>""</f>
        <v/>
      </c>
      <c r="AG132" s="18" t="str">
        <f>""</f>
        <v/>
      </c>
      <c r="AH132" s="18" t="str">
        <f>""</f>
        <v/>
      </c>
      <c r="AI132" s="18" t="str">
        <f>""</f>
        <v/>
      </c>
      <c r="AJ132" s="18" t="str">
        <f>""</f>
        <v/>
      </c>
      <c r="AK132" s="18" t="str">
        <f>""</f>
        <v/>
      </c>
      <c r="AL132" s="18" t="str">
        <f>""</f>
        <v/>
      </c>
      <c r="AM132" s="18" t="str">
        <f>""</f>
        <v/>
      </c>
    </row>
    <row r="133" spans="1:39" ht="15.75" customHeight="1" x14ac:dyDescent="0.25">
      <c r="A133" s="19" t="str">
        <f>IF('Step 3 - Dean-Director-AVP'!B30="","","Active")</f>
        <v/>
      </c>
      <c r="B133" s="20" t="str">
        <f>IF('Step 3 - Dean-Director-AVP'!B30="","",'Step 3 - Dean-Director-AVP'!B30)</f>
        <v/>
      </c>
      <c r="C133" s="20" t="str">
        <f>IF('Step 3 - Dean-Director-AVP'!B30="","",'Step 3 - Dean-Director-AVP'!B30)</f>
        <v/>
      </c>
      <c r="D133" s="19" t="str">
        <f>IF('Step 3 - Dean-Director-AVP'!B30="","",'Step 3 - Dean-Director-AVP'!G30)</f>
        <v/>
      </c>
      <c r="E133" s="19" t="str">
        <f>IF('Step 3 - Dean-Director-AVP'!B30="","",'Step 3 - Dean-Director-AVP'!H30)</f>
        <v/>
      </c>
      <c r="F133" s="20" t="str">
        <f>IF('Step 3 - Dean-Director-AVP'!B30="","",IF('Step 3 - Dean-Director-AVP'!C30="","","Fund Code"))</f>
        <v/>
      </c>
      <c r="G133" s="19" t="str">
        <f>IF('Step 3 - Dean-Director-AVP'!B30="","",IF('Step 3 - Dean-Director-AVP'!C30="","","Equals"))</f>
        <v/>
      </c>
      <c r="H133" s="20" t="str">
        <f>IF('Step 3 - Dean-Director-AVP'!B30="","",IF('Step 3 - Dean-Director-AVP'!C30="","",'Step 3 - Dean-Director-AVP'!C30))</f>
        <v/>
      </c>
      <c r="I133" s="20" t="str">
        <f>IF('Step 3 - Dean-Director-AVP'!B30="","","Organization Code")</f>
        <v/>
      </c>
      <c r="J133" s="19" t="str">
        <f>IF('Step 3 - Dean-Director-AVP'!B30="","","Equals")</f>
        <v/>
      </c>
      <c r="K133" s="20" t="str">
        <f>IF('Step 3 - Dean-Director-AVP'!B30="","",'Step 3 - Dean-Director-AVP'!D30)</f>
        <v/>
      </c>
      <c r="L133" s="20" t="str">
        <f>IF('Step 3 - Dean-Director-AVP'!B30="","","Other Criteria")</f>
        <v/>
      </c>
      <c r="M133" s="19" t="str">
        <f>IF('Step 3 - Dean-Director-AVP'!B30="","","Equals")</f>
        <v/>
      </c>
      <c r="N133" s="20" t="str">
        <f>IF('Step 3 - Dean-Director-AVP'!B30="","",'Step 3 - Dean-Director-AVP'!E30)</f>
        <v/>
      </c>
      <c r="O133" s="20" t="str">
        <f>IF('Step 3 - Dean-Director-AVP'!B30="","",IF('Step 3 - Dean-Director-AVP'!F30="","","Total"))</f>
        <v/>
      </c>
      <c r="P133" s="19" t="str">
        <f>IF('Step 3 - Dean-Director-AVP'!B30="","",IF('Step 3 - Dean-Director-AVP'!F30="","","&gt;="))</f>
        <v/>
      </c>
      <c r="Q133" s="20" t="str">
        <f>IF('Step 3 - Dean-Director-AVP'!B30="","",IF('Step 3 - Dean-Director-AVP'!F30="","",'Step 3 - Dean-Director-AVP'!F30))</f>
        <v/>
      </c>
      <c r="R133" s="20" t="str">
        <f>""</f>
        <v/>
      </c>
      <c r="S133" s="20" t="str">
        <f>""</f>
        <v/>
      </c>
      <c r="T133" s="20" t="str">
        <f>""</f>
        <v/>
      </c>
      <c r="U133" s="20" t="str">
        <f>IF('Step 3 - Dean-Director-AVP'!B30="","",'Step 3 - Dean-Director-AVP'!I30)</f>
        <v/>
      </c>
      <c r="V133" s="19" t="str">
        <f>IF('Step 3 - Dean-Director-AVP'!B30="","",'Step 3 - Dean-Director-AVP'!K30)</f>
        <v/>
      </c>
      <c r="W133" s="20" t="str">
        <f>IF('Step 3 - Dean-Director-AVP'!B30="","",'Step 3 - Dean-Director-AVP'!L30)</f>
        <v/>
      </c>
      <c r="X133" s="19" t="str">
        <f>IF('Step 3 - Dean-Director-AVP'!B30="","",'Step 3 - Dean-Director-AVP'!N30)</f>
        <v/>
      </c>
      <c r="Y133" s="20" t="str">
        <f>""</f>
        <v/>
      </c>
      <c r="Z133" s="20" t="str">
        <f>""</f>
        <v/>
      </c>
      <c r="AA133" s="20" t="str">
        <f>""</f>
        <v/>
      </c>
      <c r="AB133" s="20" t="str">
        <f>""</f>
        <v/>
      </c>
      <c r="AC133" s="20" t="str">
        <f>""</f>
        <v/>
      </c>
      <c r="AD133" s="20" t="str">
        <f>""</f>
        <v/>
      </c>
      <c r="AE133" s="20" t="str">
        <f>""</f>
        <v/>
      </c>
      <c r="AF133" s="20" t="str">
        <f>""</f>
        <v/>
      </c>
      <c r="AG133" s="20" t="str">
        <f>""</f>
        <v/>
      </c>
      <c r="AH133" s="20" t="str">
        <f>""</f>
        <v/>
      </c>
      <c r="AI133" s="20" t="str">
        <f>""</f>
        <v/>
      </c>
      <c r="AJ133" s="20" t="str">
        <f>""</f>
        <v/>
      </c>
      <c r="AK133" s="20" t="str">
        <f>""</f>
        <v/>
      </c>
      <c r="AL133" s="20" t="str">
        <f>""</f>
        <v/>
      </c>
      <c r="AM133" s="20" t="str">
        <f>""</f>
        <v/>
      </c>
    </row>
    <row r="134" spans="1:39" ht="15.75" customHeight="1" x14ac:dyDescent="0.25">
      <c r="A134" s="17" t="str">
        <f>IF('Step 3 - Dean-Director-AVP'!B31="","","Active")</f>
        <v/>
      </c>
      <c r="B134" s="18" t="str">
        <f>IF('Step 3 - Dean-Director-AVP'!B31="","",'Step 3 - Dean-Director-AVP'!B31)</f>
        <v/>
      </c>
      <c r="C134" s="18" t="str">
        <f>IF('Step 3 - Dean-Director-AVP'!B31="","",'Step 3 - Dean-Director-AVP'!B31)</f>
        <v/>
      </c>
      <c r="D134" s="17" t="str">
        <f>IF('Step 3 - Dean-Director-AVP'!B31="","",'Step 3 - Dean-Director-AVP'!G31)</f>
        <v/>
      </c>
      <c r="E134" s="17" t="str">
        <f>IF('Step 3 - Dean-Director-AVP'!B31="","",'Step 3 - Dean-Director-AVP'!H31)</f>
        <v/>
      </c>
      <c r="F134" s="18" t="str">
        <f>IF('Step 3 - Dean-Director-AVP'!B31="","",IF('Step 3 - Dean-Director-AVP'!C31="","","Fund Code"))</f>
        <v/>
      </c>
      <c r="G134" s="17" t="str">
        <f>IF('Step 3 - Dean-Director-AVP'!B31="","",IF('Step 3 - Dean-Director-AVP'!C31="","","Equals"))</f>
        <v/>
      </c>
      <c r="H134" s="18" t="str">
        <f>IF('Step 3 - Dean-Director-AVP'!B31="","",IF('Step 3 - Dean-Director-AVP'!C31="","",'Step 3 - Dean-Director-AVP'!C31))</f>
        <v/>
      </c>
      <c r="I134" s="18" t="str">
        <f>IF('Step 3 - Dean-Director-AVP'!B31="","","Organization Code")</f>
        <v/>
      </c>
      <c r="J134" s="17" t="str">
        <f>IF('Step 3 - Dean-Director-AVP'!B31="","","Equals")</f>
        <v/>
      </c>
      <c r="K134" s="18" t="str">
        <f>IF('Step 3 - Dean-Director-AVP'!B31="","",'Step 3 - Dean-Director-AVP'!D31)</f>
        <v/>
      </c>
      <c r="L134" s="18" t="str">
        <f>IF('Step 3 - Dean-Director-AVP'!B31="","","Other Criteria")</f>
        <v/>
      </c>
      <c r="M134" s="17" t="str">
        <f>IF('Step 3 - Dean-Director-AVP'!B31="","","Equals")</f>
        <v/>
      </c>
      <c r="N134" s="18" t="str">
        <f>IF('Step 3 - Dean-Director-AVP'!B31="","",'Step 3 - Dean-Director-AVP'!E31)</f>
        <v/>
      </c>
      <c r="O134" s="18" t="str">
        <f>IF('Step 3 - Dean-Director-AVP'!B31="","",IF('Step 3 - Dean-Director-AVP'!F31="","","Total"))</f>
        <v/>
      </c>
      <c r="P134" s="17" t="str">
        <f>IF('Step 3 - Dean-Director-AVP'!B31="","",IF('Step 3 - Dean-Director-AVP'!F31="","","&gt;="))</f>
        <v/>
      </c>
      <c r="Q134" s="18" t="str">
        <f>IF('Step 3 - Dean-Director-AVP'!B31="","",IF('Step 3 - Dean-Director-AVP'!F31="","",'Step 3 - Dean-Director-AVP'!F31))</f>
        <v/>
      </c>
      <c r="R134" s="18" t="str">
        <f>""</f>
        <v/>
      </c>
      <c r="S134" s="18" t="str">
        <f>""</f>
        <v/>
      </c>
      <c r="T134" s="18" t="str">
        <f>""</f>
        <v/>
      </c>
      <c r="U134" s="18" t="str">
        <f>IF('Step 3 - Dean-Director-AVP'!B31="","",'Step 3 - Dean-Director-AVP'!I31)</f>
        <v/>
      </c>
      <c r="V134" s="17" t="str">
        <f>IF('Step 3 - Dean-Director-AVP'!B31="","",'Step 3 - Dean-Director-AVP'!K31)</f>
        <v/>
      </c>
      <c r="W134" s="18" t="str">
        <f>IF('Step 3 - Dean-Director-AVP'!B31="","",'Step 3 - Dean-Director-AVP'!L31)</f>
        <v/>
      </c>
      <c r="X134" s="17" t="str">
        <f>IF('Step 3 - Dean-Director-AVP'!B31="","",'Step 3 - Dean-Director-AVP'!N31)</f>
        <v/>
      </c>
      <c r="Y134" s="18" t="str">
        <f>""</f>
        <v/>
      </c>
      <c r="Z134" s="18" t="str">
        <f>""</f>
        <v/>
      </c>
      <c r="AA134" s="18" t="str">
        <f>""</f>
        <v/>
      </c>
      <c r="AB134" s="18" t="str">
        <f>""</f>
        <v/>
      </c>
      <c r="AC134" s="18" t="str">
        <f>""</f>
        <v/>
      </c>
      <c r="AD134" s="18" t="str">
        <f>""</f>
        <v/>
      </c>
      <c r="AE134" s="18" t="str">
        <f>""</f>
        <v/>
      </c>
      <c r="AF134" s="18" t="str">
        <f>""</f>
        <v/>
      </c>
      <c r="AG134" s="18" t="str">
        <f>""</f>
        <v/>
      </c>
      <c r="AH134" s="18" t="str">
        <f>""</f>
        <v/>
      </c>
      <c r="AI134" s="18" t="str">
        <f>""</f>
        <v/>
      </c>
      <c r="AJ134" s="18" t="str">
        <f>""</f>
        <v/>
      </c>
      <c r="AK134" s="18" t="str">
        <f>""</f>
        <v/>
      </c>
      <c r="AL134" s="18" t="str">
        <f>""</f>
        <v/>
      </c>
      <c r="AM134" s="18" t="str">
        <f>""</f>
        <v/>
      </c>
    </row>
    <row r="135" spans="1:39" ht="15.75" customHeight="1" x14ac:dyDescent="0.25">
      <c r="A135" s="19" t="str">
        <f>IF('Step 3 - Dean-Director-AVP'!B32="","","Active")</f>
        <v/>
      </c>
      <c r="B135" s="20" t="str">
        <f>IF('Step 3 - Dean-Director-AVP'!B32="","",'Step 3 - Dean-Director-AVP'!B32)</f>
        <v/>
      </c>
      <c r="C135" s="20" t="str">
        <f>IF('Step 3 - Dean-Director-AVP'!B32="","",'Step 3 - Dean-Director-AVP'!B32)</f>
        <v/>
      </c>
      <c r="D135" s="19" t="str">
        <f>IF('Step 3 - Dean-Director-AVP'!B32="","",'Step 3 - Dean-Director-AVP'!G32)</f>
        <v/>
      </c>
      <c r="E135" s="19" t="str">
        <f>IF('Step 3 - Dean-Director-AVP'!B32="","",'Step 3 - Dean-Director-AVP'!H32)</f>
        <v/>
      </c>
      <c r="F135" s="20" t="str">
        <f>IF('Step 3 - Dean-Director-AVP'!B32="","",IF('Step 3 - Dean-Director-AVP'!C32="","","Fund Code"))</f>
        <v/>
      </c>
      <c r="G135" s="19" t="str">
        <f>IF('Step 3 - Dean-Director-AVP'!B32="","",IF('Step 3 - Dean-Director-AVP'!C32="","","Equals"))</f>
        <v/>
      </c>
      <c r="H135" s="20" t="str">
        <f>IF('Step 3 - Dean-Director-AVP'!B32="","",IF('Step 3 - Dean-Director-AVP'!C32="","",'Step 3 - Dean-Director-AVP'!C32))</f>
        <v/>
      </c>
      <c r="I135" s="20" t="str">
        <f>IF('Step 3 - Dean-Director-AVP'!B32="","","Organization Code")</f>
        <v/>
      </c>
      <c r="J135" s="19" t="str">
        <f>IF('Step 3 - Dean-Director-AVP'!B32="","","Equals")</f>
        <v/>
      </c>
      <c r="K135" s="20" t="str">
        <f>IF('Step 3 - Dean-Director-AVP'!B32="","",'Step 3 - Dean-Director-AVP'!D32)</f>
        <v/>
      </c>
      <c r="L135" s="20" t="str">
        <f>IF('Step 3 - Dean-Director-AVP'!B32="","","Other Criteria")</f>
        <v/>
      </c>
      <c r="M135" s="19" t="str">
        <f>IF('Step 3 - Dean-Director-AVP'!B32="","","Equals")</f>
        <v/>
      </c>
      <c r="N135" s="20" t="str">
        <f>IF('Step 3 - Dean-Director-AVP'!B32="","",'Step 3 - Dean-Director-AVP'!E32)</f>
        <v/>
      </c>
      <c r="O135" s="20" t="str">
        <f>IF('Step 3 - Dean-Director-AVP'!B32="","",IF('Step 3 - Dean-Director-AVP'!F32="","","Total"))</f>
        <v/>
      </c>
      <c r="P135" s="19" t="str">
        <f>IF('Step 3 - Dean-Director-AVP'!B32="","",IF('Step 3 - Dean-Director-AVP'!F32="","","&gt;="))</f>
        <v/>
      </c>
      <c r="Q135" s="20" t="str">
        <f>IF('Step 3 - Dean-Director-AVP'!B32="","",IF('Step 3 - Dean-Director-AVP'!F32="","",'Step 3 - Dean-Director-AVP'!F32))</f>
        <v/>
      </c>
      <c r="R135" s="20" t="str">
        <f>""</f>
        <v/>
      </c>
      <c r="S135" s="20" t="str">
        <f>""</f>
        <v/>
      </c>
      <c r="T135" s="20" t="str">
        <f>""</f>
        <v/>
      </c>
      <c r="U135" s="20" t="str">
        <f>IF('Step 3 - Dean-Director-AVP'!B32="","",'Step 3 - Dean-Director-AVP'!I32)</f>
        <v/>
      </c>
      <c r="V135" s="19" t="str">
        <f>IF('Step 3 - Dean-Director-AVP'!B32="","",'Step 3 - Dean-Director-AVP'!K32)</f>
        <v/>
      </c>
      <c r="W135" s="20" t="str">
        <f>IF('Step 3 - Dean-Director-AVP'!B32="","",'Step 3 - Dean-Director-AVP'!L32)</f>
        <v/>
      </c>
      <c r="X135" s="19" t="str">
        <f>IF('Step 3 - Dean-Director-AVP'!B32="","",'Step 3 - Dean-Director-AVP'!N32)</f>
        <v/>
      </c>
      <c r="Y135" s="20" t="str">
        <f>""</f>
        <v/>
      </c>
      <c r="Z135" s="20" t="str">
        <f>""</f>
        <v/>
      </c>
      <c r="AA135" s="20" t="str">
        <f>""</f>
        <v/>
      </c>
      <c r="AB135" s="20" t="str">
        <f>""</f>
        <v/>
      </c>
      <c r="AC135" s="20" t="str">
        <f>""</f>
        <v/>
      </c>
      <c r="AD135" s="20" t="str">
        <f>""</f>
        <v/>
      </c>
      <c r="AE135" s="20" t="str">
        <f>""</f>
        <v/>
      </c>
      <c r="AF135" s="20" t="str">
        <f>""</f>
        <v/>
      </c>
      <c r="AG135" s="20" t="str">
        <f>""</f>
        <v/>
      </c>
      <c r="AH135" s="20" t="str">
        <f>""</f>
        <v/>
      </c>
      <c r="AI135" s="20" t="str">
        <f>""</f>
        <v/>
      </c>
      <c r="AJ135" s="20" t="str">
        <f>""</f>
        <v/>
      </c>
      <c r="AK135" s="20" t="str">
        <f>""</f>
        <v/>
      </c>
      <c r="AL135" s="20" t="str">
        <f>""</f>
        <v/>
      </c>
      <c r="AM135" s="20" t="str">
        <f>""</f>
        <v/>
      </c>
    </row>
    <row r="136" spans="1:39" ht="15.75" customHeight="1" x14ac:dyDescent="0.25">
      <c r="A136" s="17" t="str">
        <f>IF('Step 3 - Dean-Director-AVP'!B33="","","Active")</f>
        <v/>
      </c>
      <c r="B136" s="18" t="str">
        <f>IF('Step 3 - Dean-Director-AVP'!B33="","",'Step 3 - Dean-Director-AVP'!B33)</f>
        <v/>
      </c>
      <c r="C136" s="18" t="str">
        <f>IF('Step 3 - Dean-Director-AVP'!B33="","",'Step 3 - Dean-Director-AVP'!B33)</f>
        <v/>
      </c>
      <c r="D136" s="17" t="str">
        <f>IF('Step 3 - Dean-Director-AVP'!B33="","",'Step 3 - Dean-Director-AVP'!G33)</f>
        <v/>
      </c>
      <c r="E136" s="17" t="str">
        <f>IF('Step 3 - Dean-Director-AVP'!B33="","",'Step 3 - Dean-Director-AVP'!H33)</f>
        <v/>
      </c>
      <c r="F136" s="18" t="str">
        <f>IF('Step 3 - Dean-Director-AVP'!B33="","",IF('Step 3 - Dean-Director-AVP'!C33="","","Fund Code"))</f>
        <v/>
      </c>
      <c r="G136" s="17" t="str">
        <f>IF('Step 3 - Dean-Director-AVP'!B33="","",IF('Step 3 - Dean-Director-AVP'!C33="","","Equals"))</f>
        <v/>
      </c>
      <c r="H136" s="18" t="str">
        <f>IF('Step 3 - Dean-Director-AVP'!B33="","",IF('Step 3 - Dean-Director-AVP'!C33="","",'Step 3 - Dean-Director-AVP'!C33))</f>
        <v/>
      </c>
      <c r="I136" s="18" t="str">
        <f>IF('Step 3 - Dean-Director-AVP'!B33="","","Organization Code")</f>
        <v/>
      </c>
      <c r="J136" s="17" t="str">
        <f>IF('Step 3 - Dean-Director-AVP'!B33="","","Equals")</f>
        <v/>
      </c>
      <c r="K136" s="18" t="str">
        <f>IF('Step 3 - Dean-Director-AVP'!B33="","",'Step 3 - Dean-Director-AVP'!D33)</f>
        <v/>
      </c>
      <c r="L136" s="18" t="str">
        <f>IF('Step 3 - Dean-Director-AVP'!B33="","","Other Criteria")</f>
        <v/>
      </c>
      <c r="M136" s="17" t="str">
        <f>IF('Step 3 - Dean-Director-AVP'!B33="","","Equals")</f>
        <v/>
      </c>
      <c r="N136" s="18" t="str">
        <f>IF('Step 3 - Dean-Director-AVP'!B33="","",'Step 3 - Dean-Director-AVP'!E33)</f>
        <v/>
      </c>
      <c r="O136" s="18" t="str">
        <f>IF('Step 3 - Dean-Director-AVP'!B33="","",IF('Step 3 - Dean-Director-AVP'!F33="","","Total"))</f>
        <v/>
      </c>
      <c r="P136" s="17" t="str">
        <f>IF('Step 3 - Dean-Director-AVP'!B33="","",IF('Step 3 - Dean-Director-AVP'!F33="","","&gt;="))</f>
        <v/>
      </c>
      <c r="Q136" s="18" t="str">
        <f>IF('Step 3 - Dean-Director-AVP'!B33="","",IF('Step 3 - Dean-Director-AVP'!F33="","",'Step 3 - Dean-Director-AVP'!F33))</f>
        <v/>
      </c>
      <c r="R136" s="18" t="str">
        <f>""</f>
        <v/>
      </c>
      <c r="S136" s="18" t="str">
        <f>""</f>
        <v/>
      </c>
      <c r="T136" s="18" t="str">
        <f>""</f>
        <v/>
      </c>
      <c r="U136" s="18" t="str">
        <f>IF('Step 3 - Dean-Director-AVP'!B33="","",'Step 3 - Dean-Director-AVP'!I33)</f>
        <v/>
      </c>
      <c r="V136" s="17" t="str">
        <f>IF('Step 3 - Dean-Director-AVP'!B33="","",'Step 3 - Dean-Director-AVP'!K33)</f>
        <v/>
      </c>
      <c r="W136" s="18" t="str">
        <f>IF('Step 3 - Dean-Director-AVP'!B33="","",'Step 3 - Dean-Director-AVP'!L33)</f>
        <v/>
      </c>
      <c r="X136" s="17" t="str">
        <f>IF('Step 3 - Dean-Director-AVP'!B33="","",'Step 3 - Dean-Director-AVP'!N33)</f>
        <v/>
      </c>
      <c r="Y136" s="18" t="str">
        <f>""</f>
        <v/>
      </c>
      <c r="Z136" s="18" t="str">
        <f>""</f>
        <v/>
      </c>
      <c r="AA136" s="18" t="str">
        <f>""</f>
        <v/>
      </c>
      <c r="AB136" s="18" t="str">
        <f>""</f>
        <v/>
      </c>
      <c r="AC136" s="18" t="str">
        <f>""</f>
        <v/>
      </c>
      <c r="AD136" s="18" t="str">
        <f>""</f>
        <v/>
      </c>
      <c r="AE136" s="18" t="str">
        <f>""</f>
        <v/>
      </c>
      <c r="AF136" s="18" t="str">
        <f>""</f>
        <v/>
      </c>
      <c r="AG136" s="18" t="str">
        <f>""</f>
        <v/>
      </c>
      <c r="AH136" s="18" t="str">
        <f>""</f>
        <v/>
      </c>
      <c r="AI136" s="18" t="str">
        <f>""</f>
        <v/>
      </c>
      <c r="AJ136" s="18" t="str">
        <f>""</f>
        <v/>
      </c>
      <c r="AK136" s="18" t="str">
        <f>""</f>
        <v/>
      </c>
      <c r="AL136" s="18" t="str">
        <f>""</f>
        <v/>
      </c>
      <c r="AM136" s="18" t="str">
        <f>""</f>
        <v/>
      </c>
    </row>
    <row r="137" spans="1:39" ht="15.75" customHeight="1" x14ac:dyDescent="0.25">
      <c r="A137" s="19" t="str">
        <f>IF('Step 3 - Dean-Director-AVP'!B34="","","Active")</f>
        <v/>
      </c>
      <c r="B137" s="20" t="str">
        <f>IF('Step 3 - Dean-Director-AVP'!B34="","",'Step 3 - Dean-Director-AVP'!B34)</f>
        <v/>
      </c>
      <c r="C137" s="20" t="str">
        <f>IF('Step 3 - Dean-Director-AVP'!B34="","",'Step 3 - Dean-Director-AVP'!B34)</f>
        <v/>
      </c>
      <c r="D137" s="19" t="str">
        <f>IF('Step 3 - Dean-Director-AVP'!B34="","",'Step 3 - Dean-Director-AVP'!G34)</f>
        <v/>
      </c>
      <c r="E137" s="19" t="str">
        <f>IF('Step 3 - Dean-Director-AVP'!B34="","",'Step 3 - Dean-Director-AVP'!H34)</f>
        <v/>
      </c>
      <c r="F137" s="20" t="str">
        <f>IF('Step 3 - Dean-Director-AVP'!B34="","",IF('Step 3 - Dean-Director-AVP'!C34="","","Fund Code"))</f>
        <v/>
      </c>
      <c r="G137" s="19" t="str">
        <f>IF('Step 3 - Dean-Director-AVP'!B34="","",IF('Step 3 - Dean-Director-AVP'!C34="","","Equals"))</f>
        <v/>
      </c>
      <c r="H137" s="20" t="str">
        <f>IF('Step 3 - Dean-Director-AVP'!B34="","",IF('Step 3 - Dean-Director-AVP'!C34="","",'Step 3 - Dean-Director-AVP'!C34))</f>
        <v/>
      </c>
      <c r="I137" s="20" t="str">
        <f>IF('Step 3 - Dean-Director-AVP'!B34="","","Organization Code")</f>
        <v/>
      </c>
      <c r="J137" s="19" t="str">
        <f>IF('Step 3 - Dean-Director-AVP'!B34="","","Equals")</f>
        <v/>
      </c>
      <c r="K137" s="20" t="str">
        <f>IF('Step 3 - Dean-Director-AVP'!B34="","",'Step 3 - Dean-Director-AVP'!D34)</f>
        <v/>
      </c>
      <c r="L137" s="20" t="str">
        <f>IF('Step 3 - Dean-Director-AVP'!B34="","","Other Criteria")</f>
        <v/>
      </c>
      <c r="M137" s="19" t="str">
        <f>IF('Step 3 - Dean-Director-AVP'!B34="","","Equals")</f>
        <v/>
      </c>
      <c r="N137" s="20" t="str">
        <f>IF('Step 3 - Dean-Director-AVP'!B34="","",'Step 3 - Dean-Director-AVP'!E34)</f>
        <v/>
      </c>
      <c r="O137" s="20" t="str">
        <f>IF('Step 3 - Dean-Director-AVP'!B34="","",IF('Step 3 - Dean-Director-AVP'!F34="","","Total"))</f>
        <v/>
      </c>
      <c r="P137" s="19" t="str">
        <f>IF('Step 3 - Dean-Director-AVP'!B34="","",IF('Step 3 - Dean-Director-AVP'!F34="","","&gt;="))</f>
        <v/>
      </c>
      <c r="Q137" s="20" t="str">
        <f>IF('Step 3 - Dean-Director-AVP'!B34="","",IF('Step 3 - Dean-Director-AVP'!F34="","",'Step 3 - Dean-Director-AVP'!F34))</f>
        <v/>
      </c>
      <c r="R137" s="20" t="str">
        <f>""</f>
        <v/>
      </c>
      <c r="S137" s="20" t="str">
        <f>""</f>
        <v/>
      </c>
      <c r="T137" s="20" t="str">
        <f>""</f>
        <v/>
      </c>
      <c r="U137" s="20" t="str">
        <f>IF('Step 3 - Dean-Director-AVP'!B34="","",'Step 3 - Dean-Director-AVP'!I34)</f>
        <v/>
      </c>
      <c r="V137" s="19" t="str">
        <f>IF('Step 3 - Dean-Director-AVP'!B34="","",'Step 3 - Dean-Director-AVP'!K34)</f>
        <v/>
      </c>
      <c r="W137" s="20" t="str">
        <f>IF('Step 3 - Dean-Director-AVP'!B34="","",'Step 3 - Dean-Director-AVP'!L34)</f>
        <v/>
      </c>
      <c r="X137" s="19" t="str">
        <f>IF('Step 3 - Dean-Director-AVP'!B34="","",'Step 3 - Dean-Director-AVP'!N34)</f>
        <v/>
      </c>
      <c r="Y137" s="20" t="str">
        <f>""</f>
        <v/>
      </c>
      <c r="Z137" s="20" t="str">
        <f>""</f>
        <v/>
      </c>
      <c r="AA137" s="20" t="str">
        <f>""</f>
        <v/>
      </c>
      <c r="AB137" s="20" t="str">
        <f>""</f>
        <v/>
      </c>
      <c r="AC137" s="20" t="str">
        <f>""</f>
        <v/>
      </c>
      <c r="AD137" s="20" t="str">
        <f>""</f>
        <v/>
      </c>
      <c r="AE137" s="20" t="str">
        <f>""</f>
        <v/>
      </c>
      <c r="AF137" s="20" t="str">
        <f>""</f>
        <v/>
      </c>
      <c r="AG137" s="20" t="str">
        <f>""</f>
        <v/>
      </c>
      <c r="AH137" s="20" t="str">
        <f>""</f>
        <v/>
      </c>
      <c r="AI137" s="20" t="str">
        <f>""</f>
        <v/>
      </c>
      <c r="AJ137" s="20" t="str">
        <f>""</f>
        <v/>
      </c>
      <c r="AK137" s="20" t="str">
        <f>""</f>
        <v/>
      </c>
      <c r="AL137" s="20" t="str">
        <f>""</f>
        <v/>
      </c>
      <c r="AM137" s="20" t="str">
        <f>""</f>
        <v/>
      </c>
    </row>
    <row r="138" spans="1:39" ht="15.75" customHeight="1" x14ac:dyDescent="0.25">
      <c r="A138" s="17" t="str">
        <f>IF('Step 3 - Dean-Director-AVP'!B35="","","Active")</f>
        <v/>
      </c>
      <c r="B138" s="18" t="str">
        <f>IF('Step 3 - Dean-Director-AVP'!B35="","",'Step 3 - Dean-Director-AVP'!B35)</f>
        <v/>
      </c>
      <c r="C138" s="18" t="str">
        <f>IF('Step 3 - Dean-Director-AVP'!B35="","",'Step 3 - Dean-Director-AVP'!B35)</f>
        <v/>
      </c>
      <c r="D138" s="17" t="str">
        <f>IF('Step 3 - Dean-Director-AVP'!B35="","",'Step 3 - Dean-Director-AVP'!G35)</f>
        <v/>
      </c>
      <c r="E138" s="17" t="str">
        <f>IF('Step 3 - Dean-Director-AVP'!B35="","",'Step 3 - Dean-Director-AVP'!H35)</f>
        <v/>
      </c>
      <c r="F138" s="18" t="str">
        <f>IF('Step 3 - Dean-Director-AVP'!B35="","",IF('Step 3 - Dean-Director-AVP'!C35="","","Fund Code"))</f>
        <v/>
      </c>
      <c r="G138" s="17" t="str">
        <f>IF('Step 3 - Dean-Director-AVP'!B35="","",IF('Step 3 - Dean-Director-AVP'!C35="","","Equals"))</f>
        <v/>
      </c>
      <c r="H138" s="18" t="str">
        <f>IF('Step 3 - Dean-Director-AVP'!B35="","",IF('Step 3 - Dean-Director-AVP'!C35="","",'Step 3 - Dean-Director-AVP'!C35))</f>
        <v/>
      </c>
      <c r="I138" s="18" t="str">
        <f>IF('Step 3 - Dean-Director-AVP'!B35="","","Organization Code")</f>
        <v/>
      </c>
      <c r="J138" s="17" t="str">
        <f>IF('Step 3 - Dean-Director-AVP'!B35="","","Equals")</f>
        <v/>
      </c>
      <c r="K138" s="18" t="str">
        <f>IF('Step 3 - Dean-Director-AVP'!B35="","",'Step 3 - Dean-Director-AVP'!D35)</f>
        <v/>
      </c>
      <c r="L138" s="18" t="str">
        <f>IF('Step 3 - Dean-Director-AVP'!B35="","","Other Criteria")</f>
        <v/>
      </c>
      <c r="M138" s="17" t="str">
        <f>IF('Step 3 - Dean-Director-AVP'!B35="","","Equals")</f>
        <v/>
      </c>
      <c r="N138" s="18" t="str">
        <f>IF('Step 3 - Dean-Director-AVP'!B35="","",'Step 3 - Dean-Director-AVP'!E35)</f>
        <v/>
      </c>
      <c r="O138" s="18" t="str">
        <f>IF('Step 3 - Dean-Director-AVP'!B35="","",IF('Step 3 - Dean-Director-AVP'!F35="","","Total"))</f>
        <v/>
      </c>
      <c r="P138" s="17" t="str">
        <f>IF('Step 3 - Dean-Director-AVP'!B35="","",IF('Step 3 - Dean-Director-AVP'!F35="","","&gt;="))</f>
        <v/>
      </c>
      <c r="Q138" s="18" t="str">
        <f>IF('Step 3 - Dean-Director-AVP'!B35="","",IF('Step 3 - Dean-Director-AVP'!F35="","",'Step 3 - Dean-Director-AVP'!F35))</f>
        <v/>
      </c>
      <c r="R138" s="18" t="str">
        <f>""</f>
        <v/>
      </c>
      <c r="S138" s="18" t="str">
        <f>""</f>
        <v/>
      </c>
      <c r="T138" s="18" t="str">
        <f>""</f>
        <v/>
      </c>
      <c r="U138" s="18" t="str">
        <f>IF('Step 3 - Dean-Director-AVP'!B35="","",'Step 3 - Dean-Director-AVP'!I35)</f>
        <v/>
      </c>
      <c r="V138" s="17" t="str">
        <f>IF('Step 3 - Dean-Director-AVP'!B35="","",'Step 3 - Dean-Director-AVP'!K35)</f>
        <v/>
      </c>
      <c r="W138" s="18" t="str">
        <f>IF('Step 3 - Dean-Director-AVP'!B35="","",'Step 3 - Dean-Director-AVP'!L35)</f>
        <v/>
      </c>
      <c r="X138" s="17" t="str">
        <f>IF('Step 3 - Dean-Director-AVP'!B35="","",'Step 3 - Dean-Director-AVP'!N35)</f>
        <v/>
      </c>
      <c r="Y138" s="18" t="str">
        <f>""</f>
        <v/>
      </c>
      <c r="Z138" s="18" t="str">
        <f>""</f>
        <v/>
      </c>
      <c r="AA138" s="18" t="str">
        <f>""</f>
        <v/>
      </c>
      <c r="AB138" s="18" t="str">
        <f>""</f>
        <v/>
      </c>
      <c r="AC138" s="18" t="str">
        <f>""</f>
        <v/>
      </c>
      <c r="AD138" s="18" t="str">
        <f>""</f>
        <v/>
      </c>
      <c r="AE138" s="18" t="str">
        <f>""</f>
        <v/>
      </c>
      <c r="AF138" s="18" t="str">
        <f>""</f>
        <v/>
      </c>
      <c r="AG138" s="18" t="str">
        <f>""</f>
        <v/>
      </c>
      <c r="AH138" s="18" t="str">
        <f>""</f>
        <v/>
      </c>
      <c r="AI138" s="18" t="str">
        <f>""</f>
        <v/>
      </c>
      <c r="AJ138" s="18" t="str">
        <f>""</f>
        <v/>
      </c>
      <c r="AK138" s="18" t="str">
        <f>""</f>
        <v/>
      </c>
      <c r="AL138" s="18" t="str">
        <f>""</f>
        <v/>
      </c>
      <c r="AM138" s="18" t="str">
        <f>""</f>
        <v/>
      </c>
    </row>
    <row r="139" spans="1:39" ht="15.75" customHeight="1" x14ac:dyDescent="0.25">
      <c r="A139" s="19" t="str">
        <f>IF('Step 3 - Dean-Director-AVP'!B36="","","Active")</f>
        <v/>
      </c>
      <c r="B139" s="20" t="str">
        <f>IF('Step 3 - Dean-Director-AVP'!B36="","",'Step 3 - Dean-Director-AVP'!B36)</f>
        <v/>
      </c>
      <c r="C139" s="20" t="str">
        <f>IF('Step 3 - Dean-Director-AVP'!B36="","",'Step 3 - Dean-Director-AVP'!B36)</f>
        <v/>
      </c>
      <c r="D139" s="19" t="str">
        <f>IF('Step 3 - Dean-Director-AVP'!B36="","",'Step 3 - Dean-Director-AVP'!G36)</f>
        <v/>
      </c>
      <c r="E139" s="19" t="str">
        <f>IF('Step 3 - Dean-Director-AVP'!B36="","",'Step 3 - Dean-Director-AVP'!H36)</f>
        <v/>
      </c>
      <c r="F139" s="20" t="str">
        <f>IF('Step 3 - Dean-Director-AVP'!B36="","",IF('Step 3 - Dean-Director-AVP'!C36="","","Fund Code"))</f>
        <v/>
      </c>
      <c r="G139" s="19" t="str">
        <f>IF('Step 3 - Dean-Director-AVP'!B36="","",IF('Step 3 - Dean-Director-AVP'!C36="","","Equals"))</f>
        <v/>
      </c>
      <c r="H139" s="20" t="str">
        <f>IF('Step 3 - Dean-Director-AVP'!B36="","",IF('Step 3 - Dean-Director-AVP'!C36="","",'Step 3 - Dean-Director-AVP'!C36))</f>
        <v/>
      </c>
      <c r="I139" s="20" t="str">
        <f>IF('Step 3 - Dean-Director-AVP'!B36="","","Organization Code")</f>
        <v/>
      </c>
      <c r="J139" s="19" t="str">
        <f>IF('Step 3 - Dean-Director-AVP'!B36="","","Equals")</f>
        <v/>
      </c>
      <c r="K139" s="20" t="str">
        <f>IF('Step 3 - Dean-Director-AVP'!B36="","",'Step 3 - Dean-Director-AVP'!D36)</f>
        <v/>
      </c>
      <c r="L139" s="20" t="str">
        <f>IF('Step 3 - Dean-Director-AVP'!B36="","","Other Criteria")</f>
        <v/>
      </c>
      <c r="M139" s="19" t="str">
        <f>IF('Step 3 - Dean-Director-AVP'!B36="","","Equals")</f>
        <v/>
      </c>
      <c r="N139" s="20" t="str">
        <f>IF('Step 3 - Dean-Director-AVP'!B36="","",'Step 3 - Dean-Director-AVP'!E36)</f>
        <v/>
      </c>
      <c r="O139" s="20" t="str">
        <f>IF('Step 3 - Dean-Director-AVP'!B36="","",IF('Step 3 - Dean-Director-AVP'!F36="","","Total"))</f>
        <v/>
      </c>
      <c r="P139" s="19" t="str">
        <f>IF('Step 3 - Dean-Director-AVP'!B36="","",IF('Step 3 - Dean-Director-AVP'!F36="","","&gt;="))</f>
        <v/>
      </c>
      <c r="Q139" s="20" t="str">
        <f>IF('Step 3 - Dean-Director-AVP'!B36="","",IF('Step 3 - Dean-Director-AVP'!F36="","",'Step 3 - Dean-Director-AVP'!F36))</f>
        <v/>
      </c>
      <c r="R139" s="20" t="str">
        <f>""</f>
        <v/>
      </c>
      <c r="S139" s="20" t="str">
        <f>""</f>
        <v/>
      </c>
      <c r="T139" s="20" t="str">
        <f>""</f>
        <v/>
      </c>
      <c r="U139" s="20" t="str">
        <f>IF('Step 3 - Dean-Director-AVP'!B36="","",'Step 3 - Dean-Director-AVP'!I36)</f>
        <v/>
      </c>
      <c r="V139" s="19" t="str">
        <f>IF('Step 3 - Dean-Director-AVP'!B36="","",'Step 3 - Dean-Director-AVP'!K36)</f>
        <v/>
      </c>
      <c r="W139" s="20" t="str">
        <f>IF('Step 3 - Dean-Director-AVP'!B36="","",'Step 3 - Dean-Director-AVP'!L36)</f>
        <v/>
      </c>
      <c r="X139" s="19" t="str">
        <f>IF('Step 3 - Dean-Director-AVP'!B36="","",'Step 3 - Dean-Director-AVP'!N36)</f>
        <v/>
      </c>
      <c r="Y139" s="20" t="str">
        <f>""</f>
        <v/>
      </c>
      <c r="Z139" s="20" t="str">
        <f>""</f>
        <v/>
      </c>
      <c r="AA139" s="20" t="str">
        <f>""</f>
        <v/>
      </c>
      <c r="AB139" s="20" t="str">
        <f>""</f>
        <v/>
      </c>
      <c r="AC139" s="20" t="str">
        <f>""</f>
        <v/>
      </c>
      <c r="AD139" s="20" t="str">
        <f>""</f>
        <v/>
      </c>
      <c r="AE139" s="20" t="str">
        <f>""</f>
        <v/>
      </c>
      <c r="AF139" s="20" t="str">
        <f>""</f>
        <v/>
      </c>
      <c r="AG139" s="20" t="str">
        <f>""</f>
        <v/>
      </c>
      <c r="AH139" s="20" t="str">
        <f>""</f>
        <v/>
      </c>
      <c r="AI139" s="20" t="str">
        <f>""</f>
        <v/>
      </c>
      <c r="AJ139" s="20" t="str">
        <f>""</f>
        <v/>
      </c>
      <c r="AK139" s="20" t="str">
        <f>""</f>
        <v/>
      </c>
      <c r="AL139" s="20" t="str">
        <f>""</f>
        <v/>
      </c>
      <c r="AM139" s="20" t="str">
        <f>""</f>
        <v/>
      </c>
    </row>
    <row r="140" spans="1:39" ht="15.75" customHeight="1" x14ac:dyDescent="0.25">
      <c r="A140" s="17" t="str">
        <f>IF('Step 3 - Dean-Director-AVP'!B37="","","Active")</f>
        <v/>
      </c>
      <c r="B140" s="18" t="str">
        <f>IF('Step 3 - Dean-Director-AVP'!B37="","",'Step 3 - Dean-Director-AVP'!B37)</f>
        <v/>
      </c>
      <c r="C140" s="18" t="str">
        <f>IF('Step 3 - Dean-Director-AVP'!B37="","",'Step 3 - Dean-Director-AVP'!B37)</f>
        <v/>
      </c>
      <c r="D140" s="17" t="str">
        <f>IF('Step 3 - Dean-Director-AVP'!B37="","",'Step 3 - Dean-Director-AVP'!G37)</f>
        <v/>
      </c>
      <c r="E140" s="17" t="str">
        <f>IF('Step 3 - Dean-Director-AVP'!B37="","",'Step 3 - Dean-Director-AVP'!H37)</f>
        <v/>
      </c>
      <c r="F140" s="18" t="str">
        <f>IF('Step 3 - Dean-Director-AVP'!B37="","",IF('Step 3 - Dean-Director-AVP'!C37="","","Fund Code"))</f>
        <v/>
      </c>
      <c r="G140" s="17" t="str">
        <f>IF('Step 3 - Dean-Director-AVP'!B37="","",IF('Step 3 - Dean-Director-AVP'!C37="","","Equals"))</f>
        <v/>
      </c>
      <c r="H140" s="18" t="str">
        <f>IF('Step 3 - Dean-Director-AVP'!B37="","",IF('Step 3 - Dean-Director-AVP'!C37="","",'Step 3 - Dean-Director-AVP'!C37))</f>
        <v/>
      </c>
      <c r="I140" s="18" t="str">
        <f>IF('Step 3 - Dean-Director-AVP'!B37="","","Organization Code")</f>
        <v/>
      </c>
      <c r="J140" s="17" t="str">
        <f>IF('Step 3 - Dean-Director-AVP'!B37="","","Equals")</f>
        <v/>
      </c>
      <c r="K140" s="18" t="str">
        <f>IF('Step 3 - Dean-Director-AVP'!B37="","",'Step 3 - Dean-Director-AVP'!D37)</f>
        <v/>
      </c>
      <c r="L140" s="18" t="str">
        <f>IF('Step 3 - Dean-Director-AVP'!B37="","","Other Criteria")</f>
        <v/>
      </c>
      <c r="M140" s="17" t="str">
        <f>IF('Step 3 - Dean-Director-AVP'!B37="","","Equals")</f>
        <v/>
      </c>
      <c r="N140" s="18" t="str">
        <f>IF('Step 3 - Dean-Director-AVP'!B37="","",'Step 3 - Dean-Director-AVP'!E37)</f>
        <v/>
      </c>
      <c r="O140" s="18" t="str">
        <f>IF('Step 3 - Dean-Director-AVP'!B37="","",IF('Step 3 - Dean-Director-AVP'!F37="","","Total"))</f>
        <v/>
      </c>
      <c r="P140" s="17" t="str">
        <f>IF('Step 3 - Dean-Director-AVP'!B37="","",IF('Step 3 - Dean-Director-AVP'!F37="","","&gt;="))</f>
        <v/>
      </c>
      <c r="Q140" s="18" t="str">
        <f>IF('Step 3 - Dean-Director-AVP'!B37="","",IF('Step 3 - Dean-Director-AVP'!F37="","",'Step 3 - Dean-Director-AVP'!F37))</f>
        <v/>
      </c>
      <c r="R140" s="18" t="str">
        <f>""</f>
        <v/>
      </c>
      <c r="S140" s="18" t="str">
        <f>""</f>
        <v/>
      </c>
      <c r="T140" s="18" t="str">
        <f>""</f>
        <v/>
      </c>
      <c r="U140" s="18" t="str">
        <f>IF('Step 3 - Dean-Director-AVP'!B37="","",'Step 3 - Dean-Director-AVP'!I37)</f>
        <v/>
      </c>
      <c r="V140" s="17" t="str">
        <f>IF('Step 3 - Dean-Director-AVP'!B37="","",'Step 3 - Dean-Director-AVP'!K37)</f>
        <v/>
      </c>
      <c r="W140" s="18" t="str">
        <f>IF('Step 3 - Dean-Director-AVP'!B37="","",'Step 3 - Dean-Director-AVP'!L37)</f>
        <v/>
      </c>
      <c r="X140" s="17" t="str">
        <f>IF('Step 3 - Dean-Director-AVP'!B37="","",'Step 3 - Dean-Director-AVP'!N37)</f>
        <v/>
      </c>
      <c r="Y140" s="18" t="str">
        <f>""</f>
        <v/>
      </c>
      <c r="Z140" s="18" t="str">
        <f>""</f>
        <v/>
      </c>
      <c r="AA140" s="18" t="str">
        <f>""</f>
        <v/>
      </c>
      <c r="AB140" s="18" t="str">
        <f>""</f>
        <v/>
      </c>
      <c r="AC140" s="18" t="str">
        <f>""</f>
        <v/>
      </c>
      <c r="AD140" s="18" t="str">
        <f>""</f>
        <v/>
      </c>
      <c r="AE140" s="18" t="str">
        <f>""</f>
        <v/>
      </c>
      <c r="AF140" s="18" t="str">
        <f>""</f>
        <v/>
      </c>
      <c r="AG140" s="18" t="str">
        <f>""</f>
        <v/>
      </c>
      <c r="AH140" s="18" t="str">
        <f>""</f>
        <v/>
      </c>
      <c r="AI140" s="18" t="str">
        <f>""</f>
        <v/>
      </c>
      <c r="AJ140" s="18" t="str">
        <f>""</f>
        <v/>
      </c>
      <c r="AK140" s="18" t="str">
        <f>""</f>
        <v/>
      </c>
      <c r="AL140" s="18" t="str">
        <f>""</f>
        <v/>
      </c>
      <c r="AM140" s="18" t="str">
        <f>""</f>
        <v/>
      </c>
    </row>
    <row r="141" spans="1:39" ht="15.75" customHeight="1" x14ac:dyDescent="0.25">
      <c r="A141" s="19" t="str">
        <f>IF('Step 3 - Dean-Director-AVP'!B38="","","Active")</f>
        <v/>
      </c>
      <c r="B141" s="20" t="str">
        <f>IF('Step 3 - Dean-Director-AVP'!B38="","",'Step 3 - Dean-Director-AVP'!B38)</f>
        <v/>
      </c>
      <c r="C141" s="20" t="str">
        <f>IF('Step 3 - Dean-Director-AVP'!B38="","",'Step 3 - Dean-Director-AVP'!B38)</f>
        <v/>
      </c>
      <c r="D141" s="19" t="str">
        <f>IF('Step 3 - Dean-Director-AVP'!B38="","",'Step 3 - Dean-Director-AVP'!G38)</f>
        <v/>
      </c>
      <c r="E141" s="19" t="str">
        <f>IF('Step 3 - Dean-Director-AVP'!B38="","",'Step 3 - Dean-Director-AVP'!H38)</f>
        <v/>
      </c>
      <c r="F141" s="20" t="str">
        <f>IF('Step 3 - Dean-Director-AVP'!B38="","",IF('Step 3 - Dean-Director-AVP'!C38="","","Fund Code"))</f>
        <v/>
      </c>
      <c r="G141" s="19" t="str">
        <f>IF('Step 3 - Dean-Director-AVP'!B38="","",IF('Step 3 - Dean-Director-AVP'!C38="","","Equals"))</f>
        <v/>
      </c>
      <c r="H141" s="20" t="str">
        <f>IF('Step 3 - Dean-Director-AVP'!B38="","",IF('Step 3 - Dean-Director-AVP'!C38="","",'Step 3 - Dean-Director-AVP'!C38))</f>
        <v/>
      </c>
      <c r="I141" s="20" t="str">
        <f>IF('Step 3 - Dean-Director-AVP'!B38="","","Organization Code")</f>
        <v/>
      </c>
      <c r="J141" s="19" t="str">
        <f>IF('Step 3 - Dean-Director-AVP'!B38="","","Equals")</f>
        <v/>
      </c>
      <c r="K141" s="20" t="str">
        <f>IF('Step 3 - Dean-Director-AVP'!B38="","",'Step 3 - Dean-Director-AVP'!D38)</f>
        <v/>
      </c>
      <c r="L141" s="20" t="str">
        <f>IF('Step 3 - Dean-Director-AVP'!B38="","","Other Criteria")</f>
        <v/>
      </c>
      <c r="M141" s="19" t="str">
        <f>IF('Step 3 - Dean-Director-AVP'!B38="","","Equals")</f>
        <v/>
      </c>
      <c r="N141" s="20" t="str">
        <f>IF('Step 3 - Dean-Director-AVP'!B38="","",'Step 3 - Dean-Director-AVP'!E38)</f>
        <v/>
      </c>
      <c r="O141" s="20" t="str">
        <f>IF('Step 3 - Dean-Director-AVP'!B38="","",IF('Step 3 - Dean-Director-AVP'!F38="","","Total"))</f>
        <v/>
      </c>
      <c r="P141" s="19" t="str">
        <f>IF('Step 3 - Dean-Director-AVP'!B38="","",IF('Step 3 - Dean-Director-AVP'!F38="","","&gt;="))</f>
        <v/>
      </c>
      <c r="Q141" s="20" t="str">
        <f>IF('Step 3 - Dean-Director-AVP'!B38="","",IF('Step 3 - Dean-Director-AVP'!F38="","",'Step 3 - Dean-Director-AVP'!F38))</f>
        <v/>
      </c>
      <c r="R141" s="20" t="str">
        <f>""</f>
        <v/>
      </c>
      <c r="S141" s="20" t="str">
        <f>""</f>
        <v/>
      </c>
      <c r="T141" s="20" t="str">
        <f>""</f>
        <v/>
      </c>
      <c r="U141" s="20" t="str">
        <f>IF('Step 3 - Dean-Director-AVP'!B38="","",'Step 3 - Dean-Director-AVP'!I38)</f>
        <v/>
      </c>
      <c r="V141" s="19" t="str">
        <f>IF('Step 3 - Dean-Director-AVP'!B38="","",'Step 3 - Dean-Director-AVP'!K38)</f>
        <v/>
      </c>
      <c r="W141" s="20" t="str">
        <f>IF('Step 3 - Dean-Director-AVP'!B38="","",'Step 3 - Dean-Director-AVP'!L38)</f>
        <v/>
      </c>
      <c r="X141" s="19" t="str">
        <f>IF('Step 3 - Dean-Director-AVP'!B38="","",'Step 3 - Dean-Director-AVP'!N38)</f>
        <v/>
      </c>
      <c r="Y141" s="20" t="str">
        <f>""</f>
        <v/>
      </c>
      <c r="Z141" s="20" t="str">
        <f>""</f>
        <v/>
      </c>
      <c r="AA141" s="20" t="str">
        <f>""</f>
        <v/>
      </c>
      <c r="AB141" s="20" t="str">
        <f>""</f>
        <v/>
      </c>
      <c r="AC141" s="20" t="str">
        <f>""</f>
        <v/>
      </c>
      <c r="AD141" s="20" t="str">
        <f>""</f>
        <v/>
      </c>
      <c r="AE141" s="20" t="str">
        <f>""</f>
        <v/>
      </c>
      <c r="AF141" s="20" t="str">
        <f>""</f>
        <v/>
      </c>
      <c r="AG141" s="20" t="str">
        <f>""</f>
        <v/>
      </c>
      <c r="AH141" s="20" t="str">
        <f>""</f>
        <v/>
      </c>
      <c r="AI141" s="20" t="str">
        <f>""</f>
        <v/>
      </c>
      <c r="AJ141" s="20" t="str">
        <f>""</f>
        <v/>
      </c>
      <c r="AK141" s="20" t="str">
        <f>""</f>
        <v/>
      </c>
      <c r="AL141" s="20" t="str">
        <f>""</f>
        <v/>
      </c>
      <c r="AM141" s="20" t="str">
        <f>""</f>
        <v/>
      </c>
    </row>
    <row r="142" spans="1:39" ht="15.75" customHeight="1" x14ac:dyDescent="0.25">
      <c r="A142" s="17" t="str">
        <f>IF('Step 3 - Dean-Director-AVP'!B39="","","Active")</f>
        <v/>
      </c>
      <c r="B142" s="18" t="str">
        <f>IF('Step 3 - Dean-Director-AVP'!B39="","",'Step 3 - Dean-Director-AVP'!B39)</f>
        <v/>
      </c>
      <c r="C142" s="18" t="str">
        <f>IF('Step 3 - Dean-Director-AVP'!B39="","",'Step 3 - Dean-Director-AVP'!B39)</f>
        <v/>
      </c>
      <c r="D142" s="17" t="str">
        <f>IF('Step 3 - Dean-Director-AVP'!B39="","",'Step 3 - Dean-Director-AVP'!G39)</f>
        <v/>
      </c>
      <c r="E142" s="17" t="str">
        <f>IF('Step 3 - Dean-Director-AVP'!B39="","",'Step 3 - Dean-Director-AVP'!H39)</f>
        <v/>
      </c>
      <c r="F142" s="18" t="str">
        <f>IF('Step 3 - Dean-Director-AVP'!B39="","",IF('Step 3 - Dean-Director-AVP'!C39="","","Fund Code"))</f>
        <v/>
      </c>
      <c r="G142" s="17" t="str">
        <f>IF('Step 3 - Dean-Director-AVP'!B39="","",IF('Step 3 - Dean-Director-AVP'!C39="","","Equals"))</f>
        <v/>
      </c>
      <c r="H142" s="18" t="str">
        <f>IF('Step 3 - Dean-Director-AVP'!B39="","",IF('Step 3 - Dean-Director-AVP'!C39="","",'Step 3 - Dean-Director-AVP'!C39))</f>
        <v/>
      </c>
      <c r="I142" s="18" t="str">
        <f>IF('Step 3 - Dean-Director-AVP'!B39="","","Organization Code")</f>
        <v/>
      </c>
      <c r="J142" s="17" t="str">
        <f>IF('Step 3 - Dean-Director-AVP'!B39="","","Equals")</f>
        <v/>
      </c>
      <c r="K142" s="18" t="str">
        <f>IF('Step 3 - Dean-Director-AVP'!B39="","",'Step 3 - Dean-Director-AVP'!D39)</f>
        <v/>
      </c>
      <c r="L142" s="18" t="str">
        <f>IF('Step 3 - Dean-Director-AVP'!B39="","","Other Criteria")</f>
        <v/>
      </c>
      <c r="M142" s="17" t="str">
        <f>IF('Step 3 - Dean-Director-AVP'!B39="","","Equals")</f>
        <v/>
      </c>
      <c r="N142" s="18" t="str">
        <f>IF('Step 3 - Dean-Director-AVP'!B39="","",'Step 3 - Dean-Director-AVP'!E39)</f>
        <v/>
      </c>
      <c r="O142" s="18" t="str">
        <f>IF('Step 3 - Dean-Director-AVP'!B39="","",IF('Step 3 - Dean-Director-AVP'!F39="","","Total"))</f>
        <v/>
      </c>
      <c r="P142" s="17" t="str">
        <f>IF('Step 3 - Dean-Director-AVP'!B39="","",IF('Step 3 - Dean-Director-AVP'!F39="","","&gt;="))</f>
        <v/>
      </c>
      <c r="Q142" s="18" t="str">
        <f>IF('Step 3 - Dean-Director-AVP'!B39="","",IF('Step 3 - Dean-Director-AVP'!F39="","",'Step 3 - Dean-Director-AVP'!F39))</f>
        <v/>
      </c>
      <c r="R142" s="18" t="str">
        <f>""</f>
        <v/>
      </c>
      <c r="S142" s="18" t="str">
        <f>""</f>
        <v/>
      </c>
      <c r="T142" s="18" t="str">
        <f>""</f>
        <v/>
      </c>
      <c r="U142" s="18" t="str">
        <f>IF('Step 3 - Dean-Director-AVP'!B39="","",'Step 3 - Dean-Director-AVP'!I39)</f>
        <v/>
      </c>
      <c r="V142" s="17" t="str">
        <f>IF('Step 3 - Dean-Director-AVP'!B39="","",'Step 3 - Dean-Director-AVP'!K39)</f>
        <v/>
      </c>
      <c r="W142" s="18" t="str">
        <f>IF('Step 3 - Dean-Director-AVP'!B39="","",'Step 3 - Dean-Director-AVP'!L39)</f>
        <v/>
      </c>
      <c r="X142" s="17" t="str">
        <f>IF('Step 3 - Dean-Director-AVP'!B39="","",'Step 3 - Dean-Director-AVP'!N39)</f>
        <v/>
      </c>
      <c r="Y142" s="18" t="str">
        <f>""</f>
        <v/>
      </c>
      <c r="Z142" s="18" t="str">
        <f>""</f>
        <v/>
      </c>
      <c r="AA142" s="18" t="str">
        <f>""</f>
        <v/>
      </c>
      <c r="AB142" s="18" t="str">
        <f>""</f>
        <v/>
      </c>
      <c r="AC142" s="18" t="str">
        <f>""</f>
        <v/>
      </c>
      <c r="AD142" s="18" t="str">
        <f>""</f>
        <v/>
      </c>
      <c r="AE142" s="18" t="str">
        <f>""</f>
        <v/>
      </c>
      <c r="AF142" s="18" t="str">
        <f>""</f>
        <v/>
      </c>
      <c r="AG142" s="18" t="str">
        <f>""</f>
        <v/>
      </c>
      <c r="AH142" s="18" t="str">
        <f>""</f>
        <v/>
      </c>
      <c r="AI142" s="18" t="str">
        <f>""</f>
        <v/>
      </c>
      <c r="AJ142" s="18" t="str">
        <f>""</f>
        <v/>
      </c>
      <c r="AK142" s="18" t="str">
        <f>""</f>
        <v/>
      </c>
      <c r="AL142" s="18" t="str">
        <f>""</f>
        <v/>
      </c>
      <c r="AM142" s="18" t="str">
        <f>""</f>
        <v/>
      </c>
    </row>
    <row r="143" spans="1:39" ht="15.75" customHeight="1" x14ac:dyDescent="0.25">
      <c r="A143" s="19" t="str">
        <f>IF('Step 3 - Dean-Director-AVP'!B40="","","Active")</f>
        <v/>
      </c>
      <c r="B143" s="20" t="str">
        <f>IF('Step 3 - Dean-Director-AVP'!B40="","",'Step 3 - Dean-Director-AVP'!B40)</f>
        <v/>
      </c>
      <c r="C143" s="20" t="str">
        <f>IF('Step 3 - Dean-Director-AVP'!B40="","",'Step 3 - Dean-Director-AVP'!B40)</f>
        <v/>
      </c>
      <c r="D143" s="19" t="str">
        <f>IF('Step 3 - Dean-Director-AVP'!B40="","",'Step 3 - Dean-Director-AVP'!G40)</f>
        <v/>
      </c>
      <c r="E143" s="19" t="str">
        <f>IF('Step 3 - Dean-Director-AVP'!B40="","",'Step 3 - Dean-Director-AVP'!H40)</f>
        <v/>
      </c>
      <c r="F143" s="20" t="str">
        <f>IF('Step 3 - Dean-Director-AVP'!B40="","",IF('Step 3 - Dean-Director-AVP'!C40="","","Fund Code"))</f>
        <v/>
      </c>
      <c r="G143" s="19" t="str">
        <f>IF('Step 3 - Dean-Director-AVP'!B40="","",IF('Step 3 - Dean-Director-AVP'!C40="","","Equals"))</f>
        <v/>
      </c>
      <c r="H143" s="20" t="str">
        <f>IF('Step 3 - Dean-Director-AVP'!B40="","",IF('Step 3 - Dean-Director-AVP'!C40="","",'Step 3 - Dean-Director-AVP'!C40))</f>
        <v/>
      </c>
      <c r="I143" s="20" t="str">
        <f>IF('Step 3 - Dean-Director-AVP'!B40="","","Organization Code")</f>
        <v/>
      </c>
      <c r="J143" s="19" t="str">
        <f>IF('Step 3 - Dean-Director-AVP'!B40="","","Equals")</f>
        <v/>
      </c>
      <c r="K143" s="20" t="str">
        <f>IF('Step 3 - Dean-Director-AVP'!B40="","",'Step 3 - Dean-Director-AVP'!D40)</f>
        <v/>
      </c>
      <c r="L143" s="20" t="str">
        <f>IF('Step 3 - Dean-Director-AVP'!B40="","","Other Criteria")</f>
        <v/>
      </c>
      <c r="M143" s="19" t="str">
        <f>IF('Step 3 - Dean-Director-AVP'!B40="","","Equals")</f>
        <v/>
      </c>
      <c r="N143" s="20" t="str">
        <f>IF('Step 3 - Dean-Director-AVP'!B40="","",'Step 3 - Dean-Director-AVP'!E40)</f>
        <v/>
      </c>
      <c r="O143" s="20" t="str">
        <f>IF('Step 3 - Dean-Director-AVP'!B40="","",IF('Step 3 - Dean-Director-AVP'!F40="","","Total"))</f>
        <v/>
      </c>
      <c r="P143" s="19" t="str">
        <f>IF('Step 3 - Dean-Director-AVP'!B40="","",IF('Step 3 - Dean-Director-AVP'!F40="","","&gt;="))</f>
        <v/>
      </c>
      <c r="Q143" s="20" t="str">
        <f>IF('Step 3 - Dean-Director-AVP'!B40="","",IF('Step 3 - Dean-Director-AVP'!F40="","",'Step 3 - Dean-Director-AVP'!F40))</f>
        <v/>
      </c>
      <c r="R143" s="20" t="str">
        <f>""</f>
        <v/>
      </c>
      <c r="S143" s="20" t="str">
        <f>""</f>
        <v/>
      </c>
      <c r="T143" s="20" t="str">
        <f>""</f>
        <v/>
      </c>
      <c r="U143" s="20" t="str">
        <f>IF('Step 3 - Dean-Director-AVP'!B40="","",'Step 3 - Dean-Director-AVP'!I40)</f>
        <v/>
      </c>
      <c r="V143" s="19" t="str">
        <f>IF('Step 3 - Dean-Director-AVP'!B40="","",'Step 3 - Dean-Director-AVP'!K40)</f>
        <v/>
      </c>
      <c r="W143" s="20" t="str">
        <f>IF('Step 3 - Dean-Director-AVP'!B40="","",'Step 3 - Dean-Director-AVP'!L40)</f>
        <v/>
      </c>
      <c r="X143" s="19" t="str">
        <f>IF('Step 3 - Dean-Director-AVP'!B40="","",'Step 3 - Dean-Director-AVP'!N40)</f>
        <v/>
      </c>
      <c r="Y143" s="20" t="str">
        <f>""</f>
        <v/>
      </c>
      <c r="Z143" s="20" t="str">
        <f>""</f>
        <v/>
      </c>
      <c r="AA143" s="20" t="str">
        <f>""</f>
        <v/>
      </c>
      <c r="AB143" s="20" t="str">
        <f>""</f>
        <v/>
      </c>
      <c r="AC143" s="20" t="str">
        <f>""</f>
        <v/>
      </c>
      <c r="AD143" s="20" t="str">
        <f>""</f>
        <v/>
      </c>
      <c r="AE143" s="20" t="str">
        <f>""</f>
        <v/>
      </c>
      <c r="AF143" s="20" t="str">
        <f>""</f>
        <v/>
      </c>
      <c r="AG143" s="20" t="str">
        <f>""</f>
        <v/>
      </c>
      <c r="AH143" s="20" t="str">
        <f>""</f>
        <v/>
      </c>
      <c r="AI143" s="20" t="str">
        <f>""</f>
        <v/>
      </c>
      <c r="AJ143" s="20" t="str">
        <f>""</f>
        <v/>
      </c>
      <c r="AK143" s="20" t="str">
        <f>""</f>
        <v/>
      </c>
      <c r="AL143" s="20" t="str">
        <f>""</f>
        <v/>
      </c>
      <c r="AM143" s="20" t="str">
        <f>""</f>
        <v/>
      </c>
    </row>
    <row r="144" spans="1:39" ht="15.75" customHeight="1" x14ac:dyDescent="0.25">
      <c r="A144" s="17" t="str">
        <f>IF('Step 3 - Dean-Director-AVP'!B41="","","Active")</f>
        <v/>
      </c>
      <c r="B144" s="18" t="str">
        <f>IF('Step 3 - Dean-Director-AVP'!B41="","",'Step 3 - Dean-Director-AVP'!B41)</f>
        <v/>
      </c>
      <c r="C144" s="18" t="str">
        <f>IF('Step 3 - Dean-Director-AVP'!B41="","",'Step 3 - Dean-Director-AVP'!B41)</f>
        <v/>
      </c>
      <c r="D144" s="17" t="str">
        <f>IF('Step 3 - Dean-Director-AVP'!B41="","",'Step 3 - Dean-Director-AVP'!G41)</f>
        <v/>
      </c>
      <c r="E144" s="17" t="str">
        <f>IF('Step 3 - Dean-Director-AVP'!B41="","",'Step 3 - Dean-Director-AVP'!H41)</f>
        <v/>
      </c>
      <c r="F144" s="18" t="str">
        <f>IF('Step 3 - Dean-Director-AVP'!B41="","",IF('Step 3 - Dean-Director-AVP'!C41="","","Fund Code"))</f>
        <v/>
      </c>
      <c r="G144" s="17" t="str">
        <f>IF('Step 3 - Dean-Director-AVP'!B41="","",IF('Step 3 - Dean-Director-AVP'!C41="","","Equals"))</f>
        <v/>
      </c>
      <c r="H144" s="18" t="str">
        <f>IF('Step 3 - Dean-Director-AVP'!B41="","",IF('Step 3 - Dean-Director-AVP'!C41="","",'Step 3 - Dean-Director-AVP'!C41))</f>
        <v/>
      </c>
      <c r="I144" s="18" t="str">
        <f>IF('Step 3 - Dean-Director-AVP'!B41="","","Organization Code")</f>
        <v/>
      </c>
      <c r="J144" s="17" t="str">
        <f>IF('Step 3 - Dean-Director-AVP'!B41="","","Equals")</f>
        <v/>
      </c>
      <c r="K144" s="18" t="str">
        <f>IF('Step 3 - Dean-Director-AVP'!B41="","",'Step 3 - Dean-Director-AVP'!D41)</f>
        <v/>
      </c>
      <c r="L144" s="18" t="str">
        <f>IF('Step 3 - Dean-Director-AVP'!B41="","","Other Criteria")</f>
        <v/>
      </c>
      <c r="M144" s="17" t="str">
        <f>IF('Step 3 - Dean-Director-AVP'!B41="","","Equals")</f>
        <v/>
      </c>
      <c r="N144" s="18" t="str">
        <f>IF('Step 3 - Dean-Director-AVP'!B41="","",'Step 3 - Dean-Director-AVP'!E41)</f>
        <v/>
      </c>
      <c r="O144" s="18" t="str">
        <f>IF('Step 3 - Dean-Director-AVP'!B41="","",IF('Step 3 - Dean-Director-AVP'!F41="","","Total"))</f>
        <v/>
      </c>
      <c r="P144" s="17" t="str">
        <f>IF('Step 3 - Dean-Director-AVP'!B41="","",IF('Step 3 - Dean-Director-AVP'!F41="","","&gt;="))</f>
        <v/>
      </c>
      <c r="Q144" s="18" t="str">
        <f>IF('Step 3 - Dean-Director-AVP'!B41="","",IF('Step 3 - Dean-Director-AVP'!F41="","",'Step 3 - Dean-Director-AVP'!F41))</f>
        <v/>
      </c>
      <c r="R144" s="18" t="str">
        <f>""</f>
        <v/>
      </c>
      <c r="S144" s="18" t="str">
        <f>""</f>
        <v/>
      </c>
      <c r="T144" s="18" t="str">
        <f>""</f>
        <v/>
      </c>
      <c r="U144" s="18" t="str">
        <f>IF('Step 3 - Dean-Director-AVP'!B41="","",'Step 3 - Dean-Director-AVP'!I41)</f>
        <v/>
      </c>
      <c r="V144" s="17" t="str">
        <f>IF('Step 3 - Dean-Director-AVP'!B41="","",'Step 3 - Dean-Director-AVP'!K41)</f>
        <v/>
      </c>
      <c r="W144" s="18" t="str">
        <f>IF('Step 3 - Dean-Director-AVP'!B41="","",'Step 3 - Dean-Director-AVP'!L41)</f>
        <v/>
      </c>
      <c r="X144" s="17" t="str">
        <f>IF('Step 3 - Dean-Director-AVP'!B41="","",'Step 3 - Dean-Director-AVP'!N41)</f>
        <v/>
      </c>
      <c r="Y144" s="18" t="str">
        <f>""</f>
        <v/>
      </c>
      <c r="Z144" s="18" t="str">
        <f>""</f>
        <v/>
      </c>
      <c r="AA144" s="18" t="str">
        <f>""</f>
        <v/>
      </c>
      <c r="AB144" s="18" t="str">
        <f>""</f>
        <v/>
      </c>
      <c r="AC144" s="18" t="str">
        <f>""</f>
        <v/>
      </c>
      <c r="AD144" s="18" t="str">
        <f>""</f>
        <v/>
      </c>
      <c r="AE144" s="18" t="str">
        <f>""</f>
        <v/>
      </c>
      <c r="AF144" s="18" t="str">
        <f>""</f>
        <v/>
      </c>
      <c r="AG144" s="18" t="str">
        <f>""</f>
        <v/>
      </c>
      <c r="AH144" s="18" t="str">
        <f>""</f>
        <v/>
      </c>
      <c r="AI144" s="18" t="str">
        <f>""</f>
        <v/>
      </c>
      <c r="AJ144" s="18" t="str">
        <f>""</f>
        <v/>
      </c>
      <c r="AK144" s="18" t="str">
        <f>""</f>
        <v/>
      </c>
      <c r="AL144" s="18" t="str">
        <f>""</f>
        <v/>
      </c>
      <c r="AM144" s="18" t="str">
        <f>""</f>
        <v/>
      </c>
    </row>
    <row r="145" spans="1:39" ht="15.75" customHeight="1" x14ac:dyDescent="0.25">
      <c r="A145" s="19" t="str">
        <f>IF('Step 3 - Dean-Director-AVP'!B42="","","Active")</f>
        <v/>
      </c>
      <c r="B145" s="20" t="str">
        <f>IF('Step 3 - Dean-Director-AVP'!B42="","",'Step 3 - Dean-Director-AVP'!B42)</f>
        <v/>
      </c>
      <c r="C145" s="20" t="str">
        <f>IF('Step 3 - Dean-Director-AVP'!B42="","",'Step 3 - Dean-Director-AVP'!B42)</f>
        <v/>
      </c>
      <c r="D145" s="19" t="str">
        <f>IF('Step 3 - Dean-Director-AVP'!B42="","",'Step 3 - Dean-Director-AVP'!G42)</f>
        <v/>
      </c>
      <c r="E145" s="19" t="str">
        <f>IF('Step 3 - Dean-Director-AVP'!B42="","",'Step 3 - Dean-Director-AVP'!H42)</f>
        <v/>
      </c>
      <c r="F145" s="20" t="str">
        <f>IF('Step 3 - Dean-Director-AVP'!B42="","",IF('Step 3 - Dean-Director-AVP'!C42="","","Fund Code"))</f>
        <v/>
      </c>
      <c r="G145" s="19" t="str">
        <f>IF('Step 3 - Dean-Director-AVP'!B42="","",IF('Step 3 - Dean-Director-AVP'!C42="","","Equals"))</f>
        <v/>
      </c>
      <c r="H145" s="20" t="str">
        <f>IF('Step 3 - Dean-Director-AVP'!B42="","",IF('Step 3 - Dean-Director-AVP'!C42="","",'Step 3 - Dean-Director-AVP'!C42))</f>
        <v/>
      </c>
      <c r="I145" s="20" t="str">
        <f>IF('Step 3 - Dean-Director-AVP'!B42="","","Organization Code")</f>
        <v/>
      </c>
      <c r="J145" s="19" t="str">
        <f>IF('Step 3 - Dean-Director-AVP'!B42="","","Equals")</f>
        <v/>
      </c>
      <c r="K145" s="20" t="str">
        <f>IF('Step 3 - Dean-Director-AVP'!B42="","",'Step 3 - Dean-Director-AVP'!D42)</f>
        <v/>
      </c>
      <c r="L145" s="20" t="str">
        <f>IF('Step 3 - Dean-Director-AVP'!B42="","","Other Criteria")</f>
        <v/>
      </c>
      <c r="M145" s="19" t="str">
        <f>IF('Step 3 - Dean-Director-AVP'!B42="","","Equals")</f>
        <v/>
      </c>
      <c r="N145" s="20" t="str">
        <f>IF('Step 3 - Dean-Director-AVP'!B42="","",'Step 3 - Dean-Director-AVP'!E42)</f>
        <v/>
      </c>
      <c r="O145" s="20" t="str">
        <f>IF('Step 3 - Dean-Director-AVP'!B42="","",IF('Step 3 - Dean-Director-AVP'!F42="","","Total"))</f>
        <v/>
      </c>
      <c r="P145" s="19" t="str">
        <f>IF('Step 3 - Dean-Director-AVP'!B42="","",IF('Step 3 - Dean-Director-AVP'!F42="","","&gt;="))</f>
        <v/>
      </c>
      <c r="Q145" s="20" t="str">
        <f>IF('Step 3 - Dean-Director-AVP'!B42="","",IF('Step 3 - Dean-Director-AVP'!F42="","",'Step 3 - Dean-Director-AVP'!F42))</f>
        <v/>
      </c>
      <c r="R145" s="20" t="str">
        <f>""</f>
        <v/>
      </c>
      <c r="S145" s="20" t="str">
        <f>""</f>
        <v/>
      </c>
      <c r="T145" s="20" t="str">
        <f>""</f>
        <v/>
      </c>
      <c r="U145" s="20" t="str">
        <f>IF('Step 3 - Dean-Director-AVP'!B42="","",'Step 3 - Dean-Director-AVP'!I42)</f>
        <v/>
      </c>
      <c r="V145" s="19" t="str">
        <f>IF('Step 3 - Dean-Director-AVP'!B42="","",'Step 3 - Dean-Director-AVP'!K42)</f>
        <v/>
      </c>
      <c r="W145" s="20" t="str">
        <f>IF('Step 3 - Dean-Director-AVP'!B42="","",'Step 3 - Dean-Director-AVP'!L42)</f>
        <v/>
      </c>
      <c r="X145" s="19" t="str">
        <f>IF('Step 3 - Dean-Director-AVP'!B42="","",'Step 3 - Dean-Director-AVP'!N42)</f>
        <v/>
      </c>
      <c r="Y145" s="20" t="str">
        <f>""</f>
        <v/>
      </c>
      <c r="Z145" s="20" t="str">
        <f>""</f>
        <v/>
      </c>
      <c r="AA145" s="20" t="str">
        <f>""</f>
        <v/>
      </c>
      <c r="AB145" s="20" t="str">
        <f>""</f>
        <v/>
      </c>
      <c r="AC145" s="20" t="str">
        <f>""</f>
        <v/>
      </c>
      <c r="AD145" s="20" t="str">
        <f>""</f>
        <v/>
      </c>
      <c r="AE145" s="20" t="str">
        <f>""</f>
        <v/>
      </c>
      <c r="AF145" s="20" t="str">
        <f>""</f>
        <v/>
      </c>
      <c r="AG145" s="20" t="str">
        <f>""</f>
        <v/>
      </c>
      <c r="AH145" s="20" t="str">
        <f>""</f>
        <v/>
      </c>
      <c r="AI145" s="20" t="str">
        <f>""</f>
        <v/>
      </c>
      <c r="AJ145" s="20" t="str">
        <f>""</f>
        <v/>
      </c>
      <c r="AK145" s="20" t="str">
        <f>""</f>
        <v/>
      </c>
      <c r="AL145" s="20" t="str">
        <f>""</f>
        <v/>
      </c>
      <c r="AM145" s="20" t="str">
        <f>""</f>
        <v/>
      </c>
    </row>
    <row r="146" spans="1:39" ht="15.75" customHeight="1" x14ac:dyDescent="0.25">
      <c r="A146" s="17" t="str">
        <f>IF('Step 3 - Dean-Director-AVP'!B43="","","Active")</f>
        <v/>
      </c>
      <c r="B146" s="18" t="str">
        <f>IF('Step 3 - Dean-Director-AVP'!B43="","",'Step 3 - Dean-Director-AVP'!B43)</f>
        <v/>
      </c>
      <c r="C146" s="18" t="str">
        <f>IF('Step 3 - Dean-Director-AVP'!B43="","",'Step 3 - Dean-Director-AVP'!B43)</f>
        <v/>
      </c>
      <c r="D146" s="17" t="str">
        <f>IF('Step 3 - Dean-Director-AVP'!B43="","",'Step 3 - Dean-Director-AVP'!G43)</f>
        <v/>
      </c>
      <c r="E146" s="17" t="str">
        <f>IF('Step 3 - Dean-Director-AVP'!B43="","",'Step 3 - Dean-Director-AVP'!H43)</f>
        <v/>
      </c>
      <c r="F146" s="18" t="str">
        <f>IF('Step 3 - Dean-Director-AVP'!B43="","",IF('Step 3 - Dean-Director-AVP'!C43="","","Fund Code"))</f>
        <v/>
      </c>
      <c r="G146" s="17" t="str">
        <f>IF('Step 3 - Dean-Director-AVP'!B43="","",IF('Step 3 - Dean-Director-AVP'!C43="","","Equals"))</f>
        <v/>
      </c>
      <c r="H146" s="18" t="str">
        <f>IF('Step 3 - Dean-Director-AVP'!B43="","",IF('Step 3 - Dean-Director-AVP'!C43="","",'Step 3 - Dean-Director-AVP'!C43))</f>
        <v/>
      </c>
      <c r="I146" s="18" t="str">
        <f>IF('Step 3 - Dean-Director-AVP'!B43="","","Organization Code")</f>
        <v/>
      </c>
      <c r="J146" s="17" t="str">
        <f>IF('Step 3 - Dean-Director-AVP'!B43="","","Equals")</f>
        <v/>
      </c>
      <c r="K146" s="18" t="str">
        <f>IF('Step 3 - Dean-Director-AVP'!B43="","",'Step 3 - Dean-Director-AVP'!D43)</f>
        <v/>
      </c>
      <c r="L146" s="18" t="str">
        <f>IF('Step 3 - Dean-Director-AVP'!B43="","","Other Criteria")</f>
        <v/>
      </c>
      <c r="M146" s="17" t="str">
        <f>IF('Step 3 - Dean-Director-AVP'!B43="","","Equals")</f>
        <v/>
      </c>
      <c r="N146" s="18" t="str">
        <f>IF('Step 3 - Dean-Director-AVP'!B43="","",'Step 3 - Dean-Director-AVP'!E43)</f>
        <v/>
      </c>
      <c r="O146" s="18" t="str">
        <f>IF('Step 3 - Dean-Director-AVP'!B43="","",IF('Step 3 - Dean-Director-AVP'!F43="","","Total"))</f>
        <v/>
      </c>
      <c r="P146" s="17" t="str">
        <f>IF('Step 3 - Dean-Director-AVP'!B43="","",IF('Step 3 - Dean-Director-AVP'!F43="","","&gt;="))</f>
        <v/>
      </c>
      <c r="Q146" s="18" t="str">
        <f>IF('Step 3 - Dean-Director-AVP'!B43="","",IF('Step 3 - Dean-Director-AVP'!F43="","",'Step 3 - Dean-Director-AVP'!F43))</f>
        <v/>
      </c>
      <c r="R146" s="18" t="str">
        <f>""</f>
        <v/>
      </c>
      <c r="S146" s="18" t="str">
        <f>""</f>
        <v/>
      </c>
      <c r="T146" s="18" t="str">
        <f>""</f>
        <v/>
      </c>
      <c r="U146" s="18" t="str">
        <f>IF('Step 3 - Dean-Director-AVP'!B43="","",'Step 3 - Dean-Director-AVP'!I43)</f>
        <v/>
      </c>
      <c r="V146" s="17" t="str">
        <f>IF('Step 3 - Dean-Director-AVP'!B43="","",'Step 3 - Dean-Director-AVP'!K43)</f>
        <v/>
      </c>
      <c r="W146" s="18" t="str">
        <f>IF('Step 3 - Dean-Director-AVP'!B43="","",'Step 3 - Dean-Director-AVP'!L43)</f>
        <v/>
      </c>
      <c r="X146" s="17" t="str">
        <f>IF('Step 3 - Dean-Director-AVP'!B43="","",'Step 3 - Dean-Director-AVP'!N43)</f>
        <v/>
      </c>
      <c r="Y146" s="18" t="str">
        <f>""</f>
        <v/>
      </c>
      <c r="Z146" s="18" t="str">
        <f>""</f>
        <v/>
      </c>
      <c r="AA146" s="18" t="str">
        <f>""</f>
        <v/>
      </c>
      <c r="AB146" s="18" t="str">
        <f>""</f>
        <v/>
      </c>
      <c r="AC146" s="18" t="str">
        <f>""</f>
        <v/>
      </c>
      <c r="AD146" s="18" t="str">
        <f>""</f>
        <v/>
      </c>
      <c r="AE146" s="18" t="str">
        <f>""</f>
        <v/>
      </c>
      <c r="AF146" s="18" t="str">
        <f>""</f>
        <v/>
      </c>
      <c r="AG146" s="18" t="str">
        <f>""</f>
        <v/>
      </c>
      <c r="AH146" s="18" t="str">
        <f>""</f>
        <v/>
      </c>
      <c r="AI146" s="18" t="str">
        <f>""</f>
        <v/>
      </c>
      <c r="AJ146" s="18" t="str">
        <f>""</f>
        <v/>
      </c>
      <c r="AK146" s="18" t="str">
        <f>""</f>
        <v/>
      </c>
      <c r="AL146" s="18" t="str">
        <f>""</f>
        <v/>
      </c>
      <c r="AM146" s="18" t="str">
        <f>""</f>
        <v/>
      </c>
    </row>
    <row r="147" spans="1:39" ht="15.75" customHeight="1" x14ac:dyDescent="0.25">
      <c r="A147" s="19" t="str">
        <f>IF('Step 3 - Dean-Director-AVP'!B44="","","Active")</f>
        <v/>
      </c>
      <c r="B147" s="20" t="str">
        <f>IF('Step 3 - Dean-Director-AVP'!B44="","",'Step 3 - Dean-Director-AVP'!B44)</f>
        <v/>
      </c>
      <c r="C147" s="20" t="str">
        <f>IF('Step 3 - Dean-Director-AVP'!B44="","",'Step 3 - Dean-Director-AVP'!B44)</f>
        <v/>
      </c>
      <c r="D147" s="19" t="str">
        <f>IF('Step 3 - Dean-Director-AVP'!B44="","",'Step 3 - Dean-Director-AVP'!G44)</f>
        <v/>
      </c>
      <c r="E147" s="19" t="str">
        <f>IF('Step 3 - Dean-Director-AVP'!B44="","",'Step 3 - Dean-Director-AVP'!H44)</f>
        <v/>
      </c>
      <c r="F147" s="20" t="str">
        <f>IF('Step 3 - Dean-Director-AVP'!B44="","",IF('Step 3 - Dean-Director-AVP'!C44="","","Fund Code"))</f>
        <v/>
      </c>
      <c r="G147" s="19" t="str">
        <f>IF('Step 3 - Dean-Director-AVP'!B44="","",IF('Step 3 - Dean-Director-AVP'!C44="","","Equals"))</f>
        <v/>
      </c>
      <c r="H147" s="20" t="str">
        <f>IF('Step 3 - Dean-Director-AVP'!B44="","",IF('Step 3 - Dean-Director-AVP'!C44="","",'Step 3 - Dean-Director-AVP'!C44))</f>
        <v/>
      </c>
      <c r="I147" s="20" t="str">
        <f>IF('Step 3 - Dean-Director-AVP'!B44="","","Organization Code")</f>
        <v/>
      </c>
      <c r="J147" s="19" t="str">
        <f>IF('Step 3 - Dean-Director-AVP'!B44="","","Equals")</f>
        <v/>
      </c>
      <c r="K147" s="20" t="str">
        <f>IF('Step 3 - Dean-Director-AVP'!B44="","",'Step 3 - Dean-Director-AVP'!D44)</f>
        <v/>
      </c>
      <c r="L147" s="20" t="str">
        <f>IF('Step 3 - Dean-Director-AVP'!B44="","","Other Criteria")</f>
        <v/>
      </c>
      <c r="M147" s="19" t="str">
        <f>IF('Step 3 - Dean-Director-AVP'!B44="","","Equals")</f>
        <v/>
      </c>
      <c r="N147" s="20" t="str">
        <f>IF('Step 3 - Dean-Director-AVP'!B44="","",'Step 3 - Dean-Director-AVP'!E44)</f>
        <v/>
      </c>
      <c r="O147" s="20" t="str">
        <f>IF('Step 3 - Dean-Director-AVP'!B44="","",IF('Step 3 - Dean-Director-AVP'!F44="","","Total"))</f>
        <v/>
      </c>
      <c r="P147" s="19" t="str">
        <f>IF('Step 3 - Dean-Director-AVP'!B44="","",IF('Step 3 - Dean-Director-AVP'!F44="","","&gt;="))</f>
        <v/>
      </c>
      <c r="Q147" s="20" t="str">
        <f>IF('Step 3 - Dean-Director-AVP'!B44="","",IF('Step 3 - Dean-Director-AVP'!F44="","",'Step 3 - Dean-Director-AVP'!F44))</f>
        <v/>
      </c>
      <c r="R147" s="20" t="str">
        <f>""</f>
        <v/>
      </c>
      <c r="S147" s="20" t="str">
        <f>""</f>
        <v/>
      </c>
      <c r="T147" s="20" t="str">
        <f>""</f>
        <v/>
      </c>
      <c r="U147" s="20" t="str">
        <f>IF('Step 3 - Dean-Director-AVP'!B44="","",'Step 3 - Dean-Director-AVP'!I44)</f>
        <v/>
      </c>
      <c r="V147" s="19" t="str">
        <f>IF('Step 3 - Dean-Director-AVP'!B44="","",'Step 3 - Dean-Director-AVP'!K44)</f>
        <v/>
      </c>
      <c r="W147" s="20" t="str">
        <f>IF('Step 3 - Dean-Director-AVP'!B44="","",'Step 3 - Dean-Director-AVP'!L44)</f>
        <v/>
      </c>
      <c r="X147" s="19" t="str">
        <f>IF('Step 3 - Dean-Director-AVP'!B44="","",'Step 3 - Dean-Director-AVP'!N44)</f>
        <v/>
      </c>
      <c r="Y147" s="20" t="str">
        <f>""</f>
        <v/>
      </c>
      <c r="Z147" s="20" t="str">
        <f>""</f>
        <v/>
      </c>
      <c r="AA147" s="20" t="str">
        <f>""</f>
        <v/>
      </c>
      <c r="AB147" s="20" t="str">
        <f>""</f>
        <v/>
      </c>
      <c r="AC147" s="20" t="str">
        <f>""</f>
        <v/>
      </c>
      <c r="AD147" s="20" t="str">
        <f>""</f>
        <v/>
      </c>
      <c r="AE147" s="20" t="str">
        <f>""</f>
        <v/>
      </c>
      <c r="AF147" s="20" t="str">
        <f>""</f>
        <v/>
      </c>
      <c r="AG147" s="20" t="str">
        <f>""</f>
        <v/>
      </c>
      <c r="AH147" s="20" t="str">
        <f>""</f>
        <v/>
      </c>
      <c r="AI147" s="20" t="str">
        <f>""</f>
        <v/>
      </c>
      <c r="AJ147" s="20" t="str">
        <f>""</f>
        <v/>
      </c>
      <c r="AK147" s="20" t="str">
        <f>""</f>
        <v/>
      </c>
      <c r="AL147" s="20" t="str">
        <f>""</f>
        <v/>
      </c>
      <c r="AM147" s="20" t="str">
        <f>""</f>
        <v/>
      </c>
    </row>
    <row r="148" spans="1:39" ht="15.75" customHeight="1" x14ac:dyDescent="0.25">
      <c r="A148" s="17" t="str">
        <f>IF('Step 3 - Dean-Director-AVP'!B45="","","Active")</f>
        <v/>
      </c>
      <c r="B148" s="18" t="str">
        <f>IF('Step 3 - Dean-Director-AVP'!B45="","",'Step 3 - Dean-Director-AVP'!B45)</f>
        <v/>
      </c>
      <c r="C148" s="18" t="str">
        <f>IF('Step 3 - Dean-Director-AVP'!B45="","",'Step 3 - Dean-Director-AVP'!B45)</f>
        <v/>
      </c>
      <c r="D148" s="17" t="str">
        <f>IF('Step 3 - Dean-Director-AVP'!B45="","",'Step 3 - Dean-Director-AVP'!G45)</f>
        <v/>
      </c>
      <c r="E148" s="17" t="str">
        <f>IF('Step 3 - Dean-Director-AVP'!B45="","",'Step 3 - Dean-Director-AVP'!H45)</f>
        <v/>
      </c>
      <c r="F148" s="18" t="str">
        <f>IF('Step 3 - Dean-Director-AVP'!B45="","",IF('Step 3 - Dean-Director-AVP'!C45="","","Fund Code"))</f>
        <v/>
      </c>
      <c r="G148" s="17" t="str">
        <f>IF('Step 3 - Dean-Director-AVP'!B45="","",IF('Step 3 - Dean-Director-AVP'!C45="","","Equals"))</f>
        <v/>
      </c>
      <c r="H148" s="18" t="str">
        <f>IF('Step 3 - Dean-Director-AVP'!B45="","",IF('Step 3 - Dean-Director-AVP'!C45="","",'Step 3 - Dean-Director-AVP'!C45))</f>
        <v/>
      </c>
      <c r="I148" s="18" t="str">
        <f>IF('Step 3 - Dean-Director-AVP'!B45="","","Organization Code")</f>
        <v/>
      </c>
      <c r="J148" s="17" t="str">
        <f>IF('Step 3 - Dean-Director-AVP'!B45="","","Equals")</f>
        <v/>
      </c>
      <c r="K148" s="18" t="str">
        <f>IF('Step 3 - Dean-Director-AVP'!B45="","",'Step 3 - Dean-Director-AVP'!D45)</f>
        <v/>
      </c>
      <c r="L148" s="18" t="str">
        <f>IF('Step 3 - Dean-Director-AVP'!B45="","","Other Criteria")</f>
        <v/>
      </c>
      <c r="M148" s="17" t="str">
        <f>IF('Step 3 - Dean-Director-AVP'!B45="","","Equals")</f>
        <v/>
      </c>
      <c r="N148" s="18" t="str">
        <f>IF('Step 3 - Dean-Director-AVP'!B45="","",'Step 3 - Dean-Director-AVP'!E45)</f>
        <v/>
      </c>
      <c r="O148" s="18" t="str">
        <f>IF('Step 3 - Dean-Director-AVP'!B45="","",IF('Step 3 - Dean-Director-AVP'!F45="","","Total"))</f>
        <v/>
      </c>
      <c r="P148" s="17" t="str">
        <f>IF('Step 3 - Dean-Director-AVP'!B45="","",IF('Step 3 - Dean-Director-AVP'!F45="","","&gt;="))</f>
        <v/>
      </c>
      <c r="Q148" s="18" t="str">
        <f>IF('Step 3 - Dean-Director-AVP'!B45="","",IF('Step 3 - Dean-Director-AVP'!F45="","",'Step 3 - Dean-Director-AVP'!F45))</f>
        <v/>
      </c>
      <c r="R148" s="18" t="str">
        <f>""</f>
        <v/>
      </c>
      <c r="S148" s="18" t="str">
        <f>""</f>
        <v/>
      </c>
      <c r="T148" s="18" t="str">
        <f>""</f>
        <v/>
      </c>
      <c r="U148" s="18" t="str">
        <f>IF('Step 3 - Dean-Director-AVP'!B45="","",'Step 3 - Dean-Director-AVP'!I45)</f>
        <v/>
      </c>
      <c r="V148" s="17" t="str">
        <f>IF('Step 3 - Dean-Director-AVP'!B45="","",'Step 3 - Dean-Director-AVP'!K45)</f>
        <v/>
      </c>
      <c r="W148" s="18" t="str">
        <f>IF('Step 3 - Dean-Director-AVP'!B45="","",'Step 3 - Dean-Director-AVP'!L45)</f>
        <v/>
      </c>
      <c r="X148" s="17" t="str">
        <f>IF('Step 3 - Dean-Director-AVP'!B45="","",'Step 3 - Dean-Director-AVP'!N45)</f>
        <v/>
      </c>
      <c r="Y148" s="18" t="str">
        <f>""</f>
        <v/>
      </c>
      <c r="Z148" s="18" t="str">
        <f>""</f>
        <v/>
      </c>
      <c r="AA148" s="18" t="str">
        <f>""</f>
        <v/>
      </c>
      <c r="AB148" s="18" t="str">
        <f>""</f>
        <v/>
      </c>
      <c r="AC148" s="18" t="str">
        <f>""</f>
        <v/>
      </c>
      <c r="AD148" s="18" t="str">
        <f>""</f>
        <v/>
      </c>
      <c r="AE148" s="18" t="str">
        <f>""</f>
        <v/>
      </c>
      <c r="AF148" s="18" t="str">
        <f>""</f>
        <v/>
      </c>
      <c r="AG148" s="18" t="str">
        <f>""</f>
        <v/>
      </c>
      <c r="AH148" s="18" t="str">
        <f>""</f>
        <v/>
      </c>
      <c r="AI148" s="18" t="str">
        <f>""</f>
        <v/>
      </c>
      <c r="AJ148" s="18" t="str">
        <f>""</f>
        <v/>
      </c>
      <c r="AK148" s="18" t="str">
        <f>""</f>
        <v/>
      </c>
      <c r="AL148" s="18" t="str">
        <f>""</f>
        <v/>
      </c>
      <c r="AM148" s="18" t="str">
        <f>""</f>
        <v/>
      </c>
    </row>
    <row r="149" spans="1:39" ht="15.75" customHeight="1" x14ac:dyDescent="0.25">
      <c r="A149" s="19" t="str">
        <f>IF('Step 3 - Dean-Director-AVP'!B46="","","Active")</f>
        <v/>
      </c>
      <c r="B149" s="20" t="str">
        <f>IF('Step 3 - Dean-Director-AVP'!B46="","",'Step 3 - Dean-Director-AVP'!B46)</f>
        <v/>
      </c>
      <c r="C149" s="20" t="str">
        <f>IF('Step 3 - Dean-Director-AVP'!B46="","",'Step 3 - Dean-Director-AVP'!B46)</f>
        <v/>
      </c>
      <c r="D149" s="19" t="str">
        <f>IF('Step 3 - Dean-Director-AVP'!B46="","",'Step 3 - Dean-Director-AVP'!G46)</f>
        <v/>
      </c>
      <c r="E149" s="19" t="str">
        <f>IF('Step 3 - Dean-Director-AVP'!B46="","",'Step 3 - Dean-Director-AVP'!H46)</f>
        <v/>
      </c>
      <c r="F149" s="20" t="str">
        <f>IF('Step 3 - Dean-Director-AVP'!B46="","",IF('Step 3 - Dean-Director-AVP'!C46="","","Fund Code"))</f>
        <v/>
      </c>
      <c r="G149" s="19" t="str">
        <f>IF('Step 3 - Dean-Director-AVP'!B46="","",IF('Step 3 - Dean-Director-AVP'!C46="","","Equals"))</f>
        <v/>
      </c>
      <c r="H149" s="20" t="str">
        <f>IF('Step 3 - Dean-Director-AVP'!B46="","",IF('Step 3 - Dean-Director-AVP'!C46="","",'Step 3 - Dean-Director-AVP'!C46))</f>
        <v/>
      </c>
      <c r="I149" s="20" t="str">
        <f>IF('Step 3 - Dean-Director-AVP'!B46="","","Organization Code")</f>
        <v/>
      </c>
      <c r="J149" s="19" t="str">
        <f>IF('Step 3 - Dean-Director-AVP'!B46="","","Equals")</f>
        <v/>
      </c>
      <c r="K149" s="20" t="str">
        <f>IF('Step 3 - Dean-Director-AVP'!B46="","",'Step 3 - Dean-Director-AVP'!D46)</f>
        <v/>
      </c>
      <c r="L149" s="20" t="str">
        <f>IF('Step 3 - Dean-Director-AVP'!B46="","","Other Criteria")</f>
        <v/>
      </c>
      <c r="M149" s="19" t="str">
        <f>IF('Step 3 - Dean-Director-AVP'!B46="","","Equals")</f>
        <v/>
      </c>
      <c r="N149" s="20" t="str">
        <f>IF('Step 3 - Dean-Director-AVP'!B46="","",'Step 3 - Dean-Director-AVP'!E46)</f>
        <v/>
      </c>
      <c r="O149" s="20" t="str">
        <f>IF('Step 3 - Dean-Director-AVP'!B46="","",IF('Step 3 - Dean-Director-AVP'!F46="","","Total"))</f>
        <v/>
      </c>
      <c r="P149" s="19" t="str">
        <f>IF('Step 3 - Dean-Director-AVP'!B46="","",IF('Step 3 - Dean-Director-AVP'!F46="","","&gt;="))</f>
        <v/>
      </c>
      <c r="Q149" s="20" t="str">
        <f>IF('Step 3 - Dean-Director-AVP'!B46="","",IF('Step 3 - Dean-Director-AVP'!F46="","",'Step 3 - Dean-Director-AVP'!F46))</f>
        <v/>
      </c>
      <c r="R149" s="20" t="str">
        <f>""</f>
        <v/>
      </c>
      <c r="S149" s="20" t="str">
        <f>""</f>
        <v/>
      </c>
      <c r="T149" s="20" t="str">
        <f>""</f>
        <v/>
      </c>
      <c r="U149" s="20" t="str">
        <f>IF('Step 3 - Dean-Director-AVP'!B46="","",'Step 3 - Dean-Director-AVP'!I46)</f>
        <v/>
      </c>
      <c r="V149" s="19" t="str">
        <f>IF('Step 3 - Dean-Director-AVP'!B46="","",'Step 3 - Dean-Director-AVP'!K46)</f>
        <v/>
      </c>
      <c r="W149" s="20" t="str">
        <f>IF('Step 3 - Dean-Director-AVP'!B46="","",'Step 3 - Dean-Director-AVP'!L46)</f>
        <v/>
      </c>
      <c r="X149" s="19" t="str">
        <f>IF('Step 3 - Dean-Director-AVP'!B46="","",'Step 3 - Dean-Director-AVP'!N46)</f>
        <v/>
      </c>
      <c r="Y149" s="20" t="str">
        <f>""</f>
        <v/>
      </c>
      <c r="Z149" s="20" t="str">
        <f>""</f>
        <v/>
      </c>
      <c r="AA149" s="20" t="str">
        <f>""</f>
        <v/>
      </c>
      <c r="AB149" s="20" t="str">
        <f>""</f>
        <v/>
      </c>
      <c r="AC149" s="20" t="str">
        <f>""</f>
        <v/>
      </c>
      <c r="AD149" s="20" t="str">
        <f>""</f>
        <v/>
      </c>
      <c r="AE149" s="20" t="str">
        <f>""</f>
        <v/>
      </c>
      <c r="AF149" s="20" t="str">
        <f>""</f>
        <v/>
      </c>
      <c r="AG149" s="20" t="str">
        <f>""</f>
        <v/>
      </c>
      <c r="AH149" s="20" t="str">
        <f>""</f>
        <v/>
      </c>
      <c r="AI149" s="20" t="str">
        <f>""</f>
        <v/>
      </c>
      <c r="AJ149" s="20" t="str">
        <f>""</f>
        <v/>
      </c>
      <c r="AK149" s="20" t="str">
        <f>""</f>
        <v/>
      </c>
      <c r="AL149" s="20" t="str">
        <f>""</f>
        <v/>
      </c>
      <c r="AM149" s="20" t="str">
        <f>""</f>
        <v/>
      </c>
    </row>
    <row r="150" spans="1:39" ht="15.75" customHeight="1" x14ac:dyDescent="0.25">
      <c r="A150" s="17" t="str">
        <f>IF('Step 3 - Dean-Director-AVP'!B47="","","Active")</f>
        <v/>
      </c>
      <c r="B150" s="18" t="str">
        <f>IF('Step 3 - Dean-Director-AVP'!B47="","",'Step 3 - Dean-Director-AVP'!B47)</f>
        <v/>
      </c>
      <c r="C150" s="18" t="str">
        <f>IF('Step 3 - Dean-Director-AVP'!B47="","",'Step 3 - Dean-Director-AVP'!B47)</f>
        <v/>
      </c>
      <c r="D150" s="17" t="str">
        <f>IF('Step 3 - Dean-Director-AVP'!B47="","",'Step 3 - Dean-Director-AVP'!G47)</f>
        <v/>
      </c>
      <c r="E150" s="17" t="str">
        <f>IF('Step 3 - Dean-Director-AVP'!B47="","",'Step 3 - Dean-Director-AVP'!H47)</f>
        <v/>
      </c>
      <c r="F150" s="18" t="str">
        <f>IF('Step 3 - Dean-Director-AVP'!B47="","",IF('Step 3 - Dean-Director-AVP'!C47="","","Fund Code"))</f>
        <v/>
      </c>
      <c r="G150" s="17" t="str">
        <f>IF('Step 3 - Dean-Director-AVP'!B47="","",IF('Step 3 - Dean-Director-AVP'!C47="","","Equals"))</f>
        <v/>
      </c>
      <c r="H150" s="18" t="str">
        <f>IF('Step 3 - Dean-Director-AVP'!B47="","",IF('Step 3 - Dean-Director-AVP'!C47="","",'Step 3 - Dean-Director-AVP'!C47))</f>
        <v/>
      </c>
      <c r="I150" s="18" t="str">
        <f>IF('Step 3 - Dean-Director-AVP'!B47="","","Organization Code")</f>
        <v/>
      </c>
      <c r="J150" s="17" t="str">
        <f>IF('Step 3 - Dean-Director-AVP'!B47="","","Equals")</f>
        <v/>
      </c>
      <c r="K150" s="18" t="str">
        <f>IF('Step 3 - Dean-Director-AVP'!B47="","",'Step 3 - Dean-Director-AVP'!D47)</f>
        <v/>
      </c>
      <c r="L150" s="18" t="str">
        <f>IF('Step 3 - Dean-Director-AVP'!B47="","","Other Criteria")</f>
        <v/>
      </c>
      <c r="M150" s="17" t="str">
        <f>IF('Step 3 - Dean-Director-AVP'!B47="","","Equals")</f>
        <v/>
      </c>
      <c r="N150" s="18" t="str">
        <f>IF('Step 3 - Dean-Director-AVP'!B47="","",'Step 3 - Dean-Director-AVP'!E47)</f>
        <v/>
      </c>
      <c r="O150" s="18" t="str">
        <f>IF('Step 3 - Dean-Director-AVP'!B47="","",IF('Step 3 - Dean-Director-AVP'!F47="","","Total"))</f>
        <v/>
      </c>
      <c r="P150" s="17" t="str">
        <f>IF('Step 3 - Dean-Director-AVP'!B47="","",IF('Step 3 - Dean-Director-AVP'!F47="","","&gt;="))</f>
        <v/>
      </c>
      <c r="Q150" s="18" t="str">
        <f>IF('Step 3 - Dean-Director-AVP'!B47="","",IF('Step 3 - Dean-Director-AVP'!F47="","",'Step 3 - Dean-Director-AVP'!F47))</f>
        <v/>
      </c>
      <c r="R150" s="18" t="str">
        <f>""</f>
        <v/>
      </c>
      <c r="S150" s="18" t="str">
        <f>""</f>
        <v/>
      </c>
      <c r="T150" s="18" t="str">
        <f>""</f>
        <v/>
      </c>
      <c r="U150" s="18" t="str">
        <f>IF('Step 3 - Dean-Director-AVP'!B47="","",'Step 3 - Dean-Director-AVP'!I47)</f>
        <v/>
      </c>
      <c r="V150" s="17" t="str">
        <f>IF('Step 3 - Dean-Director-AVP'!B47="","",'Step 3 - Dean-Director-AVP'!K47)</f>
        <v/>
      </c>
      <c r="W150" s="18" t="str">
        <f>IF('Step 3 - Dean-Director-AVP'!B47="","",'Step 3 - Dean-Director-AVP'!L47)</f>
        <v/>
      </c>
      <c r="X150" s="17" t="str">
        <f>IF('Step 3 - Dean-Director-AVP'!B47="","",'Step 3 - Dean-Director-AVP'!N47)</f>
        <v/>
      </c>
      <c r="Y150" s="18" t="str">
        <f>""</f>
        <v/>
      </c>
      <c r="Z150" s="18" t="str">
        <f>""</f>
        <v/>
      </c>
      <c r="AA150" s="18" t="str">
        <f>""</f>
        <v/>
      </c>
      <c r="AB150" s="18" t="str">
        <f>""</f>
        <v/>
      </c>
      <c r="AC150" s="18" t="str">
        <f>""</f>
        <v/>
      </c>
      <c r="AD150" s="18" t="str">
        <f>""</f>
        <v/>
      </c>
      <c r="AE150" s="18" t="str">
        <f>""</f>
        <v/>
      </c>
      <c r="AF150" s="18" t="str">
        <f>""</f>
        <v/>
      </c>
      <c r="AG150" s="18" t="str">
        <f>""</f>
        <v/>
      </c>
      <c r="AH150" s="18" t="str">
        <f>""</f>
        <v/>
      </c>
      <c r="AI150" s="18" t="str">
        <f>""</f>
        <v/>
      </c>
      <c r="AJ150" s="18" t="str">
        <f>""</f>
        <v/>
      </c>
      <c r="AK150" s="18" t="str">
        <f>""</f>
        <v/>
      </c>
      <c r="AL150" s="18" t="str">
        <f>""</f>
        <v/>
      </c>
      <c r="AM150" s="18" t="str">
        <f>""</f>
        <v/>
      </c>
    </row>
    <row r="151" spans="1:39" ht="15.75" customHeight="1" x14ac:dyDescent="0.25">
      <c r="A151" s="19" t="str">
        <f>IF('Step 3 - Dean-Director-AVP'!B48="","","Active")</f>
        <v/>
      </c>
      <c r="B151" s="20" t="str">
        <f>IF('Step 3 - Dean-Director-AVP'!B48="","",'Step 3 - Dean-Director-AVP'!B48)</f>
        <v/>
      </c>
      <c r="C151" s="20" t="str">
        <f>IF('Step 3 - Dean-Director-AVP'!B48="","",'Step 3 - Dean-Director-AVP'!B48)</f>
        <v/>
      </c>
      <c r="D151" s="19" t="str">
        <f>IF('Step 3 - Dean-Director-AVP'!B48="","",'Step 3 - Dean-Director-AVP'!G48)</f>
        <v/>
      </c>
      <c r="E151" s="19" t="str">
        <f>IF('Step 3 - Dean-Director-AVP'!B48="","",'Step 3 - Dean-Director-AVP'!H48)</f>
        <v/>
      </c>
      <c r="F151" s="20" t="str">
        <f>IF('Step 3 - Dean-Director-AVP'!B48="","",IF('Step 3 - Dean-Director-AVP'!C48="","","Fund Code"))</f>
        <v/>
      </c>
      <c r="G151" s="19" t="str">
        <f>IF('Step 3 - Dean-Director-AVP'!B48="","",IF('Step 3 - Dean-Director-AVP'!C48="","","Equals"))</f>
        <v/>
      </c>
      <c r="H151" s="20" t="str">
        <f>IF('Step 3 - Dean-Director-AVP'!B48="","",IF('Step 3 - Dean-Director-AVP'!C48="","",'Step 3 - Dean-Director-AVP'!C48))</f>
        <v/>
      </c>
      <c r="I151" s="20" t="str">
        <f>IF('Step 3 - Dean-Director-AVP'!B48="","","Organization Code")</f>
        <v/>
      </c>
      <c r="J151" s="19" t="str">
        <f>IF('Step 3 - Dean-Director-AVP'!B48="","","Equals")</f>
        <v/>
      </c>
      <c r="K151" s="20" t="str">
        <f>IF('Step 3 - Dean-Director-AVP'!B48="","",'Step 3 - Dean-Director-AVP'!D48)</f>
        <v/>
      </c>
      <c r="L151" s="20" t="str">
        <f>IF('Step 3 - Dean-Director-AVP'!B48="","","Other Criteria")</f>
        <v/>
      </c>
      <c r="M151" s="19" t="str">
        <f>IF('Step 3 - Dean-Director-AVP'!B48="","","Equals")</f>
        <v/>
      </c>
      <c r="N151" s="20" t="str">
        <f>IF('Step 3 - Dean-Director-AVP'!B48="","",'Step 3 - Dean-Director-AVP'!E48)</f>
        <v/>
      </c>
      <c r="O151" s="20" t="str">
        <f>IF('Step 3 - Dean-Director-AVP'!B48="","",IF('Step 3 - Dean-Director-AVP'!F48="","","Total"))</f>
        <v/>
      </c>
      <c r="P151" s="19" t="str">
        <f>IF('Step 3 - Dean-Director-AVP'!B48="","",IF('Step 3 - Dean-Director-AVP'!F48="","","&gt;="))</f>
        <v/>
      </c>
      <c r="Q151" s="20" t="str">
        <f>IF('Step 3 - Dean-Director-AVP'!B48="","",IF('Step 3 - Dean-Director-AVP'!F48="","",'Step 3 - Dean-Director-AVP'!F48))</f>
        <v/>
      </c>
      <c r="R151" s="20" t="str">
        <f>""</f>
        <v/>
      </c>
      <c r="S151" s="20" t="str">
        <f>""</f>
        <v/>
      </c>
      <c r="T151" s="20" t="str">
        <f>""</f>
        <v/>
      </c>
      <c r="U151" s="20" t="str">
        <f>IF('Step 3 - Dean-Director-AVP'!B48="","",'Step 3 - Dean-Director-AVP'!I48)</f>
        <v/>
      </c>
      <c r="V151" s="19" t="str">
        <f>IF('Step 3 - Dean-Director-AVP'!B48="","",'Step 3 - Dean-Director-AVP'!K48)</f>
        <v/>
      </c>
      <c r="W151" s="20" t="str">
        <f>IF('Step 3 - Dean-Director-AVP'!B48="","",'Step 3 - Dean-Director-AVP'!L48)</f>
        <v/>
      </c>
      <c r="X151" s="19" t="str">
        <f>IF('Step 3 - Dean-Director-AVP'!B48="","",'Step 3 - Dean-Director-AVP'!N48)</f>
        <v/>
      </c>
      <c r="Y151" s="20" t="str">
        <f>""</f>
        <v/>
      </c>
      <c r="Z151" s="20" t="str">
        <f>""</f>
        <v/>
      </c>
      <c r="AA151" s="20" t="str">
        <f>""</f>
        <v/>
      </c>
      <c r="AB151" s="20" t="str">
        <f>""</f>
        <v/>
      </c>
      <c r="AC151" s="20" t="str">
        <f>""</f>
        <v/>
      </c>
      <c r="AD151" s="20" t="str">
        <f>""</f>
        <v/>
      </c>
      <c r="AE151" s="20" t="str">
        <f>""</f>
        <v/>
      </c>
      <c r="AF151" s="20" t="str">
        <f>""</f>
        <v/>
      </c>
      <c r="AG151" s="20" t="str">
        <f>""</f>
        <v/>
      </c>
      <c r="AH151" s="20" t="str">
        <f>""</f>
        <v/>
      </c>
      <c r="AI151" s="20" t="str">
        <f>""</f>
        <v/>
      </c>
      <c r="AJ151" s="20" t="str">
        <f>""</f>
        <v/>
      </c>
      <c r="AK151" s="20" t="str">
        <f>""</f>
        <v/>
      </c>
      <c r="AL151" s="20" t="str">
        <f>""</f>
        <v/>
      </c>
      <c r="AM151" s="20" t="str">
        <f>""</f>
        <v/>
      </c>
    </row>
    <row r="152" spans="1:39" ht="15.75" customHeight="1" x14ac:dyDescent="0.25">
      <c r="A152" s="17" t="str">
        <f>IF('Step 3 - Dean-Director-AVP'!B49="","","Active")</f>
        <v/>
      </c>
      <c r="B152" s="18" t="str">
        <f>IF('Step 3 - Dean-Director-AVP'!B49="","",'Step 3 - Dean-Director-AVP'!B49)</f>
        <v/>
      </c>
      <c r="C152" s="18" t="str">
        <f>IF('Step 3 - Dean-Director-AVP'!B49="","",'Step 3 - Dean-Director-AVP'!B49)</f>
        <v/>
      </c>
      <c r="D152" s="17" t="str">
        <f>IF('Step 3 - Dean-Director-AVP'!B49="","",'Step 3 - Dean-Director-AVP'!G49)</f>
        <v/>
      </c>
      <c r="E152" s="17" t="str">
        <f>IF('Step 3 - Dean-Director-AVP'!B49="","",'Step 3 - Dean-Director-AVP'!H49)</f>
        <v/>
      </c>
      <c r="F152" s="18" t="str">
        <f>IF('Step 3 - Dean-Director-AVP'!B49="","",IF('Step 3 - Dean-Director-AVP'!C49="","","Fund Code"))</f>
        <v/>
      </c>
      <c r="G152" s="17" t="str">
        <f>IF('Step 3 - Dean-Director-AVP'!B49="","",IF('Step 3 - Dean-Director-AVP'!C49="","","Equals"))</f>
        <v/>
      </c>
      <c r="H152" s="18" t="str">
        <f>IF('Step 3 - Dean-Director-AVP'!B49="","",IF('Step 3 - Dean-Director-AVP'!C49="","",'Step 3 - Dean-Director-AVP'!C49))</f>
        <v/>
      </c>
      <c r="I152" s="18" t="str">
        <f>IF('Step 3 - Dean-Director-AVP'!B49="","","Organization Code")</f>
        <v/>
      </c>
      <c r="J152" s="17" t="str">
        <f>IF('Step 3 - Dean-Director-AVP'!B49="","","Equals")</f>
        <v/>
      </c>
      <c r="K152" s="18" t="str">
        <f>IF('Step 3 - Dean-Director-AVP'!B49="","",'Step 3 - Dean-Director-AVP'!D49)</f>
        <v/>
      </c>
      <c r="L152" s="18" t="str">
        <f>IF('Step 3 - Dean-Director-AVP'!B49="","","Other Criteria")</f>
        <v/>
      </c>
      <c r="M152" s="17" t="str">
        <f>IF('Step 3 - Dean-Director-AVP'!B49="","","Equals")</f>
        <v/>
      </c>
      <c r="N152" s="18" t="str">
        <f>IF('Step 3 - Dean-Director-AVP'!B49="","",'Step 3 - Dean-Director-AVP'!E49)</f>
        <v/>
      </c>
      <c r="O152" s="18" t="str">
        <f>IF('Step 3 - Dean-Director-AVP'!B49="","",IF('Step 3 - Dean-Director-AVP'!F49="","","Total"))</f>
        <v/>
      </c>
      <c r="P152" s="17" t="str">
        <f>IF('Step 3 - Dean-Director-AVP'!B49="","",IF('Step 3 - Dean-Director-AVP'!F49="","","&gt;="))</f>
        <v/>
      </c>
      <c r="Q152" s="18" t="str">
        <f>IF('Step 3 - Dean-Director-AVP'!B49="","",IF('Step 3 - Dean-Director-AVP'!F49="","",'Step 3 - Dean-Director-AVP'!F49))</f>
        <v/>
      </c>
      <c r="R152" s="18" t="str">
        <f>""</f>
        <v/>
      </c>
      <c r="S152" s="18" t="str">
        <f>""</f>
        <v/>
      </c>
      <c r="T152" s="18" t="str">
        <f>""</f>
        <v/>
      </c>
      <c r="U152" s="18" t="str">
        <f>IF('Step 3 - Dean-Director-AVP'!B49="","",'Step 3 - Dean-Director-AVP'!I49)</f>
        <v/>
      </c>
      <c r="V152" s="17" t="str">
        <f>IF('Step 3 - Dean-Director-AVP'!B49="","",'Step 3 - Dean-Director-AVP'!K49)</f>
        <v/>
      </c>
      <c r="W152" s="18" t="str">
        <f>IF('Step 3 - Dean-Director-AVP'!B49="","",'Step 3 - Dean-Director-AVP'!L49)</f>
        <v/>
      </c>
      <c r="X152" s="17" t="str">
        <f>IF('Step 3 - Dean-Director-AVP'!B49="","",'Step 3 - Dean-Director-AVP'!N49)</f>
        <v/>
      </c>
      <c r="Y152" s="18" t="str">
        <f>""</f>
        <v/>
      </c>
      <c r="Z152" s="18" t="str">
        <f>""</f>
        <v/>
      </c>
      <c r="AA152" s="18" t="str">
        <f>""</f>
        <v/>
      </c>
      <c r="AB152" s="18" t="str">
        <f>""</f>
        <v/>
      </c>
      <c r="AC152" s="18" t="str">
        <f>""</f>
        <v/>
      </c>
      <c r="AD152" s="18" t="str">
        <f>""</f>
        <v/>
      </c>
      <c r="AE152" s="18" t="str">
        <f>""</f>
        <v/>
      </c>
      <c r="AF152" s="18" t="str">
        <f>""</f>
        <v/>
      </c>
      <c r="AG152" s="18" t="str">
        <f>""</f>
        <v/>
      </c>
      <c r="AH152" s="18" t="str">
        <f>""</f>
        <v/>
      </c>
      <c r="AI152" s="18" t="str">
        <f>""</f>
        <v/>
      </c>
      <c r="AJ152" s="18" t="str">
        <f>""</f>
        <v/>
      </c>
      <c r="AK152" s="18" t="str">
        <f>""</f>
        <v/>
      </c>
      <c r="AL152" s="18" t="str">
        <f>""</f>
        <v/>
      </c>
      <c r="AM152" s="18" t="str">
        <f>""</f>
        <v/>
      </c>
    </row>
    <row r="153" spans="1:39" ht="15.75" customHeight="1" x14ac:dyDescent="0.25">
      <c r="A153" s="19" t="str">
        <f>IF('Step 3 - Dean-Director-AVP'!B50="","","Active")</f>
        <v/>
      </c>
      <c r="B153" s="20" t="str">
        <f>IF('Step 3 - Dean-Director-AVP'!B50="","",'Step 3 - Dean-Director-AVP'!B50)</f>
        <v/>
      </c>
      <c r="C153" s="20" t="str">
        <f>IF('Step 3 - Dean-Director-AVP'!B50="","",'Step 3 - Dean-Director-AVP'!B50)</f>
        <v/>
      </c>
      <c r="D153" s="19" t="str">
        <f>IF('Step 3 - Dean-Director-AVP'!B50="","",'Step 3 - Dean-Director-AVP'!G50)</f>
        <v/>
      </c>
      <c r="E153" s="19" t="str">
        <f>IF('Step 3 - Dean-Director-AVP'!B50="","",'Step 3 - Dean-Director-AVP'!H50)</f>
        <v/>
      </c>
      <c r="F153" s="20" t="str">
        <f>IF('Step 3 - Dean-Director-AVP'!B50="","",IF('Step 3 - Dean-Director-AVP'!C50="","","Fund Code"))</f>
        <v/>
      </c>
      <c r="G153" s="19" t="str">
        <f>IF('Step 3 - Dean-Director-AVP'!B50="","",IF('Step 3 - Dean-Director-AVP'!C50="","","Equals"))</f>
        <v/>
      </c>
      <c r="H153" s="20" t="str">
        <f>IF('Step 3 - Dean-Director-AVP'!B50="","",IF('Step 3 - Dean-Director-AVP'!C50="","",'Step 3 - Dean-Director-AVP'!C50))</f>
        <v/>
      </c>
      <c r="I153" s="20" t="str">
        <f>IF('Step 3 - Dean-Director-AVP'!B50="","","Organization Code")</f>
        <v/>
      </c>
      <c r="J153" s="19" t="str">
        <f>IF('Step 3 - Dean-Director-AVP'!B50="","","Equals")</f>
        <v/>
      </c>
      <c r="K153" s="20" t="str">
        <f>IF('Step 3 - Dean-Director-AVP'!B50="","",'Step 3 - Dean-Director-AVP'!D50)</f>
        <v/>
      </c>
      <c r="L153" s="20" t="str">
        <f>IF('Step 3 - Dean-Director-AVP'!B50="","","Other Criteria")</f>
        <v/>
      </c>
      <c r="M153" s="19" t="str">
        <f>IF('Step 3 - Dean-Director-AVP'!B50="","","Equals")</f>
        <v/>
      </c>
      <c r="N153" s="20" t="str">
        <f>IF('Step 3 - Dean-Director-AVP'!B50="","",'Step 3 - Dean-Director-AVP'!E50)</f>
        <v/>
      </c>
      <c r="O153" s="20" t="str">
        <f>IF('Step 3 - Dean-Director-AVP'!B50="","",IF('Step 3 - Dean-Director-AVP'!F50="","","Total"))</f>
        <v/>
      </c>
      <c r="P153" s="19" t="str">
        <f>IF('Step 3 - Dean-Director-AVP'!B50="","",IF('Step 3 - Dean-Director-AVP'!F50="","","&gt;="))</f>
        <v/>
      </c>
      <c r="Q153" s="20" t="str">
        <f>IF('Step 3 - Dean-Director-AVP'!B50="","",IF('Step 3 - Dean-Director-AVP'!F50="","",'Step 3 - Dean-Director-AVP'!F50))</f>
        <v/>
      </c>
      <c r="R153" s="20" t="str">
        <f>""</f>
        <v/>
      </c>
      <c r="S153" s="20" t="str">
        <f>""</f>
        <v/>
      </c>
      <c r="T153" s="20" t="str">
        <f>""</f>
        <v/>
      </c>
      <c r="U153" s="20" t="str">
        <f>IF('Step 3 - Dean-Director-AVP'!B50="","",'Step 3 - Dean-Director-AVP'!I50)</f>
        <v/>
      </c>
      <c r="V153" s="19" t="str">
        <f>IF('Step 3 - Dean-Director-AVP'!B50="","",'Step 3 - Dean-Director-AVP'!K50)</f>
        <v/>
      </c>
      <c r="W153" s="20" t="str">
        <f>IF('Step 3 - Dean-Director-AVP'!B50="","",'Step 3 - Dean-Director-AVP'!L50)</f>
        <v/>
      </c>
      <c r="X153" s="19" t="str">
        <f>IF('Step 3 - Dean-Director-AVP'!B50="","",'Step 3 - Dean-Director-AVP'!N50)</f>
        <v/>
      </c>
      <c r="Y153" s="20" t="str">
        <f>""</f>
        <v/>
      </c>
      <c r="Z153" s="20" t="str">
        <f>""</f>
        <v/>
      </c>
      <c r="AA153" s="20" t="str">
        <f>""</f>
        <v/>
      </c>
      <c r="AB153" s="20" t="str">
        <f>""</f>
        <v/>
      </c>
      <c r="AC153" s="20" t="str">
        <f>""</f>
        <v/>
      </c>
      <c r="AD153" s="20" t="str">
        <f>""</f>
        <v/>
      </c>
      <c r="AE153" s="20" t="str">
        <f>""</f>
        <v/>
      </c>
      <c r="AF153" s="20" t="str">
        <f>""</f>
        <v/>
      </c>
      <c r="AG153" s="20" t="str">
        <f>""</f>
        <v/>
      </c>
      <c r="AH153" s="20" t="str">
        <f>""</f>
        <v/>
      </c>
      <c r="AI153" s="20" t="str">
        <f>""</f>
        <v/>
      </c>
      <c r="AJ153" s="20" t="str">
        <f>""</f>
        <v/>
      </c>
      <c r="AK153" s="20" t="str">
        <f>""</f>
        <v/>
      </c>
      <c r="AL153" s="20" t="str">
        <f>""</f>
        <v/>
      </c>
      <c r="AM153" s="20" t="str">
        <f>""</f>
        <v/>
      </c>
    </row>
    <row r="154" spans="1:39" ht="15.75" customHeight="1" x14ac:dyDescent="0.25">
      <c r="A154" s="17" t="str">
        <f>IF('Step 3 - Dean-Director-AVP'!B51="","","Active")</f>
        <v/>
      </c>
      <c r="B154" s="18" t="str">
        <f>IF('Step 3 - Dean-Director-AVP'!B51="","",'Step 3 - Dean-Director-AVP'!B51)</f>
        <v/>
      </c>
      <c r="C154" s="18" t="str">
        <f>IF('Step 3 - Dean-Director-AVP'!B51="","",'Step 3 - Dean-Director-AVP'!B51)</f>
        <v/>
      </c>
      <c r="D154" s="17" t="str">
        <f>IF('Step 3 - Dean-Director-AVP'!B51="","",'Step 3 - Dean-Director-AVP'!G51)</f>
        <v/>
      </c>
      <c r="E154" s="17" t="str">
        <f>IF('Step 3 - Dean-Director-AVP'!B51="","",'Step 3 - Dean-Director-AVP'!H51)</f>
        <v/>
      </c>
      <c r="F154" s="18" t="str">
        <f>IF('Step 3 - Dean-Director-AVP'!B51="","",IF('Step 3 - Dean-Director-AVP'!C51="","","Fund Code"))</f>
        <v/>
      </c>
      <c r="G154" s="17" t="str">
        <f>IF('Step 3 - Dean-Director-AVP'!B51="","",IF('Step 3 - Dean-Director-AVP'!C51="","","Equals"))</f>
        <v/>
      </c>
      <c r="H154" s="18" t="str">
        <f>IF('Step 3 - Dean-Director-AVP'!B51="","",IF('Step 3 - Dean-Director-AVP'!C51="","",'Step 3 - Dean-Director-AVP'!C51))</f>
        <v/>
      </c>
      <c r="I154" s="18" t="str">
        <f>IF('Step 3 - Dean-Director-AVP'!B51="","","Organization Code")</f>
        <v/>
      </c>
      <c r="J154" s="17" t="str">
        <f>IF('Step 3 - Dean-Director-AVP'!B51="","","Equals")</f>
        <v/>
      </c>
      <c r="K154" s="18" t="str">
        <f>IF('Step 3 - Dean-Director-AVP'!B51="","",'Step 3 - Dean-Director-AVP'!D51)</f>
        <v/>
      </c>
      <c r="L154" s="18" t="str">
        <f>IF('Step 3 - Dean-Director-AVP'!B51="","","Other Criteria")</f>
        <v/>
      </c>
      <c r="M154" s="17" t="str">
        <f>IF('Step 3 - Dean-Director-AVP'!B51="","","Equals")</f>
        <v/>
      </c>
      <c r="N154" s="18" t="str">
        <f>IF('Step 3 - Dean-Director-AVP'!B51="","",'Step 3 - Dean-Director-AVP'!E51)</f>
        <v/>
      </c>
      <c r="O154" s="18" t="str">
        <f>IF('Step 3 - Dean-Director-AVP'!B51="","",IF('Step 3 - Dean-Director-AVP'!F51="","","Total"))</f>
        <v/>
      </c>
      <c r="P154" s="17" t="str">
        <f>IF('Step 3 - Dean-Director-AVP'!B51="","",IF('Step 3 - Dean-Director-AVP'!F51="","","&gt;="))</f>
        <v/>
      </c>
      <c r="Q154" s="18" t="str">
        <f>IF('Step 3 - Dean-Director-AVP'!B51="","",IF('Step 3 - Dean-Director-AVP'!F51="","",'Step 3 - Dean-Director-AVP'!F51))</f>
        <v/>
      </c>
      <c r="R154" s="18" t="str">
        <f>""</f>
        <v/>
      </c>
      <c r="S154" s="18" t="str">
        <f>""</f>
        <v/>
      </c>
      <c r="T154" s="18" t="str">
        <f>""</f>
        <v/>
      </c>
      <c r="U154" s="18" t="str">
        <f>IF('Step 3 - Dean-Director-AVP'!B51="","",'Step 3 - Dean-Director-AVP'!I51)</f>
        <v/>
      </c>
      <c r="V154" s="17" t="str">
        <f>IF('Step 3 - Dean-Director-AVP'!B51="","",'Step 3 - Dean-Director-AVP'!K51)</f>
        <v/>
      </c>
      <c r="W154" s="18" t="str">
        <f>IF('Step 3 - Dean-Director-AVP'!B51="","",'Step 3 - Dean-Director-AVP'!L51)</f>
        <v/>
      </c>
      <c r="X154" s="17" t="str">
        <f>IF('Step 3 - Dean-Director-AVP'!B51="","",'Step 3 - Dean-Director-AVP'!N51)</f>
        <v/>
      </c>
      <c r="Y154" s="18" t="str">
        <f>""</f>
        <v/>
      </c>
      <c r="Z154" s="18" t="str">
        <f>""</f>
        <v/>
      </c>
      <c r="AA154" s="18" t="str">
        <f>""</f>
        <v/>
      </c>
      <c r="AB154" s="18" t="str">
        <f>""</f>
        <v/>
      </c>
      <c r="AC154" s="18" t="str">
        <f>""</f>
        <v/>
      </c>
      <c r="AD154" s="18" t="str">
        <f>""</f>
        <v/>
      </c>
      <c r="AE154" s="18" t="str">
        <f>""</f>
        <v/>
      </c>
      <c r="AF154" s="18" t="str">
        <f>""</f>
        <v/>
      </c>
      <c r="AG154" s="18" t="str">
        <f>""</f>
        <v/>
      </c>
      <c r="AH154" s="18" t="str">
        <f>""</f>
        <v/>
      </c>
      <c r="AI154" s="18" t="str">
        <f>""</f>
        <v/>
      </c>
      <c r="AJ154" s="18" t="str">
        <f>""</f>
        <v/>
      </c>
      <c r="AK154" s="18" t="str">
        <f>""</f>
        <v/>
      </c>
      <c r="AL154" s="18" t="str">
        <f>""</f>
        <v/>
      </c>
      <c r="AM154" s="18" t="str">
        <f>""</f>
        <v/>
      </c>
    </row>
    <row r="155" spans="1:39" ht="15.75" customHeight="1" x14ac:dyDescent="0.25">
      <c r="A155" s="19" t="str">
        <f>IF('Step 3 - Dean-Director-AVP'!B52="","","Active")</f>
        <v/>
      </c>
      <c r="B155" s="20" t="str">
        <f>IF('Step 3 - Dean-Director-AVP'!B52="","",'Step 3 - Dean-Director-AVP'!B52)</f>
        <v/>
      </c>
      <c r="C155" s="20" t="str">
        <f>IF('Step 3 - Dean-Director-AVP'!B52="","",'Step 3 - Dean-Director-AVP'!B52)</f>
        <v/>
      </c>
      <c r="D155" s="19" t="str">
        <f>IF('Step 3 - Dean-Director-AVP'!B52="","",'Step 3 - Dean-Director-AVP'!G52)</f>
        <v/>
      </c>
      <c r="E155" s="19" t="str">
        <f>IF('Step 3 - Dean-Director-AVP'!B52="","",'Step 3 - Dean-Director-AVP'!H52)</f>
        <v/>
      </c>
      <c r="F155" s="20" t="str">
        <f>IF('Step 3 - Dean-Director-AVP'!B52="","",IF('Step 3 - Dean-Director-AVP'!C52="","","Fund Code"))</f>
        <v/>
      </c>
      <c r="G155" s="19" t="str">
        <f>IF('Step 3 - Dean-Director-AVP'!B52="","",IF('Step 3 - Dean-Director-AVP'!C52="","","Equals"))</f>
        <v/>
      </c>
      <c r="H155" s="20" t="str">
        <f>IF('Step 3 - Dean-Director-AVP'!B52="","",IF('Step 3 - Dean-Director-AVP'!C52="","",'Step 3 - Dean-Director-AVP'!C52))</f>
        <v/>
      </c>
      <c r="I155" s="20" t="str">
        <f>IF('Step 3 - Dean-Director-AVP'!B52="","","Organization Code")</f>
        <v/>
      </c>
      <c r="J155" s="19" t="str">
        <f>IF('Step 3 - Dean-Director-AVP'!B52="","","Equals")</f>
        <v/>
      </c>
      <c r="K155" s="20" t="str">
        <f>IF('Step 3 - Dean-Director-AVP'!B52="","",'Step 3 - Dean-Director-AVP'!D52)</f>
        <v/>
      </c>
      <c r="L155" s="20" t="str">
        <f>IF('Step 3 - Dean-Director-AVP'!B52="","","Other Criteria")</f>
        <v/>
      </c>
      <c r="M155" s="19" t="str">
        <f>IF('Step 3 - Dean-Director-AVP'!B52="","","Equals")</f>
        <v/>
      </c>
      <c r="N155" s="20" t="str">
        <f>IF('Step 3 - Dean-Director-AVP'!B52="","",'Step 3 - Dean-Director-AVP'!E52)</f>
        <v/>
      </c>
      <c r="O155" s="20" t="str">
        <f>IF('Step 3 - Dean-Director-AVP'!B52="","",IF('Step 3 - Dean-Director-AVP'!F52="","","Total"))</f>
        <v/>
      </c>
      <c r="P155" s="19" t="str">
        <f>IF('Step 3 - Dean-Director-AVP'!B52="","",IF('Step 3 - Dean-Director-AVP'!F52="","","&gt;="))</f>
        <v/>
      </c>
      <c r="Q155" s="20" t="str">
        <f>IF('Step 3 - Dean-Director-AVP'!B52="","",IF('Step 3 - Dean-Director-AVP'!F52="","",'Step 3 - Dean-Director-AVP'!F52))</f>
        <v/>
      </c>
      <c r="R155" s="20" t="str">
        <f>""</f>
        <v/>
      </c>
      <c r="S155" s="20" t="str">
        <f>""</f>
        <v/>
      </c>
      <c r="T155" s="20" t="str">
        <f>""</f>
        <v/>
      </c>
      <c r="U155" s="20" t="str">
        <f>IF('Step 3 - Dean-Director-AVP'!B52="","",'Step 3 - Dean-Director-AVP'!I52)</f>
        <v/>
      </c>
      <c r="V155" s="19" t="str">
        <f>IF('Step 3 - Dean-Director-AVP'!B52="","",'Step 3 - Dean-Director-AVP'!K52)</f>
        <v/>
      </c>
      <c r="W155" s="20" t="str">
        <f>IF('Step 3 - Dean-Director-AVP'!B52="","",'Step 3 - Dean-Director-AVP'!L52)</f>
        <v/>
      </c>
      <c r="X155" s="19" t="str">
        <f>IF('Step 3 - Dean-Director-AVP'!B52="","",'Step 3 - Dean-Director-AVP'!N52)</f>
        <v/>
      </c>
      <c r="Y155" s="20" t="str">
        <f>""</f>
        <v/>
      </c>
      <c r="Z155" s="20" t="str">
        <f>""</f>
        <v/>
      </c>
      <c r="AA155" s="20" t="str">
        <f>""</f>
        <v/>
      </c>
      <c r="AB155" s="20" t="str">
        <f>""</f>
        <v/>
      </c>
      <c r="AC155" s="20" t="str">
        <f>""</f>
        <v/>
      </c>
      <c r="AD155" s="20" t="str">
        <f>""</f>
        <v/>
      </c>
      <c r="AE155" s="20" t="str">
        <f>""</f>
        <v/>
      </c>
      <c r="AF155" s="20" t="str">
        <f>""</f>
        <v/>
      </c>
      <c r="AG155" s="20" t="str">
        <f>""</f>
        <v/>
      </c>
      <c r="AH155" s="20" t="str">
        <f>""</f>
        <v/>
      </c>
      <c r="AI155" s="20" t="str">
        <f>""</f>
        <v/>
      </c>
      <c r="AJ155" s="20" t="str">
        <f>""</f>
        <v/>
      </c>
      <c r="AK155" s="20" t="str">
        <f>""</f>
        <v/>
      </c>
      <c r="AL155" s="20" t="str">
        <f>""</f>
        <v/>
      </c>
      <c r="AM155" s="20" t="str">
        <f>""</f>
        <v/>
      </c>
    </row>
    <row r="156" spans="1:39" ht="15.75" customHeight="1" x14ac:dyDescent="0.25">
      <c r="A156" s="17" t="str">
        <f>IF('Step 3 - Dean-Director-AVP'!B53="","","Active")</f>
        <v/>
      </c>
      <c r="B156" s="18" t="str">
        <f>IF('Step 3 - Dean-Director-AVP'!B53="","",'Step 3 - Dean-Director-AVP'!B53)</f>
        <v/>
      </c>
      <c r="C156" s="18" t="str">
        <f>IF('Step 3 - Dean-Director-AVP'!B53="","",'Step 3 - Dean-Director-AVP'!B53)</f>
        <v/>
      </c>
      <c r="D156" s="17" t="str">
        <f>IF('Step 3 - Dean-Director-AVP'!B53="","",'Step 3 - Dean-Director-AVP'!G53)</f>
        <v/>
      </c>
      <c r="E156" s="17" t="str">
        <f>IF('Step 3 - Dean-Director-AVP'!B53="","",'Step 3 - Dean-Director-AVP'!H53)</f>
        <v/>
      </c>
      <c r="F156" s="18" t="str">
        <f>IF('Step 3 - Dean-Director-AVP'!B53="","",IF('Step 3 - Dean-Director-AVP'!C53="","","Fund Code"))</f>
        <v/>
      </c>
      <c r="G156" s="17" t="str">
        <f>IF('Step 3 - Dean-Director-AVP'!B53="","",IF('Step 3 - Dean-Director-AVP'!C53="","","Equals"))</f>
        <v/>
      </c>
      <c r="H156" s="18" t="str">
        <f>IF('Step 3 - Dean-Director-AVP'!B53="","",IF('Step 3 - Dean-Director-AVP'!C53="","",'Step 3 - Dean-Director-AVP'!C53))</f>
        <v/>
      </c>
      <c r="I156" s="18" t="str">
        <f>IF('Step 3 - Dean-Director-AVP'!B53="","","Organization Code")</f>
        <v/>
      </c>
      <c r="J156" s="17" t="str">
        <f>IF('Step 3 - Dean-Director-AVP'!B53="","","Equals")</f>
        <v/>
      </c>
      <c r="K156" s="18" t="str">
        <f>IF('Step 3 - Dean-Director-AVP'!B53="","",'Step 3 - Dean-Director-AVP'!D53)</f>
        <v/>
      </c>
      <c r="L156" s="18" t="str">
        <f>IF('Step 3 - Dean-Director-AVP'!B53="","","Other Criteria")</f>
        <v/>
      </c>
      <c r="M156" s="17" t="str">
        <f>IF('Step 3 - Dean-Director-AVP'!B53="","","Equals")</f>
        <v/>
      </c>
      <c r="N156" s="18" t="str">
        <f>IF('Step 3 - Dean-Director-AVP'!B53="","",'Step 3 - Dean-Director-AVP'!E53)</f>
        <v/>
      </c>
      <c r="O156" s="18" t="str">
        <f>IF('Step 3 - Dean-Director-AVP'!B53="","",IF('Step 3 - Dean-Director-AVP'!F53="","","Total"))</f>
        <v/>
      </c>
      <c r="P156" s="17" t="str">
        <f>IF('Step 3 - Dean-Director-AVP'!B53="","",IF('Step 3 - Dean-Director-AVP'!F53="","","&gt;="))</f>
        <v/>
      </c>
      <c r="Q156" s="18" t="str">
        <f>IF('Step 3 - Dean-Director-AVP'!B53="","",IF('Step 3 - Dean-Director-AVP'!F53="","",'Step 3 - Dean-Director-AVP'!F53))</f>
        <v/>
      </c>
      <c r="R156" s="18" t="str">
        <f>""</f>
        <v/>
      </c>
      <c r="S156" s="18" t="str">
        <f>""</f>
        <v/>
      </c>
      <c r="T156" s="18" t="str">
        <f>""</f>
        <v/>
      </c>
      <c r="U156" s="18" t="str">
        <f>IF('Step 3 - Dean-Director-AVP'!B53="","",'Step 3 - Dean-Director-AVP'!I53)</f>
        <v/>
      </c>
      <c r="V156" s="17" t="str">
        <f>IF('Step 3 - Dean-Director-AVP'!B53="","",'Step 3 - Dean-Director-AVP'!K53)</f>
        <v/>
      </c>
      <c r="W156" s="18" t="str">
        <f>IF('Step 3 - Dean-Director-AVP'!B53="","",'Step 3 - Dean-Director-AVP'!L53)</f>
        <v/>
      </c>
      <c r="X156" s="17" t="str">
        <f>IF('Step 3 - Dean-Director-AVP'!B53="","",'Step 3 - Dean-Director-AVP'!N53)</f>
        <v/>
      </c>
      <c r="Y156" s="18" t="str">
        <f>""</f>
        <v/>
      </c>
      <c r="Z156" s="18" t="str">
        <f>""</f>
        <v/>
      </c>
      <c r="AA156" s="18" t="str">
        <f>""</f>
        <v/>
      </c>
      <c r="AB156" s="18" t="str">
        <f>""</f>
        <v/>
      </c>
      <c r="AC156" s="18" t="str">
        <f>""</f>
        <v/>
      </c>
      <c r="AD156" s="18" t="str">
        <f>""</f>
        <v/>
      </c>
      <c r="AE156" s="18" t="str">
        <f>""</f>
        <v/>
      </c>
      <c r="AF156" s="18" t="str">
        <f>""</f>
        <v/>
      </c>
      <c r="AG156" s="18" t="str">
        <f>""</f>
        <v/>
      </c>
      <c r="AH156" s="18" t="str">
        <f>""</f>
        <v/>
      </c>
      <c r="AI156" s="18" t="str">
        <f>""</f>
        <v/>
      </c>
      <c r="AJ156" s="18" t="str">
        <f>""</f>
        <v/>
      </c>
      <c r="AK156" s="18" t="str">
        <f>""</f>
        <v/>
      </c>
      <c r="AL156" s="18" t="str">
        <f>""</f>
        <v/>
      </c>
      <c r="AM156" s="18" t="str">
        <f>""</f>
        <v/>
      </c>
    </row>
    <row r="157" spans="1:39" ht="13.5" customHeight="1" x14ac:dyDescent="0.25">
      <c r="A157" s="29" t="s">
        <v>190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</row>
    <row r="158" spans="1:39" ht="15.75" customHeight="1" x14ac:dyDescent="0.25">
      <c r="A158" s="17" t="str">
        <f>IF('Step 4 - Vice President'!B5="","","Active")</f>
        <v/>
      </c>
      <c r="B158" s="18" t="str">
        <f>IF('Step 4 - Vice President'!B5="","",'Step 4 - Vice President'!B5)</f>
        <v/>
      </c>
      <c r="C158" s="18" t="str">
        <f>IF('Step 4 - Vice President'!B5="","",'Step 4 - Vice President'!B5)</f>
        <v/>
      </c>
      <c r="D158" s="17" t="str">
        <f>IF('Step 4 - Vice President'!B5="","",'Step 4 - Vice President'!G5)</f>
        <v/>
      </c>
      <c r="E158" s="17" t="str">
        <f>IF('Step 4 - Vice President'!B5="","",'Step 4 - Vice President'!H5)</f>
        <v/>
      </c>
      <c r="F158" s="18" t="str">
        <f>IF('Step 4 - Vice President'!B5="","",IF('Step 4 - Vice President'!C5="","","Fund Code"))</f>
        <v/>
      </c>
      <c r="G158" s="17" t="str">
        <f>IF('Step 4 - Vice President'!B5="","",IF('Step 4 - Vice President'!C5="","","Equals"))</f>
        <v/>
      </c>
      <c r="H158" s="18" t="str">
        <f>IF('Step 4 - Vice President'!B5="","",IF('Step 4 - Vice President'!C5="","",'Step 4 - Vice President'!C5))</f>
        <v/>
      </c>
      <c r="I158" s="18" t="str">
        <f>IF('Step 4 - Vice President'!B5="","","Organization Code")</f>
        <v/>
      </c>
      <c r="J158" s="17" t="str">
        <f>IF('Step 4 - Vice President'!B5="","","Equals")</f>
        <v/>
      </c>
      <c r="K158" s="18" t="str">
        <f>IF('Step 4 - Vice President'!B5="","",'Step 4 - Vice President'!D5)</f>
        <v/>
      </c>
      <c r="L158" s="18" t="str">
        <f>IF('Step 4 - Vice President'!B5="","","Other Criteria")</f>
        <v/>
      </c>
      <c r="M158" s="17" t="str">
        <f>IF('Step 4 - Vice President'!B5="","","Equals")</f>
        <v/>
      </c>
      <c r="N158" s="18" t="str">
        <f>IF('Step 4 - Vice President'!B5="","",'Step 4 - Vice President'!E5)</f>
        <v/>
      </c>
      <c r="O158" s="18" t="str">
        <f>IF('Step 4 - Vice President'!B5="","",IF('Step 4 - Vice President'!F5="","","Total"))</f>
        <v/>
      </c>
      <c r="P158" s="17" t="str">
        <f>IF('Step 4 - Vice President'!B5="","",IF('Step 4 - Vice President'!F5="","","&gt;="))</f>
        <v/>
      </c>
      <c r="Q158" s="18" t="str">
        <f>IF('Step 4 - Vice President'!B5="","",IF('Step 4 - Vice President'!F5="","",'Step 4 - Vice President'!F5))</f>
        <v/>
      </c>
      <c r="R158" s="18" t="str">
        <f>""</f>
        <v/>
      </c>
      <c r="S158" s="18" t="str">
        <f>""</f>
        <v/>
      </c>
      <c r="T158" s="18" t="str">
        <f>""</f>
        <v/>
      </c>
      <c r="U158" s="18" t="str">
        <f>IF('Step 4 - Vice President'!B5="","",'Step 4 - Vice President'!I5)</f>
        <v/>
      </c>
      <c r="V158" s="17" t="str">
        <f>IF('Step 4 - Vice President'!B5="","",'Step 4 - Vice President'!K5)</f>
        <v/>
      </c>
      <c r="W158" s="18" t="str">
        <f>IF('Step 4 - Vice President'!B5="","",'Step 4 - Vice President'!L5)</f>
        <v/>
      </c>
      <c r="X158" s="17" t="str">
        <f>IF('Step 4 - Vice President'!B5="","",'Step 4 - Vice President'!N5)</f>
        <v/>
      </c>
      <c r="Y158" s="18" t="str">
        <f>""</f>
        <v/>
      </c>
      <c r="Z158" s="18" t="str">
        <f>""</f>
        <v/>
      </c>
      <c r="AA158" s="18" t="str">
        <f>""</f>
        <v/>
      </c>
      <c r="AB158" s="18" t="str">
        <f>""</f>
        <v/>
      </c>
      <c r="AC158" s="18" t="str">
        <f>""</f>
        <v/>
      </c>
      <c r="AD158" s="18" t="str">
        <f>""</f>
        <v/>
      </c>
      <c r="AE158" s="18" t="str">
        <f>""</f>
        <v/>
      </c>
      <c r="AF158" s="18" t="str">
        <f>""</f>
        <v/>
      </c>
      <c r="AG158" s="18" t="str">
        <f>""</f>
        <v/>
      </c>
      <c r="AH158" s="18" t="str">
        <f>""</f>
        <v/>
      </c>
      <c r="AI158" s="18" t="str">
        <f>""</f>
        <v/>
      </c>
      <c r="AJ158" s="18" t="str">
        <f>""</f>
        <v/>
      </c>
      <c r="AK158" s="18" t="str">
        <f>""</f>
        <v/>
      </c>
      <c r="AL158" s="18" t="str">
        <f>""</f>
        <v/>
      </c>
      <c r="AM158" s="18" t="str">
        <f>""</f>
        <v/>
      </c>
    </row>
    <row r="159" spans="1:39" ht="15.75" customHeight="1" x14ac:dyDescent="0.25">
      <c r="A159" s="19" t="str">
        <f>IF('Step 4 - Vice President'!B6="","","Active")</f>
        <v/>
      </c>
      <c r="B159" s="20" t="str">
        <f>IF('Step 4 - Vice President'!B6="","",'Step 4 - Vice President'!B6)</f>
        <v/>
      </c>
      <c r="C159" s="20" t="str">
        <f>IF('Step 4 - Vice President'!B6="","",'Step 4 - Vice President'!B6)</f>
        <v/>
      </c>
      <c r="D159" s="19" t="str">
        <f>IF('Step 4 - Vice President'!B6="","",'Step 4 - Vice President'!G6)</f>
        <v/>
      </c>
      <c r="E159" s="19" t="str">
        <f>IF('Step 4 - Vice President'!B6="","",'Step 4 - Vice President'!H6)</f>
        <v/>
      </c>
      <c r="F159" s="20" t="str">
        <f>IF('Step 4 - Vice President'!B6="","",IF('Step 4 - Vice President'!C6="","","Fund Code"))</f>
        <v/>
      </c>
      <c r="G159" s="19" t="str">
        <f>IF('Step 4 - Vice President'!B6="","",IF('Step 4 - Vice President'!C6="","","Equals"))</f>
        <v/>
      </c>
      <c r="H159" s="20" t="str">
        <f>IF('Step 4 - Vice President'!B6="","",IF('Step 4 - Vice President'!C6="","",'Step 4 - Vice President'!C6))</f>
        <v/>
      </c>
      <c r="I159" s="20" t="str">
        <f>IF('Step 4 - Vice President'!B6="","","Organization Code")</f>
        <v/>
      </c>
      <c r="J159" s="19" t="str">
        <f>IF('Step 4 - Vice President'!B6="","","Equals")</f>
        <v/>
      </c>
      <c r="K159" s="20" t="str">
        <f>IF('Step 4 - Vice President'!B6="","",'Step 4 - Vice President'!D6)</f>
        <v/>
      </c>
      <c r="L159" s="20" t="str">
        <f>IF('Step 4 - Vice President'!B6="","","Other Criteria")</f>
        <v/>
      </c>
      <c r="M159" s="19" t="str">
        <f>IF('Step 4 - Vice President'!B6="","","Equals")</f>
        <v/>
      </c>
      <c r="N159" s="20" t="str">
        <f>IF('Step 4 - Vice President'!B6="","",'Step 4 - Vice President'!E6)</f>
        <v/>
      </c>
      <c r="O159" s="20" t="str">
        <f>IF('Step 4 - Vice President'!B6="","",IF('Step 4 - Vice President'!F6="","","Total"))</f>
        <v/>
      </c>
      <c r="P159" s="19" t="str">
        <f>IF('Step 4 - Vice President'!B6="","",IF('Step 4 - Vice President'!F6="","","&gt;="))</f>
        <v/>
      </c>
      <c r="Q159" s="20" t="str">
        <f>IF('Step 4 - Vice President'!B6="","",IF('Step 4 - Vice President'!F6="","",'Step 4 - Vice President'!F6))</f>
        <v/>
      </c>
      <c r="R159" s="20" t="str">
        <f>""</f>
        <v/>
      </c>
      <c r="S159" s="20" t="str">
        <f>""</f>
        <v/>
      </c>
      <c r="T159" s="20" t="str">
        <f>""</f>
        <v/>
      </c>
      <c r="U159" s="20" t="str">
        <f>IF('Step 4 - Vice President'!B6="","",'Step 4 - Vice President'!I6)</f>
        <v/>
      </c>
      <c r="V159" s="19" t="str">
        <f>IF('Step 4 - Vice President'!B6="","",'Step 4 - Vice President'!K6)</f>
        <v/>
      </c>
      <c r="W159" s="20" t="str">
        <f>IF('Step 4 - Vice President'!B6="","",'Step 4 - Vice President'!L6)</f>
        <v/>
      </c>
      <c r="X159" s="19" t="str">
        <f>IF('Step 4 - Vice President'!B6="","",'Step 4 - Vice President'!N6)</f>
        <v/>
      </c>
      <c r="Y159" s="20" t="str">
        <f>""</f>
        <v/>
      </c>
      <c r="Z159" s="20" t="str">
        <f>""</f>
        <v/>
      </c>
      <c r="AA159" s="20" t="str">
        <f>""</f>
        <v/>
      </c>
      <c r="AB159" s="20" t="str">
        <f>""</f>
        <v/>
      </c>
      <c r="AC159" s="20" t="str">
        <f>""</f>
        <v/>
      </c>
      <c r="AD159" s="20" t="str">
        <f>""</f>
        <v/>
      </c>
      <c r="AE159" s="20" t="str">
        <f>""</f>
        <v/>
      </c>
      <c r="AF159" s="20" t="str">
        <f>""</f>
        <v/>
      </c>
      <c r="AG159" s="20" t="str">
        <f>""</f>
        <v/>
      </c>
      <c r="AH159" s="20" t="str">
        <f>""</f>
        <v/>
      </c>
      <c r="AI159" s="20" t="str">
        <f>""</f>
        <v/>
      </c>
      <c r="AJ159" s="20" t="str">
        <f>""</f>
        <v/>
      </c>
      <c r="AK159" s="20" t="str">
        <f>""</f>
        <v/>
      </c>
      <c r="AL159" s="20" t="str">
        <f>""</f>
        <v/>
      </c>
      <c r="AM159" s="20" t="str">
        <f>""</f>
        <v/>
      </c>
    </row>
    <row r="160" spans="1:39" ht="15.75" customHeight="1" x14ac:dyDescent="0.25">
      <c r="A160" s="17" t="str">
        <f>IF('Step 4 - Vice President'!B7="","","Active")</f>
        <v/>
      </c>
      <c r="B160" s="18" t="str">
        <f>IF('Step 4 - Vice President'!B7="","",'Step 4 - Vice President'!B7)</f>
        <v/>
      </c>
      <c r="C160" s="18" t="str">
        <f>IF('Step 4 - Vice President'!B7="","",'Step 4 - Vice President'!B7)</f>
        <v/>
      </c>
      <c r="D160" s="17" t="str">
        <f>IF('Step 4 - Vice President'!B7="","",'Step 4 - Vice President'!G7)</f>
        <v/>
      </c>
      <c r="E160" s="17" t="str">
        <f>IF('Step 4 - Vice President'!B7="","",'Step 4 - Vice President'!H7)</f>
        <v/>
      </c>
      <c r="F160" s="18" t="str">
        <f>IF('Step 4 - Vice President'!B7="","",IF('Step 4 - Vice President'!C7="","","Fund Code"))</f>
        <v/>
      </c>
      <c r="G160" s="17" t="str">
        <f>IF('Step 4 - Vice President'!B7="","",IF('Step 4 - Vice President'!C7="","","Equals"))</f>
        <v/>
      </c>
      <c r="H160" s="18" t="str">
        <f>IF('Step 4 - Vice President'!B7="","",IF('Step 4 - Vice President'!C7="","",'Step 4 - Vice President'!C7))</f>
        <v/>
      </c>
      <c r="I160" s="18" t="str">
        <f>IF('Step 4 - Vice President'!B7="","","Organization Code")</f>
        <v/>
      </c>
      <c r="J160" s="17" t="str">
        <f>IF('Step 4 - Vice President'!B7="","","Equals")</f>
        <v/>
      </c>
      <c r="K160" s="18" t="str">
        <f>IF('Step 4 - Vice President'!B7="","",'Step 4 - Vice President'!D7)</f>
        <v/>
      </c>
      <c r="L160" s="18" t="str">
        <f>IF('Step 4 - Vice President'!B7="","","Other Criteria")</f>
        <v/>
      </c>
      <c r="M160" s="17" t="str">
        <f>IF('Step 4 - Vice President'!B7="","","Equals")</f>
        <v/>
      </c>
      <c r="N160" s="18" t="str">
        <f>IF('Step 4 - Vice President'!B7="","",'Step 4 - Vice President'!E7)</f>
        <v/>
      </c>
      <c r="O160" s="18" t="str">
        <f>IF('Step 4 - Vice President'!B7="","",IF('Step 4 - Vice President'!F7="","","Total"))</f>
        <v/>
      </c>
      <c r="P160" s="17" t="str">
        <f>IF('Step 4 - Vice President'!B7="","",IF('Step 4 - Vice President'!F7="","","&gt;="))</f>
        <v/>
      </c>
      <c r="Q160" s="18" t="str">
        <f>IF('Step 4 - Vice President'!B7="","",IF('Step 4 - Vice President'!F7="","",'Step 4 - Vice President'!F7))</f>
        <v/>
      </c>
      <c r="R160" s="18" t="str">
        <f>""</f>
        <v/>
      </c>
      <c r="S160" s="18" t="str">
        <f>""</f>
        <v/>
      </c>
      <c r="T160" s="18" t="str">
        <f>""</f>
        <v/>
      </c>
      <c r="U160" s="18" t="str">
        <f>IF('Step 4 - Vice President'!B7="","",'Step 4 - Vice President'!I7)</f>
        <v/>
      </c>
      <c r="V160" s="17" t="str">
        <f>IF('Step 4 - Vice President'!B7="","",'Step 4 - Vice President'!K7)</f>
        <v/>
      </c>
      <c r="W160" s="18" t="str">
        <f>IF('Step 4 - Vice President'!B7="","",'Step 4 - Vice President'!L7)</f>
        <v/>
      </c>
      <c r="X160" s="17" t="str">
        <f>IF('Step 4 - Vice President'!B7="","",'Step 4 - Vice President'!N7)</f>
        <v/>
      </c>
      <c r="Y160" s="18" t="str">
        <f>""</f>
        <v/>
      </c>
      <c r="Z160" s="18" t="str">
        <f>""</f>
        <v/>
      </c>
      <c r="AA160" s="18" t="str">
        <f>""</f>
        <v/>
      </c>
      <c r="AB160" s="18" t="str">
        <f>""</f>
        <v/>
      </c>
      <c r="AC160" s="18" t="str">
        <f>""</f>
        <v/>
      </c>
      <c r="AD160" s="18" t="str">
        <f>""</f>
        <v/>
      </c>
      <c r="AE160" s="18" t="str">
        <f>""</f>
        <v/>
      </c>
      <c r="AF160" s="18" t="str">
        <f>""</f>
        <v/>
      </c>
      <c r="AG160" s="18" t="str">
        <f>""</f>
        <v/>
      </c>
      <c r="AH160" s="18" t="str">
        <f>""</f>
        <v/>
      </c>
      <c r="AI160" s="18" t="str">
        <f>""</f>
        <v/>
      </c>
      <c r="AJ160" s="18" t="str">
        <f>""</f>
        <v/>
      </c>
      <c r="AK160" s="18" t="str">
        <f>""</f>
        <v/>
      </c>
      <c r="AL160" s="18" t="str">
        <f>""</f>
        <v/>
      </c>
      <c r="AM160" s="18" t="str">
        <f>""</f>
        <v/>
      </c>
    </row>
    <row r="161" spans="1:39" ht="15.75" customHeight="1" x14ac:dyDescent="0.25">
      <c r="A161" s="19" t="str">
        <f>IF('Step 4 - Vice President'!B8="","","Active")</f>
        <v/>
      </c>
      <c r="B161" s="20" t="str">
        <f>IF('Step 4 - Vice President'!B8="","",'Step 4 - Vice President'!B8)</f>
        <v/>
      </c>
      <c r="C161" s="20" t="str">
        <f>IF('Step 4 - Vice President'!B8="","",'Step 4 - Vice President'!B8)</f>
        <v/>
      </c>
      <c r="D161" s="19" t="str">
        <f>IF('Step 4 - Vice President'!B8="","",'Step 4 - Vice President'!G8)</f>
        <v/>
      </c>
      <c r="E161" s="19" t="str">
        <f>IF('Step 4 - Vice President'!B8="","",'Step 4 - Vice President'!H8)</f>
        <v/>
      </c>
      <c r="F161" s="20" t="str">
        <f>IF('Step 4 - Vice President'!B8="","",IF('Step 4 - Vice President'!C8="","","Fund Code"))</f>
        <v/>
      </c>
      <c r="G161" s="19" t="str">
        <f>IF('Step 4 - Vice President'!B8="","",IF('Step 4 - Vice President'!C8="","","Equals"))</f>
        <v/>
      </c>
      <c r="H161" s="20" t="str">
        <f>IF('Step 4 - Vice President'!B8="","",IF('Step 4 - Vice President'!C8="","",'Step 4 - Vice President'!C8))</f>
        <v/>
      </c>
      <c r="I161" s="20" t="str">
        <f>IF('Step 4 - Vice President'!B8="","","Organization Code")</f>
        <v/>
      </c>
      <c r="J161" s="19" t="str">
        <f>IF('Step 4 - Vice President'!B8="","","Equals")</f>
        <v/>
      </c>
      <c r="K161" s="20" t="str">
        <f>IF('Step 4 - Vice President'!B8="","",'Step 4 - Vice President'!D8)</f>
        <v/>
      </c>
      <c r="L161" s="20" t="str">
        <f>IF('Step 4 - Vice President'!B8="","","Other Criteria")</f>
        <v/>
      </c>
      <c r="M161" s="19" t="str">
        <f>IF('Step 4 - Vice President'!B8="","","Equals")</f>
        <v/>
      </c>
      <c r="N161" s="20" t="str">
        <f>IF('Step 4 - Vice President'!B8="","",'Step 4 - Vice President'!E8)</f>
        <v/>
      </c>
      <c r="O161" s="20" t="str">
        <f>IF('Step 4 - Vice President'!B8="","",IF('Step 4 - Vice President'!F8="","","Total"))</f>
        <v/>
      </c>
      <c r="P161" s="19" t="str">
        <f>IF('Step 4 - Vice President'!B8="","",IF('Step 4 - Vice President'!F8="","","&gt;="))</f>
        <v/>
      </c>
      <c r="Q161" s="20" t="str">
        <f>IF('Step 4 - Vice President'!B8="","",IF('Step 4 - Vice President'!F8="","",'Step 4 - Vice President'!F8))</f>
        <v/>
      </c>
      <c r="R161" s="20" t="str">
        <f>""</f>
        <v/>
      </c>
      <c r="S161" s="20" t="str">
        <f>""</f>
        <v/>
      </c>
      <c r="T161" s="20" t="str">
        <f>""</f>
        <v/>
      </c>
      <c r="U161" s="20" t="str">
        <f>IF('Step 4 - Vice President'!B8="","",'Step 4 - Vice President'!I8)</f>
        <v/>
      </c>
      <c r="V161" s="19" t="str">
        <f>IF('Step 4 - Vice President'!B8="","",'Step 4 - Vice President'!K8)</f>
        <v/>
      </c>
      <c r="W161" s="20" t="str">
        <f>IF('Step 4 - Vice President'!B8="","",'Step 4 - Vice President'!L8)</f>
        <v/>
      </c>
      <c r="X161" s="19" t="str">
        <f>IF('Step 4 - Vice President'!B8="","",'Step 4 - Vice President'!N8)</f>
        <v/>
      </c>
      <c r="Y161" s="20" t="str">
        <f>""</f>
        <v/>
      </c>
      <c r="Z161" s="20" t="str">
        <f>""</f>
        <v/>
      </c>
      <c r="AA161" s="20" t="str">
        <f>""</f>
        <v/>
      </c>
      <c r="AB161" s="20" t="str">
        <f>""</f>
        <v/>
      </c>
      <c r="AC161" s="20" t="str">
        <f>""</f>
        <v/>
      </c>
      <c r="AD161" s="20" t="str">
        <f>""</f>
        <v/>
      </c>
      <c r="AE161" s="20" t="str">
        <f>""</f>
        <v/>
      </c>
      <c r="AF161" s="20" t="str">
        <f>""</f>
        <v/>
      </c>
      <c r="AG161" s="20" t="str">
        <f>""</f>
        <v/>
      </c>
      <c r="AH161" s="20" t="str">
        <f>""</f>
        <v/>
      </c>
      <c r="AI161" s="20" t="str">
        <f>""</f>
        <v/>
      </c>
      <c r="AJ161" s="20" t="str">
        <f>""</f>
        <v/>
      </c>
      <c r="AK161" s="20" t="str">
        <f>""</f>
        <v/>
      </c>
      <c r="AL161" s="20" t="str">
        <f>""</f>
        <v/>
      </c>
      <c r="AM161" s="20" t="str">
        <f>""</f>
        <v/>
      </c>
    </row>
    <row r="162" spans="1:39" ht="15.75" customHeight="1" x14ac:dyDescent="0.25">
      <c r="A162" s="17" t="str">
        <f>IF('Step 4 - Vice President'!B9="","","Active")</f>
        <v/>
      </c>
      <c r="B162" s="18" t="str">
        <f>IF('Step 4 - Vice President'!B9="","",'Step 4 - Vice President'!B9)</f>
        <v/>
      </c>
      <c r="C162" s="18" t="str">
        <f>IF('Step 4 - Vice President'!B9="","",'Step 4 - Vice President'!B9)</f>
        <v/>
      </c>
      <c r="D162" s="17" t="str">
        <f>IF('Step 4 - Vice President'!B9="","",'Step 4 - Vice President'!G9)</f>
        <v/>
      </c>
      <c r="E162" s="17" t="str">
        <f>IF('Step 4 - Vice President'!B9="","",'Step 4 - Vice President'!H9)</f>
        <v/>
      </c>
      <c r="F162" s="18" t="str">
        <f>IF('Step 4 - Vice President'!B9="","",IF('Step 4 - Vice President'!C9="","","Fund Code"))</f>
        <v/>
      </c>
      <c r="G162" s="17" t="str">
        <f>IF('Step 4 - Vice President'!B9="","",IF('Step 4 - Vice President'!C9="","","Equals"))</f>
        <v/>
      </c>
      <c r="H162" s="18" t="str">
        <f>IF('Step 4 - Vice President'!B9="","",IF('Step 4 - Vice President'!C9="","",'Step 4 - Vice President'!C9))</f>
        <v/>
      </c>
      <c r="I162" s="18" t="str">
        <f>IF('Step 4 - Vice President'!B9="","","Organization Code")</f>
        <v/>
      </c>
      <c r="J162" s="17" t="str">
        <f>IF('Step 4 - Vice President'!B9="","","Equals")</f>
        <v/>
      </c>
      <c r="K162" s="18" t="str">
        <f>IF('Step 4 - Vice President'!B9="","",'Step 4 - Vice President'!D9)</f>
        <v/>
      </c>
      <c r="L162" s="18" t="str">
        <f>IF('Step 4 - Vice President'!B9="","","Other Criteria")</f>
        <v/>
      </c>
      <c r="M162" s="17" t="str">
        <f>IF('Step 4 - Vice President'!B9="","","Equals")</f>
        <v/>
      </c>
      <c r="N162" s="18" t="str">
        <f>IF('Step 4 - Vice President'!B9="","",'Step 4 - Vice President'!E9)</f>
        <v/>
      </c>
      <c r="O162" s="18" t="str">
        <f>IF('Step 4 - Vice President'!B9="","",IF('Step 4 - Vice President'!F9="","","Total"))</f>
        <v/>
      </c>
      <c r="P162" s="17" t="str">
        <f>IF('Step 4 - Vice President'!B9="","",IF('Step 4 - Vice President'!F9="","","&gt;="))</f>
        <v/>
      </c>
      <c r="Q162" s="18" t="str">
        <f>IF('Step 4 - Vice President'!B9="","",IF('Step 4 - Vice President'!F9="","",'Step 4 - Vice President'!F9))</f>
        <v/>
      </c>
      <c r="R162" s="18" t="str">
        <f>""</f>
        <v/>
      </c>
      <c r="S162" s="18" t="str">
        <f>""</f>
        <v/>
      </c>
      <c r="T162" s="18" t="str">
        <f>""</f>
        <v/>
      </c>
      <c r="U162" s="18" t="str">
        <f>IF('Step 4 - Vice President'!B9="","",'Step 4 - Vice President'!I9)</f>
        <v/>
      </c>
      <c r="V162" s="17" t="str">
        <f>IF('Step 4 - Vice President'!B9="","",'Step 4 - Vice President'!K9)</f>
        <v/>
      </c>
      <c r="W162" s="18" t="str">
        <f>IF('Step 4 - Vice President'!B9="","",'Step 4 - Vice President'!L9)</f>
        <v/>
      </c>
      <c r="X162" s="17" t="str">
        <f>IF('Step 4 - Vice President'!B9="","",'Step 4 - Vice President'!N9)</f>
        <v/>
      </c>
      <c r="Y162" s="18" t="str">
        <f>""</f>
        <v/>
      </c>
      <c r="Z162" s="18" t="str">
        <f>""</f>
        <v/>
      </c>
      <c r="AA162" s="18" t="str">
        <f>""</f>
        <v/>
      </c>
      <c r="AB162" s="18" t="str">
        <f>""</f>
        <v/>
      </c>
      <c r="AC162" s="18" t="str">
        <f>""</f>
        <v/>
      </c>
      <c r="AD162" s="18" t="str">
        <f>""</f>
        <v/>
      </c>
      <c r="AE162" s="18" t="str">
        <f>""</f>
        <v/>
      </c>
      <c r="AF162" s="18" t="str">
        <f>""</f>
        <v/>
      </c>
      <c r="AG162" s="18" t="str">
        <f>""</f>
        <v/>
      </c>
      <c r="AH162" s="18" t="str">
        <f>""</f>
        <v/>
      </c>
      <c r="AI162" s="18" t="str">
        <f>""</f>
        <v/>
      </c>
      <c r="AJ162" s="18" t="str">
        <f>""</f>
        <v/>
      </c>
      <c r="AK162" s="18" t="str">
        <f>""</f>
        <v/>
      </c>
      <c r="AL162" s="18" t="str">
        <f>""</f>
        <v/>
      </c>
      <c r="AM162" s="18" t="str">
        <f>""</f>
        <v/>
      </c>
    </row>
    <row r="163" spans="1:39" ht="15.75" customHeight="1" x14ac:dyDescent="0.25">
      <c r="A163" s="19" t="str">
        <f>IF('Step 4 - Vice President'!B10="","","Active")</f>
        <v/>
      </c>
      <c r="B163" s="20" t="str">
        <f>IF('Step 4 - Vice President'!B10="","",'Step 4 - Vice President'!B10)</f>
        <v/>
      </c>
      <c r="C163" s="20" t="str">
        <f>IF('Step 4 - Vice President'!B10="","",'Step 4 - Vice President'!B10)</f>
        <v/>
      </c>
      <c r="D163" s="19" t="str">
        <f>IF('Step 4 - Vice President'!B10="","",'Step 4 - Vice President'!G10)</f>
        <v/>
      </c>
      <c r="E163" s="19" t="str">
        <f>IF('Step 4 - Vice President'!B10="","",'Step 4 - Vice President'!H10)</f>
        <v/>
      </c>
      <c r="F163" s="20" t="str">
        <f>IF('Step 4 - Vice President'!B10="","",IF('Step 4 - Vice President'!C10="","","Fund Code"))</f>
        <v/>
      </c>
      <c r="G163" s="19" t="str">
        <f>IF('Step 4 - Vice President'!B10="","",IF('Step 4 - Vice President'!C10="","","Equals"))</f>
        <v/>
      </c>
      <c r="H163" s="20" t="str">
        <f>IF('Step 4 - Vice President'!B10="","",IF('Step 4 - Vice President'!C10="","",'Step 4 - Vice President'!C10))</f>
        <v/>
      </c>
      <c r="I163" s="20" t="str">
        <f>IF('Step 4 - Vice President'!B10="","","Organization Code")</f>
        <v/>
      </c>
      <c r="J163" s="19" t="str">
        <f>IF('Step 4 - Vice President'!B10="","","Equals")</f>
        <v/>
      </c>
      <c r="K163" s="20" t="str">
        <f>IF('Step 4 - Vice President'!B10="","",'Step 4 - Vice President'!D10)</f>
        <v/>
      </c>
      <c r="L163" s="20" t="str">
        <f>IF('Step 4 - Vice President'!B10="","","Other Criteria")</f>
        <v/>
      </c>
      <c r="M163" s="19" t="str">
        <f>IF('Step 4 - Vice President'!B10="","","Equals")</f>
        <v/>
      </c>
      <c r="N163" s="20" t="str">
        <f>IF('Step 4 - Vice President'!B10="","",'Step 4 - Vice President'!E10)</f>
        <v/>
      </c>
      <c r="O163" s="20" t="str">
        <f>IF('Step 4 - Vice President'!B10="","",IF('Step 4 - Vice President'!F10="","","Total"))</f>
        <v/>
      </c>
      <c r="P163" s="19" t="str">
        <f>IF('Step 4 - Vice President'!B10="","",IF('Step 4 - Vice President'!F10="","","&gt;="))</f>
        <v/>
      </c>
      <c r="Q163" s="20" t="str">
        <f>IF('Step 4 - Vice President'!B10="","",IF('Step 4 - Vice President'!F10="","",'Step 4 - Vice President'!F10))</f>
        <v/>
      </c>
      <c r="R163" s="20" t="str">
        <f>""</f>
        <v/>
      </c>
      <c r="S163" s="20" t="str">
        <f>""</f>
        <v/>
      </c>
      <c r="T163" s="20" t="str">
        <f>""</f>
        <v/>
      </c>
      <c r="U163" s="20" t="str">
        <f>IF('Step 4 - Vice President'!B10="","",'Step 4 - Vice President'!I10)</f>
        <v/>
      </c>
      <c r="V163" s="19" t="str">
        <f>IF('Step 4 - Vice President'!B10="","",'Step 4 - Vice President'!K10)</f>
        <v/>
      </c>
      <c r="W163" s="20" t="str">
        <f>IF('Step 4 - Vice President'!B10="","",'Step 4 - Vice President'!L10)</f>
        <v/>
      </c>
      <c r="X163" s="19" t="str">
        <f>IF('Step 4 - Vice President'!B10="","",'Step 4 - Vice President'!N10)</f>
        <v/>
      </c>
      <c r="Y163" s="20" t="str">
        <f>""</f>
        <v/>
      </c>
      <c r="Z163" s="20" t="str">
        <f>""</f>
        <v/>
      </c>
      <c r="AA163" s="20" t="str">
        <f>""</f>
        <v/>
      </c>
      <c r="AB163" s="20" t="str">
        <f>""</f>
        <v/>
      </c>
      <c r="AC163" s="20" t="str">
        <f>""</f>
        <v/>
      </c>
      <c r="AD163" s="20" t="str">
        <f>""</f>
        <v/>
      </c>
      <c r="AE163" s="20" t="str">
        <f>""</f>
        <v/>
      </c>
      <c r="AF163" s="20" t="str">
        <f>""</f>
        <v/>
      </c>
      <c r="AG163" s="20" t="str">
        <f>""</f>
        <v/>
      </c>
      <c r="AH163" s="20" t="str">
        <f>""</f>
        <v/>
      </c>
      <c r="AI163" s="20" t="str">
        <f>""</f>
        <v/>
      </c>
      <c r="AJ163" s="20" t="str">
        <f>""</f>
        <v/>
      </c>
      <c r="AK163" s="20" t="str">
        <f>""</f>
        <v/>
      </c>
      <c r="AL163" s="20" t="str">
        <f>""</f>
        <v/>
      </c>
      <c r="AM163" s="20" t="str">
        <f>""</f>
        <v/>
      </c>
    </row>
    <row r="164" spans="1:39" ht="15.75" customHeight="1" x14ac:dyDescent="0.25">
      <c r="A164" s="17" t="str">
        <f>IF('Step 4 - Vice President'!B11="","","Active")</f>
        <v/>
      </c>
      <c r="B164" s="18" t="str">
        <f>IF('Step 4 - Vice President'!B11="","",'Step 4 - Vice President'!B11)</f>
        <v/>
      </c>
      <c r="C164" s="18" t="str">
        <f>IF('Step 4 - Vice President'!B11="","",'Step 4 - Vice President'!B11)</f>
        <v/>
      </c>
      <c r="D164" s="17" t="str">
        <f>IF('Step 4 - Vice President'!B11="","",'Step 4 - Vice President'!G11)</f>
        <v/>
      </c>
      <c r="E164" s="17" t="str">
        <f>IF('Step 4 - Vice President'!B11="","",'Step 4 - Vice President'!H11)</f>
        <v/>
      </c>
      <c r="F164" s="18" t="str">
        <f>IF('Step 4 - Vice President'!B11="","",IF('Step 4 - Vice President'!C11="","","Fund Code"))</f>
        <v/>
      </c>
      <c r="G164" s="17" t="str">
        <f>IF('Step 4 - Vice President'!B11="","",IF('Step 4 - Vice President'!C11="","","Equals"))</f>
        <v/>
      </c>
      <c r="H164" s="18" t="str">
        <f>IF('Step 4 - Vice President'!B11="","",IF('Step 4 - Vice President'!C11="","",'Step 4 - Vice President'!C11))</f>
        <v/>
      </c>
      <c r="I164" s="18" t="str">
        <f>IF('Step 4 - Vice President'!B11="","","Organization Code")</f>
        <v/>
      </c>
      <c r="J164" s="17" t="str">
        <f>IF('Step 4 - Vice President'!B11="","","Equals")</f>
        <v/>
      </c>
      <c r="K164" s="18" t="str">
        <f>IF('Step 4 - Vice President'!B11="","",'Step 4 - Vice President'!D11)</f>
        <v/>
      </c>
      <c r="L164" s="18" t="str">
        <f>IF('Step 4 - Vice President'!B11="","","Other Criteria")</f>
        <v/>
      </c>
      <c r="M164" s="17" t="str">
        <f>IF('Step 4 - Vice President'!B11="","","Equals")</f>
        <v/>
      </c>
      <c r="N164" s="18" t="str">
        <f>IF('Step 4 - Vice President'!B11="","",'Step 4 - Vice President'!E11)</f>
        <v/>
      </c>
      <c r="O164" s="18" t="str">
        <f>IF('Step 4 - Vice President'!B11="","",IF('Step 4 - Vice President'!F11="","","Total"))</f>
        <v/>
      </c>
      <c r="P164" s="17" t="str">
        <f>IF('Step 4 - Vice President'!B11="","",IF('Step 4 - Vice President'!F11="","","&gt;="))</f>
        <v/>
      </c>
      <c r="Q164" s="18" t="str">
        <f>IF('Step 4 - Vice President'!B11="","",IF('Step 4 - Vice President'!F11="","",'Step 4 - Vice President'!F11))</f>
        <v/>
      </c>
      <c r="R164" s="18" t="str">
        <f>""</f>
        <v/>
      </c>
      <c r="S164" s="18" t="str">
        <f>""</f>
        <v/>
      </c>
      <c r="T164" s="18" t="str">
        <f>""</f>
        <v/>
      </c>
      <c r="U164" s="18" t="str">
        <f>IF('Step 4 - Vice President'!B11="","",'Step 4 - Vice President'!I11)</f>
        <v/>
      </c>
      <c r="V164" s="17" t="str">
        <f>IF('Step 4 - Vice President'!B11="","",'Step 4 - Vice President'!K11)</f>
        <v/>
      </c>
      <c r="W164" s="18" t="str">
        <f>IF('Step 4 - Vice President'!B11="","",'Step 4 - Vice President'!L11)</f>
        <v/>
      </c>
      <c r="X164" s="17" t="str">
        <f>IF('Step 4 - Vice President'!B11="","",'Step 4 - Vice President'!N11)</f>
        <v/>
      </c>
      <c r="Y164" s="18" t="str">
        <f>""</f>
        <v/>
      </c>
      <c r="Z164" s="18" t="str">
        <f>""</f>
        <v/>
      </c>
      <c r="AA164" s="18" t="str">
        <f>""</f>
        <v/>
      </c>
      <c r="AB164" s="18" t="str">
        <f>""</f>
        <v/>
      </c>
      <c r="AC164" s="18" t="str">
        <f>""</f>
        <v/>
      </c>
      <c r="AD164" s="18" t="str">
        <f>""</f>
        <v/>
      </c>
      <c r="AE164" s="18" t="str">
        <f>""</f>
        <v/>
      </c>
      <c r="AF164" s="18" t="str">
        <f>""</f>
        <v/>
      </c>
      <c r="AG164" s="18" t="str">
        <f>""</f>
        <v/>
      </c>
      <c r="AH164" s="18" t="str">
        <f>""</f>
        <v/>
      </c>
      <c r="AI164" s="18" t="str">
        <f>""</f>
        <v/>
      </c>
      <c r="AJ164" s="18" t="str">
        <f>""</f>
        <v/>
      </c>
      <c r="AK164" s="18" t="str">
        <f>""</f>
        <v/>
      </c>
      <c r="AL164" s="18" t="str">
        <f>""</f>
        <v/>
      </c>
      <c r="AM164" s="18" t="str">
        <f>""</f>
        <v/>
      </c>
    </row>
    <row r="165" spans="1:39" ht="15.75" customHeight="1" x14ac:dyDescent="0.25">
      <c r="A165" s="19" t="str">
        <f>IF('Step 4 - Vice President'!B12="","","Active")</f>
        <v/>
      </c>
      <c r="B165" s="20" t="str">
        <f>IF('Step 4 - Vice President'!B12="","",'Step 4 - Vice President'!B12)</f>
        <v/>
      </c>
      <c r="C165" s="20" t="str">
        <f>IF('Step 4 - Vice President'!B12="","",'Step 4 - Vice President'!B12)</f>
        <v/>
      </c>
      <c r="D165" s="19" t="str">
        <f>IF('Step 4 - Vice President'!B12="","",'Step 4 - Vice President'!G12)</f>
        <v/>
      </c>
      <c r="E165" s="19" t="str">
        <f>IF('Step 4 - Vice President'!B12="","",'Step 4 - Vice President'!H12)</f>
        <v/>
      </c>
      <c r="F165" s="20" t="str">
        <f>IF('Step 4 - Vice President'!B12="","",IF('Step 4 - Vice President'!C12="","","Fund Code"))</f>
        <v/>
      </c>
      <c r="G165" s="19" t="str">
        <f>IF('Step 4 - Vice President'!B12="","",IF('Step 4 - Vice President'!C12="","","Equals"))</f>
        <v/>
      </c>
      <c r="H165" s="20" t="str">
        <f>IF('Step 4 - Vice President'!B12="","",IF('Step 4 - Vice President'!C12="","",'Step 4 - Vice President'!C12))</f>
        <v/>
      </c>
      <c r="I165" s="20" t="str">
        <f>IF('Step 4 - Vice President'!B12="","","Organization Code")</f>
        <v/>
      </c>
      <c r="J165" s="19" t="str">
        <f>IF('Step 4 - Vice President'!B12="","","Equals")</f>
        <v/>
      </c>
      <c r="K165" s="20" t="str">
        <f>IF('Step 4 - Vice President'!B12="","",'Step 4 - Vice President'!D12)</f>
        <v/>
      </c>
      <c r="L165" s="20" t="str">
        <f>IF('Step 4 - Vice President'!B12="","","Other Criteria")</f>
        <v/>
      </c>
      <c r="M165" s="19" t="str">
        <f>IF('Step 4 - Vice President'!B12="","","Equals")</f>
        <v/>
      </c>
      <c r="N165" s="20" t="str">
        <f>IF('Step 4 - Vice President'!B12="","",'Step 4 - Vice President'!E12)</f>
        <v/>
      </c>
      <c r="O165" s="20" t="str">
        <f>IF('Step 4 - Vice President'!B12="","",IF('Step 4 - Vice President'!F12="","","Total"))</f>
        <v/>
      </c>
      <c r="P165" s="19" t="str">
        <f>IF('Step 4 - Vice President'!B12="","",IF('Step 4 - Vice President'!F12="","","&gt;="))</f>
        <v/>
      </c>
      <c r="Q165" s="20" t="str">
        <f>IF('Step 4 - Vice President'!B12="","",IF('Step 4 - Vice President'!F12="","",'Step 4 - Vice President'!F12))</f>
        <v/>
      </c>
      <c r="R165" s="20" t="str">
        <f>""</f>
        <v/>
      </c>
      <c r="S165" s="20" t="str">
        <f>""</f>
        <v/>
      </c>
      <c r="T165" s="20" t="str">
        <f>""</f>
        <v/>
      </c>
      <c r="U165" s="20" t="str">
        <f>IF('Step 4 - Vice President'!B12="","",'Step 4 - Vice President'!I12)</f>
        <v/>
      </c>
      <c r="V165" s="19" t="str">
        <f>IF('Step 4 - Vice President'!B12="","",'Step 4 - Vice President'!K12)</f>
        <v/>
      </c>
      <c r="W165" s="20" t="str">
        <f>IF('Step 4 - Vice President'!B12="","",'Step 4 - Vice President'!L12)</f>
        <v/>
      </c>
      <c r="X165" s="19" t="str">
        <f>IF('Step 4 - Vice President'!B12="","",'Step 4 - Vice President'!N12)</f>
        <v/>
      </c>
      <c r="Y165" s="20" t="str">
        <f>""</f>
        <v/>
      </c>
      <c r="Z165" s="20" t="str">
        <f>""</f>
        <v/>
      </c>
      <c r="AA165" s="20" t="str">
        <f>""</f>
        <v/>
      </c>
      <c r="AB165" s="20" t="str">
        <f>""</f>
        <v/>
      </c>
      <c r="AC165" s="20" t="str">
        <f>""</f>
        <v/>
      </c>
      <c r="AD165" s="20" t="str">
        <f>""</f>
        <v/>
      </c>
      <c r="AE165" s="20" t="str">
        <f>""</f>
        <v/>
      </c>
      <c r="AF165" s="20" t="str">
        <f>""</f>
        <v/>
      </c>
      <c r="AG165" s="20" t="str">
        <f>""</f>
        <v/>
      </c>
      <c r="AH165" s="20" t="str">
        <f>""</f>
        <v/>
      </c>
      <c r="AI165" s="20" t="str">
        <f>""</f>
        <v/>
      </c>
      <c r="AJ165" s="20" t="str">
        <f>""</f>
        <v/>
      </c>
      <c r="AK165" s="20" t="str">
        <f>""</f>
        <v/>
      </c>
      <c r="AL165" s="20" t="str">
        <f>""</f>
        <v/>
      </c>
      <c r="AM165" s="20" t="str">
        <f>""</f>
        <v/>
      </c>
    </row>
    <row r="166" spans="1:39" ht="15.75" customHeight="1" x14ac:dyDescent="0.25">
      <c r="A166" s="17" t="str">
        <f>IF('Step 4 - Vice President'!B13="","","Active")</f>
        <v/>
      </c>
      <c r="B166" s="18" t="str">
        <f>IF('Step 4 - Vice President'!B13="","",'Step 4 - Vice President'!B13)</f>
        <v/>
      </c>
      <c r="C166" s="18" t="str">
        <f>IF('Step 4 - Vice President'!B13="","",'Step 4 - Vice President'!B13)</f>
        <v/>
      </c>
      <c r="D166" s="17" t="str">
        <f>IF('Step 4 - Vice President'!B13="","",'Step 4 - Vice President'!G13)</f>
        <v/>
      </c>
      <c r="E166" s="17" t="str">
        <f>IF('Step 4 - Vice President'!B13="","",'Step 4 - Vice President'!H13)</f>
        <v/>
      </c>
      <c r="F166" s="18" t="str">
        <f>IF('Step 4 - Vice President'!B13="","",IF('Step 4 - Vice President'!C13="","","Fund Code"))</f>
        <v/>
      </c>
      <c r="G166" s="17" t="str">
        <f>IF('Step 4 - Vice President'!B13="","",IF('Step 4 - Vice President'!C13="","","Equals"))</f>
        <v/>
      </c>
      <c r="H166" s="18" t="str">
        <f>IF('Step 4 - Vice President'!B13="","",IF('Step 4 - Vice President'!C13="","",'Step 4 - Vice President'!C13))</f>
        <v/>
      </c>
      <c r="I166" s="18" t="str">
        <f>IF('Step 4 - Vice President'!B13="","","Organization Code")</f>
        <v/>
      </c>
      <c r="J166" s="17" t="str">
        <f>IF('Step 4 - Vice President'!B13="","","Equals")</f>
        <v/>
      </c>
      <c r="K166" s="18" t="str">
        <f>IF('Step 4 - Vice President'!B13="","",'Step 4 - Vice President'!D13)</f>
        <v/>
      </c>
      <c r="L166" s="18" t="str">
        <f>IF('Step 4 - Vice President'!B13="","","Other Criteria")</f>
        <v/>
      </c>
      <c r="M166" s="17" t="str">
        <f>IF('Step 4 - Vice President'!B13="","","Equals")</f>
        <v/>
      </c>
      <c r="N166" s="18" t="str">
        <f>IF('Step 4 - Vice President'!B13="","",'Step 4 - Vice President'!E13)</f>
        <v/>
      </c>
      <c r="O166" s="18" t="str">
        <f>IF('Step 4 - Vice President'!B13="","",IF('Step 4 - Vice President'!F13="","","Total"))</f>
        <v/>
      </c>
      <c r="P166" s="17" t="str">
        <f>IF('Step 4 - Vice President'!B13="","",IF('Step 4 - Vice President'!F13="","","&gt;="))</f>
        <v/>
      </c>
      <c r="Q166" s="18" t="str">
        <f>IF('Step 4 - Vice President'!B13="","",IF('Step 4 - Vice President'!F13="","",'Step 4 - Vice President'!F13))</f>
        <v/>
      </c>
      <c r="R166" s="18" t="str">
        <f>""</f>
        <v/>
      </c>
      <c r="S166" s="18" t="str">
        <f>""</f>
        <v/>
      </c>
      <c r="T166" s="18" t="str">
        <f>""</f>
        <v/>
      </c>
      <c r="U166" s="18" t="str">
        <f>IF('Step 4 - Vice President'!B13="","",'Step 4 - Vice President'!I13)</f>
        <v/>
      </c>
      <c r="V166" s="17" t="str">
        <f>IF('Step 4 - Vice President'!B13="","",'Step 4 - Vice President'!K13)</f>
        <v/>
      </c>
      <c r="W166" s="18" t="str">
        <f>IF('Step 4 - Vice President'!B13="","",'Step 4 - Vice President'!L13)</f>
        <v/>
      </c>
      <c r="X166" s="17" t="str">
        <f>IF('Step 4 - Vice President'!B13="","",'Step 4 - Vice President'!N13)</f>
        <v/>
      </c>
      <c r="Y166" s="18" t="str">
        <f>""</f>
        <v/>
      </c>
      <c r="Z166" s="18" t="str">
        <f>""</f>
        <v/>
      </c>
      <c r="AA166" s="18" t="str">
        <f>""</f>
        <v/>
      </c>
      <c r="AB166" s="18" t="str">
        <f>""</f>
        <v/>
      </c>
      <c r="AC166" s="18" t="str">
        <f>""</f>
        <v/>
      </c>
      <c r="AD166" s="18" t="str">
        <f>""</f>
        <v/>
      </c>
      <c r="AE166" s="18" t="str">
        <f>""</f>
        <v/>
      </c>
      <c r="AF166" s="18" t="str">
        <f>""</f>
        <v/>
      </c>
      <c r="AG166" s="18" t="str">
        <f>""</f>
        <v/>
      </c>
      <c r="AH166" s="18" t="str">
        <f>""</f>
        <v/>
      </c>
      <c r="AI166" s="18" t="str">
        <f>""</f>
        <v/>
      </c>
      <c r="AJ166" s="18" t="str">
        <f>""</f>
        <v/>
      </c>
      <c r="AK166" s="18" t="str">
        <f>""</f>
        <v/>
      </c>
      <c r="AL166" s="18" t="str">
        <f>""</f>
        <v/>
      </c>
      <c r="AM166" s="18" t="str">
        <f>""</f>
        <v/>
      </c>
    </row>
    <row r="167" spans="1:39" ht="15.75" customHeight="1" x14ac:dyDescent="0.25">
      <c r="A167" s="19" t="str">
        <f>IF('Step 4 - Vice President'!B14="","","Active")</f>
        <v/>
      </c>
      <c r="B167" s="20" t="str">
        <f>IF('Step 4 - Vice President'!B14="","",'Step 4 - Vice President'!B14)</f>
        <v/>
      </c>
      <c r="C167" s="20" t="str">
        <f>IF('Step 4 - Vice President'!B14="","",'Step 4 - Vice President'!B14)</f>
        <v/>
      </c>
      <c r="D167" s="19" t="str">
        <f>IF('Step 4 - Vice President'!B14="","",'Step 4 - Vice President'!G14)</f>
        <v/>
      </c>
      <c r="E167" s="19" t="str">
        <f>IF('Step 4 - Vice President'!B14="","",'Step 4 - Vice President'!H14)</f>
        <v/>
      </c>
      <c r="F167" s="20" t="str">
        <f>IF('Step 4 - Vice President'!B14="","",IF('Step 4 - Vice President'!C14="","","Fund Code"))</f>
        <v/>
      </c>
      <c r="G167" s="19" t="str">
        <f>IF('Step 4 - Vice President'!B14="","",IF('Step 4 - Vice President'!C14="","","Equals"))</f>
        <v/>
      </c>
      <c r="H167" s="20" t="str">
        <f>IF('Step 4 - Vice President'!B14="","",IF('Step 4 - Vice President'!C14="","",'Step 4 - Vice President'!C14))</f>
        <v/>
      </c>
      <c r="I167" s="20" t="str">
        <f>IF('Step 4 - Vice President'!B14="","","Organization Code")</f>
        <v/>
      </c>
      <c r="J167" s="19" t="str">
        <f>IF('Step 4 - Vice President'!B14="","","Equals")</f>
        <v/>
      </c>
      <c r="K167" s="20" t="str">
        <f>IF('Step 4 - Vice President'!B14="","",'Step 4 - Vice President'!D14)</f>
        <v/>
      </c>
      <c r="L167" s="20" t="str">
        <f>IF('Step 4 - Vice President'!B14="","","Other Criteria")</f>
        <v/>
      </c>
      <c r="M167" s="19" t="str">
        <f>IF('Step 4 - Vice President'!B14="","","Equals")</f>
        <v/>
      </c>
      <c r="N167" s="20" t="str">
        <f>IF('Step 4 - Vice President'!B14="","",'Step 4 - Vice President'!E14)</f>
        <v/>
      </c>
      <c r="O167" s="20" t="str">
        <f>IF('Step 4 - Vice President'!B14="","",IF('Step 4 - Vice President'!F14="","","Total"))</f>
        <v/>
      </c>
      <c r="P167" s="19" t="str">
        <f>IF('Step 4 - Vice President'!B14="","",IF('Step 4 - Vice President'!F14="","","&gt;="))</f>
        <v/>
      </c>
      <c r="Q167" s="20" t="str">
        <f>IF('Step 4 - Vice President'!B14="","",IF('Step 4 - Vice President'!F14="","",'Step 4 - Vice President'!F14))</f>
        <v/>
      </c>
      <c r="R167" s="20" t="str">
        <f>""</f>
        <v/>
      </c>
      <c r="S167" s="20" t="str">
        <f>""</f>
        <v/>
      </c>
      <c r="T167" s="20" t="str">
        <f>""</f>
        <v/>
      </c>
      <c r="U167" s="20" t="str">
        <f>IF('Step 4 - Vice President'!B14="","",'Step 4 - Vice President'!I14)</f>
        <v/>
      </c>
      <c r="V167" s="19" t="str">
        <f>IF('Step 4 - Vice President'!B14="","",'Step 4 - Vice President'!K14)</f>
        <v/>
      </c>
      <c r="W167" s="20" t="str">
        <f>IF('Step 4 - Vice President'!B14="","",'Step 4 - Vice President'!L14)</f>
        <v/>
      </c>
      <c r="X167" s="19" t="str">
        <f>IF('Step 4 - Vice President'!B14="","",'Step 4 - Vice President'!N14)</f>
        <v/>
      </c>
      <c r="Y167" s="20" t="str">
        <f>""</f>
        <v/>
      </c>
      <c r="Z167" s="20" t="str">
        <f>""</f>
        <v/>
      </c>
      <c r="AA167" s="20" t="str">
        <f>""</f>
        <v/>
      </c>
      <c r="AB167" s="20" t="str">
        <f>""</f>
        <v/>
      </c>
      <c r="AC167" s="20" t="str">
        <f>""</f>
        <v/>
      </c>
      <c r="AD167" s="20" t="str">
        <f>""</f>
        <v/>
      </c>
      <c r="AE167" s="20" t="str">
        <f>""</f>
        <v/>
      </c>
      <c r="AF167" s="20" t="str">
        <f>""</f>
        <v/>
      </c>
      <c r="AG167" s="20" t="str">
        <f>""</f>
        <v/>
      </c>
      <c r="AH167" s="20" t="str">
        <f>""</f>
        <v/>
      </c>
      <c r="AI167" s="20" t="str">
        <f>""</f>
        <v/>
      </c>
      <c r="AJ167" s="20" t="str">
        <f>""</f>
        <v/>
      </c>
      <c r="AK167" s="20" t="str">
        <f>""</f>
        <v/>
      </c>
      <c r="AL167" s="20" t="str">
        <f>""</f>
        <v/>
      </c>
      <c r="AM167" s="20" t="str">
        <f>""</f>
        <v/>
      </c>
    </row>
    <row r="168" spans="1:39" ht="15.75" customHeight="1" x14ac:dyDescent="0.25">
      <c r="A168" s="17" t="str">
        <f>IF('Step 4 - Vice President'!B15="","","Active")</f>
        <v/>
      </c>
      <c r="B168" s="18" t="str">
        <f>IF('Step 4 - Vice President'!B15="","",'Step 4 - Vice President'!B15)</f>
        <v/>
      </c>
      <c r="C168" s="18" t="str">
        <f>IF('Step 4 - Vice President'!B15="","",'Step 4 - Vice President'!B15)</f>
        <v/>
      </c>
      <c r="D168" s="17" t="str">
        <f>IF('Step 4 - Vice President'!B15="","",'Step 4 - Vice President'!G15)</f>
        <v/>
      </c>
      <c r="E168" s="17" t="str">
        <f>IF('Step 4 - Vice President'!B15="","",'Step 4 - Vice President'!H15)</f>
        <v/>
      </c>
      <c r="F168" s="18" t="str">
        <f>IF('Step 4 - Vice President'!B15="","",IF('Step 4 - Vice President'!C15="","","Fund Code"))</f>
        <v/>
      </c>
      <c r="G168" s="17" t="str">
        <f>IF('Step 4 - Vice President'!B15="","",IF('Step 4 - Vice President'!C15="","","Equals"))</f>
        <v/>
      </c>
      <c r="H168" s="18" t="str">
        <f>IF('Step 4 - Vice President'!B15="","",IF('Step 4 - Vice President'!C15="","",'Step 4 - Vice President'!C15))</f>
        <v/>
      </c>
      <c r="I168" s="18" t="str">
        <f>IF('Step 4 - Vice President'!B15="","","Organization Code")</f>
        <v/>
      </c>
      <c r="J168" s="17" t="str">
        <f>IF('Step 4 - Vice President'!B15="","","Equals")</f>
        <v/>
      </c>
      <c r="K168" s="18" t="str">
        <f>IF('Step 4 - Vice President'!B15="","",'Step 4 - Vice President'!D15)</f>
        <v/>
      </c>
      <c r="L168" s="18" t="str">
        <f>IF('Step 4 - Vice President'!B15="","","Other Criteria")</f>
        <v/>
      </c>
      <c r="M168" s="17" t="str">
        <f>IF('Step 4 - Vice President'!B15="","","Equals")</f>
        <v/>
      </c>
      <c r="N168" s="18" t="str">
        <f>IF('Step 4 - Vice President'!B15="","",'Step 4 - Vice President'!E15)</f>
        <v/>
      </c>
      <c r="O168" s="18" t="str">
        <f>IF('Step 4 - Vice President'!B15="","",IF('Step 4 - Vice President'!F15="","","Total"))</f>
        <v/>
      </c>
      <c r="P168" s="17" t="str">
        <f>IF('Step 4 - Vice President'!B15="","",IF('Step 4 - Vice President'!F15="","","&gt;="))</f>
        <v/>
      </c>
      <c r="Q168" s="18" t="str">
        <f>IF('Step 4 - Vice President'!B15="","",IF('Step 4 - Vice President'!F15="","",'Step 4 - Vice President'!F15))</f>
        <v/>
      </c>
      <c r="R168" s="18" t="str">
        <f>""</f>
        <v/>
      </c>
      <c r="S168" s="18" t="str">
        <f>""</f>
        <v/>
      </c>
      <c r="T168" s="18" t="str">
        <f>""</f>
        <v/>
      </c>
      <c r="U168" s="18" t="str">
        <f>IF('Step 4 - Vice President'!B15="","",'Step 4 - Vice President'!I15)</f>
        <v/>
      </c>
      <c r="V168" s="17" t="str">
        <f>IF('Step 4 - Vice President'!B15="","",'Step 4 - Vice President'!K15)</f>
        <v/>
      </c>
      <c r="W168" s="18" t="str">
        <f>IF('Step 4 - Vice President'!B15="","",'Step 4 - Vice President'!L15)</f>
        <v/>
      </c>
      <c r="X168" s="17" t="str">
        <f>IF('Step 4 - Vice President'!B15="","",'Step 4 - Vice President'!N15)</f>
        <v/>
      </c>
      <c r="Y168" s="18" t="str">
        <f>""</f>
        <v/>
      </c>
      <c r="Z168" s="18" t="str">
        <f>""</f>
        <v/>
      </c>
      <c r="AA168" s="18" t="str">
        <f>""</f>
        <v/>
      </c>
      <c r="AB168" s="18" t="str">
        <f>""</f>
        <v/>
      </c>
      <c r="AC168" s="18" t="str">
        <f>""</f>
        <v/>
      </c>
      <c r="AD168" s="18" t="str">
        <f>""</f>
        <v/>
      </c>
      <c r="AE168" s="18" t="str">
        <f>""</f>
        <v/>
      </c>
      <c r="AF168" s="18" t="str">
        <f>""</f>
        <v/>
      </c>
      <c r="AG168" s="18" t="str">
        <f>""</f>
        <v/>
      </c>
      <c r="AH168" s="18" t="str">
        <f>""</f>
        <v/>
      </c>
      <c r="AI168" s="18" t="str">
        <f>""</f>
        <v/>
      </c>
      <c r="AJ168" s="18" t="str">
        <f>""</f>
        <v/>
      </c>
      <c r="AK168" s="18" t="str">
        <f>""</f>
        <v/>
      </c>
      <c r="AL168" s="18" t="str">
        <f>""</f>
        <v/>
      </c>
      <c r="AM168" s="18" t="str">
        <f>""</f>
        <v/>
      </c>
    </row>
    <row r="169" spans="1:39" ht="15.75" customHeight="1" x14ac:dyDescent="0.25">
      <c r="A169" s="19" t="str">
        <f>IF('Step 4 - Vice President'!B16="","","Active")</f>
        <v/>
      </c>
      <c r="B169" s="20" t="str">
        <f>IF('Step 4 - Vice President'!B16="","",'Step 4 - Vice President'!B16)</f>
        <v/>
      </c>
      <c r="C169" s="20" t="str">
        <f>IF('Step 4 - Vice President'!B16="","",'Step 4 - Vice President'!B16)</f>
        <v/>
      </c>
      <c r="D169" s="19" t="str">
        <f>IF('Step 4 - Vice President'!B16="","",'Step 4 - Vice President'!G16)</f>
        <v/>
      </c>
      <c r="E169" s="19" t="str">
        <f>IF('Step 4 - Vice President'!B16="","",'Step 4 - Vice President'!H16)</f>
        <v/>
      </c>
      <c r="F169" s="20" t="str">
        <f>IF('Step 4 - Vice President'!B16="","",IF('Step 4 - Vice President'!C16="","","Fund Code"))</f>
        <v/>
      </c>
      <c r="G169" s="19" t="str">
        <f>IF('Step 4 - Vice President'!B16="","",IF('Step 4 - Vice President'!C16="","","Equals"))</f>
        <v/>
      </c>
      <c r="H169" s="20" t="str">
        <f>IF('Step 4 - Vice President'!B16="","",IF('Step 4 - Vice President'!C16="","",'Step 4 - Vice President'!C16))</f>
        <v/>
      </c>
      <c r="I169" s="20" t="str">
        <f>IF('Step 4 - Vice President'!B16="","","Organization Code")</f>
        <v/>
      </c>
      <c r="J169" s="19" t="str">
        <f>IF('Step 4 - Vice President'!B16="","","Equals")</f>
        <v/>
      </c>
      <c r="K169" s="20" t="str">
        <f>IF('Step 4 - Vice President'!B16="","",'Step 4 - Vice President'!D16)</f>
        <v/>
      </c>
      <c r="L169" s="20" t="str">
        <f>IF('Step 4 - Vice President'!B16="","","Other Criteria")</f>
        <v/>
      </c>
      <c r="M169" s="19" t="str">
        <f>IF('Step 4 - Vice President'!B16="","","Equals")</f>
        <v/>
      </c>
      <c r="N169" s="20" t="str">
        <f>IF('Step 4 - Vice President'!B16="","",'Step 4 - Vice President'!E16)</f>
        <v/>
      </c>
      <c r="O169" s="20" t="str">
        <f>IF('Step 4 - Vice President'!B16="","",IF('Step 4 - Vice President'!F16="","","Total"))</f>
        <v/>
      </c>
      <c r="P169" s="19" t="str">
        <f>IF('Step 4 - Vice President'!B16="","",IF('Step 4 - Vice President'!F16="","","&gt;="))</f>
        <v/>
      </c>
      <c r="Q169" s="20" t="str">
        <f>IF('Step 4 - Vice President'!B16="","",IF('Step 4 - Vice President'!F16="","",'Step 4 - Vice President'!F16))</f>
        <v/>
      </c>
      <c r="R169" s="20" t="str">
        <f>""</f>
        <v/>
      </c>
      <c r="S169" s="20" t="str">
        <f>""</f>
        <v/>
      </c>
      <c r="T169" s="20" t="str">
        <f>""</f>
        <v/>
      </c>
      <c r="U169" s="20" t="str">
        <f>IF('Step 4 - Vice President'!B16="","",'Step 4 - Vice President'!I16)</f>
        <v/>
      </c>
      <c r="V169" s="19" t="str">
        <f>IF('Step 4 - Vice President'!B16="","",'Step 4 - Vice President'!K16)</f>
        <v/>
      </c>
      <c r="W169" s="20" t="str">
        <f>IF('Step 4 - Vice President'!B16="","",'Step 4 - Vice President'!L16)</f>
        <v/>
      </c>
      <c r="X169" s="19" t="str">
        <f>IF('Step 4 - Vice President'!B16="","",'Step 4 - Vice President'!N16)</f>
        <v/>
      </c>
      <c r="Y169" s="20" t="str">
        <f>""</f>
        <v/>
      </c>
      <c r="Z169" s="20" t="str">
        <f>""</f>
        <v/>
      </c>
      <c r="AA169" s="20" t="str">
        <f>""</f>
        <v/>
      </c>
      <c r="AB169" s="20" t="str">
        <f>""</f>
        <v/>
      </c>
      <c r="AC169" s="20" t="str">
        <f>""</f>
        <v/>
      </c>
      <c r="AD169" s="20" t="str">
        <f>""</f>
        <v/>
      </c>
      <c r="AE169" s="20" t="str">
        <f>""</f>
        <v/>
      </c>
      <c r="AF169" s="20" t="str">
        <f>""</f>
        <v/>
      </c>
      <c r="AG169" s="20" t="str">
        <f>""</f>
        <v/>
      </c>
      <c r="AH169" s="20" t="str">
        <f>""</f>
        <v/>
      </c>
      <c r="AI169" s="20" t="str">
        <f>""</f>
        <v/>
      </c>
      <c r="AJ169" s="20" t="str">
        <f>""</f>
        <v/>
      </c>
      <c r="AK169" s="20" t="str">
        <f>""</f>
        <v/>
      </c>
      <c r="AL169" s="20" t="str">
        <f>""</f>
        <v/>
      </c>
      <c r="AM169" s="20" t="str">
        <f>""</f>
        <v/>
      </c>
    </row>
    <row r="170" spans="1:39" ht="15.75" customHeight="1" x14ac:dyDescent="0.25">
      <c r="A170" s="17" t="str">
        <f>IF('Step 4 - Vice President'!B17="","","Active")</f>
        <v/>
      </c>
      <c r="B170" s="18" t="str">
        <f>IF('Step 4 - Vice President'!B17="","",'Step 4 - Vice President'!B17)</f>
        <v/>
      </c>
      <c r="C170" s="18" t="str">
        <f>IF('Step 4 - Vice President'!B17="","",'Step 4 - Vice President'!B17)</f>
        <v/>
      </c>
      <c r="D170" s="17" t="str">
        <f>IF('Step 4 - Vice President'!B17="","",'Step 4 - Vice President'!G17)</f>
        <v/>
      </c>
      <c r="E170" s="17" t="str">
        <f>IF('Step 4 - Vice President'!B17="","",'Step 4 - Vice President'!H17)</f>
        <v/>
      </c>
      <c r="F170" s="18" t="str">
        <f>IF('Step 4 - Vice President'!B17="","",IF('Step 4 - Vice President'!C17="","","Fund Code"))</f>
        <v/>
      </c>
      <c r="G170" s="17" t="str">
        <f>IF('Step 4 - Vice President'!B17="","",IF('Step 4 - Vice President'!C17="","","Equals"))</f>
        <v/>
      </c>
      <c r="H170" s="18" t="str">
        <f>IF('Step 4 - Vice President'!B17="","",IF('Step 4 - Vice President'!C17="","",'Step 4 - Vice President'!C17))</f>
        <v/>
      </c>
      <c r="I170" s="18" t="str">
        <f>IF('Step 4 - Vice President'!B17="","","Organization Code")</f>
        <v/>
      </c>
      <c r="J170" s="17" t="str">
        <f>IF('Step 4 - Vice President'!B17="","","Equals")</f>
        <v/>
      </c>
      <c r="K170" s="18" t="str">
        <f>IF('Step 4 - Vice President'!B17="","",'Step 4 - Vice President'!D17)</f>
        <v/>
      </c>
      <c r="L170" s="18" t="str">
        <f>IF('Step 4 - Vice President'!B17="","","Other Criteria")</f>
        <v/>
      </c>
      <c r="M170" s="17" t="str">
        <f>IF('Step 4 - Vice President'!B17="","","Equals")</f>
        <v/>
      </c>
      <c r="N170" s="18" t="str">
        <f>IF('Step 4 - Vice President'!B17="","",'Step 4 - Vice President'!E17)</f>
        <v/>
      </c>
      <c r="O170" s="18" t="str">
        <f>IF('Step 4 - Vice President'!B17="","",IF('Step 4 - Vice President'!F17="","","Total"))</f>
        <v/>
      </c>
      <c r="P170" s="17" t="str">
        <f>IF('Step 4 - Vice President'!B17="","",IF('Step 4 - Vice President'!F17="","","&gt;="))</f>
        <v/>
      </c>
      <c r="Q170" s="18" t="str">
        <f>IF('Step 4 - Vice President'!B17="","",IF('Step 4 - Vice President'!F17="","",'Step 4 - Vice President'!F17))</f>
        <v/>
      </c>
      <c r="R170" s="18" t="str">
        <f>""</f>
        <v/>
      </c>
      <c r="S170" s="18" t="str">
        <f>""</f>
        <v/>
      </c>
      <c r="T170" s="18" t="str">
        <f>""</f>
        <v/>
      </c>
      <c r="U170" s="18" t="str">
        <f>IF('Step 4 - Vice President'!B17="","",'Step 4 - Vice President'!I17)</f>
        <v/>
      </c>
      <c r="V170" s="17" t="str">
        <f>IF('Step 4 - Vice President'!B17="","",'Step 4 - Vice President'!K17)</f>
        <v/>
      </c>
      <c r="W170" s="18" t="str">
        <f>IF('Step 4 - Vice President'!B17="","",'Step 4 - Vice President'!L17)</f>
        <v/>
      </c>
      <c r="X170" s="17" t="str">
        <f>IF('Step 4 - Vice President'!B17="","",'Step 4 - Vice President'!N17)</f>
        <v/>
      </c>
      <c r="Y170" s="18" t="str">
        <f>""</f>
        <v/>
      </c>
      <c r="Z170" s="18" t="str">
        <f>""</f>
        <v/>
      </c>
      <c r="AA170" s="18" t="str">
        <f>""</f>
        <v/>
      </c>
      <c r="AB170" s="18" t="str">
        <f>""</f>
        <v/>
      </c>
      <c r="AC170" s="18" t="str">
        <f>""</f>
        <v/>
      </c>
      <c r="AD170" s="18" t="str">
        <f>""</f>
        <v/>
      </c>
      <c r="AE170" s="18" t="str">
        <f>""</f>
        <v/>
      </c>
      <c r="AF170" s="18" t="str">
        <f>""</f>
        <v/>
      </c>
      <c r="AG170" s="18" t="str">
        <f>""</f>
        <v/>
      </c>
      <c r="AH170" s="18" t="str">
        <f>""</f>
        <v/>
      </c>
      <c r="AI170" s="18" t="str">
        <f>""</f>
        <v/>
      </c>
      <c r="AJ170" s="18" t="str">
        <f>""</f>
        <v/>
      </c>
      <c r="AK170" s="18" t="str">
        <f>""</f>
        <v/>
      </c>
      <c r="AL170" s="18" t="str">
        <f>""</f>
        <v/>
      </c>
      <c r="AM170" s="18" t="str">
        <f>""</f>
        <v/>
      </c>
    </row>
    <row r="171" spans="1:39" ht="15.75" customHeight="1" x14ac:dyDescent="0.25">
      <c r="A171" s="19" t="str">
        <f>IF('Step 4 - Vice President'!B18="","","Active")</f>
        <v/>
      </c>
      <c r="B171" s="20" t="str">
        <f>IF('Step 4 - Vice President'!B18="","",'Step 4 - Vice President'!B18)</f>
        <v/>
      </c>
      <c r="C171" s="20" t="str">
        <f>IF('Step 4 - Vice President'!B18="","",'Step 4 - Vice President'!B18)</f>
        <v/>
      </c>
      <c r="D171" s="19" t="str">
        <f>IF('Step 4 - Vice President'!B18="","",'Step 4 - Vice President'!G18)</f>
        <v/>
      </c>
      <c r="E171" s="19" t="str">
        <f>IF('Step 4 - Vice President'!B18="","",'Step 4 - Vice President'!H18)</f>
        <v/>
      </c>
      <c r="F171" s="20" t="str">
        <f>IF('Step 4 - Vice President'!B18="","",IF('Step 4 - Vice President'!C18="","","Fund Code"))</f>
        <v/>
      </c>
      <c r="G171" s="19" t="str">
        <f>IF('Step 4 - Vice President'!B18="","",IF('Step 4 - Vice President'!C18="","","Equals"))</f>
        <v/>
      </c>
      <c r="H171" s="20" t="str">
        <f>IF('Step 4 - Vice President'!B18="","",IF('Step 4 - Vice President'!C18="","",'Step 4 - Vice President'!C18))</f>
        <v/>
      </c>
      <c r="I171" s="20" t="str">
        <f>IF('Step 4 - Vice President'!B18="","","Organization Code")</f>
        <v/>
      </c>
      <c r="J171" s="19" t="str">
        <f>IF('Step 4 - Vice President'!B18="","","Equals")</f>
        <v/>
      </c>
      <c r="K171" s="20" t="str">
        <f>IF('Step 4 - Vice President'!B18="","",'Step 4 - Vice President'!D18)</f>
        <v/>
      </c>
      <c r="L171" s="20" t="str">
        <f>IF('Step 4 - Vice President'!B18="","","Other Criteria")</f>
        <v/>
      </c>
      <c r="M171" s="19" t="str">
        <f>IF('Step 4 - Vice President'!B18="","","Equals")</f>
        <v/>
      </c>
      <c r="N171" s="20" t="str">
        <f>IF('Step 4 - Vice President'!B18="","",'Step 4 - Vice President'!E18)</f>
        <v/>
      </c>
      <c r="O171" s="20" t="str">
        <f>IF('Step 4 - Vice President'!B18="","",IF('Step 4 - Vice President'!F18="","","Total"))</f>
        <v/>
      </c>
      <c r="P171" s="19" t="str">
        <f>IF('Step 4 - Vice President'!B18="","",IF('Step 4 - Vice President'!F18="","","&gt;="))</f>
        <v/>
      </c>
      <c r="Q171" s="20" t="str">
        <f>IF('Step 4 - Vice President'!B18="","",IF('Step 4 - Vice President'!F18="","",'Step 4 - Vice President'!F18))</f>
        <v/>
      </c>
      <c r="R171" s="20" t="str">
        <f>""</f>
        <v/>
      </c>
      <c r="S171" s="20" t="str">
        <f>""</f>
        <v/>
      </c>
      <c r="T171" s="20" t="str">
        <f>""</f>
        <v/>
      </c>
      <c r="U171" s="20" t="str">
        <f>IF('Step 4 - Vice President'!B18="","",'Step 4 - Vice President'!I18)</f>
        <v/>
      </c>
      <c r="V171" s="19" t="str">
        <f>IF('Step 4 - Vice President'!B18="","",'Step 4 - Vice President'!K18)</f>
        <v/>
      </c>
      <c r="W171" s="20" t="str">
        <f>IF('Step 4 - Vice President'!B18="","",'Step 4 - Vice President'!L18)</f>
        <v/>
      </c>
      <c r="X171" s="19" t="str">
        <f>IF('Step 4 - Vice President'!B18="","",'Step 4 - Vice President'!N18)</f>
        <v/>
      </c>
      <c r="Y171" s="20" t="str">
        <f>""</f>
        <v/>
      </c>
      <c r="Z171" s="20" t="str">
        <f>""</f>
        <v/>
      </c>
      <c r="AA171" s="20" t="str">
        <f>""</f>
        <v/>
      </c>
      <c r="AB171" s="20" t="str">
        <f>""</f>
        <v/>
      </c>
      <c r="AC171" s="20" t="str">
        <f>""</f>
        <v/>
      </c>
      <c r="AD171" s="20" t="str">
        <f>""</f>
        <v/>
      </c>
      <c r="AE171" s="20" t="str">
        <f>""</f>
        <v/>
      </c>
      <c r="AF171" s="20" t="str">
        <f>""</f>
        <v/>
      </c>
      <c r="AG171" s="20" t="str">
        <f>""</f>
        <v/>
      </c>
      <c r="AH171" s="20" t="str">
        <f>""</f>
        <v/>
      </c>
      <c r="AI171" s="20" t="str">
        <f>""</f>
        <v/>
      </c>
      <c r="AJ171" s="20" t="str">
        <f>""</f>
        <v/>
      </c>
      <c r="AK171" s="20" t="str">
        <f>""</f>
        <v/>
      </c>
      <c r="AL171" s="20" t="str">
        <f>""</f>
        <v/>
      </c>
      <c r="AM171" s="20" t="str">
        <f>""</f>
        <v/>
      </c>
    </row>
    <row r="172" spans="1:39" ht="15.75" customHeight="1" x14ac:dyDescent="0.25">
      <c r="A172" s="17" t="str">
        <f>IF('Step 4 - Vice President'!B19="","","Active")</f>
        <v/>
      </c>
      <c r="B172" s="18" t="str">
        <f>IF('Step 4 - Vice President'!B19="","",'Step 4 - Vice President'!B19)</f>
        <v/>
      </c>
      <c r="C172" s="18" t="str">
        <f>IF('Step 4 - Vice President'!B19="","",'Step 4 - Vice President'!B19)</f>
        <v/>
      </c>
      <c r="D172" s="17" t="str">
        <f>IF('Step 4 - Vice President'!B19="","",'Step 4 - Vice President'!G19)</f>
        <v/>
      </c>
      <c r="E172" s="17" t="str">
        <f>IF('Step 4 - Vice President'!B19="","",'Step 4 - Vice President'!H19)</f>
        <v/>
      </c>
      <c r="F172" s="18" t="str">
        <f>IF('Step 4 - Vice President'!B19="","",IF('Step 4 - Vice President'!C19="","","Fund Code"))</f>
        <v/>
      </c>
      <c r="G172" s="17" t="str">
        <f>IF('Step 4 - Vice President'!B19="","",IF('Step 4 - Vice President'!C19="","","Equals"))</f>
        <v/>
      </c>
      <c r="H172" s="18" t="str">
        <f>IF('Step 4 - Vice President'!B19="","",IF('Step 4 - Vice President'!C19="","",'Step 4 - Vice President'!C19))</f>
        <v/>
      </c>
      <c r="I172" s="18" t="str">
        <f>IF('Step 4 - Vice President'!B19="","","Organization Code")</f>
        <v/>
      </c>
      <c r="J172" s="17" t="str">
        <f>IF('Step 4 - Vice President'!B19="","","Equals")</f>
        <v/>
      </c>
      <c r="K172" s="18" t="str">
        <f>IF('Step 4 - Vice President'!B19="","",'Step 4 - Vice President'!D19)</f>
        <v/>
      </c>
      <c r="L172" s="18" t="str">
        <f>IF('Step 4 - Vice President'!B19="","","Other Criteria")</f>
        <v/>
      </c>
      <c r="M172" s="17" t="str">
        <f>IF('Step 4 - Vice President'!B19="","","Equals")</f>
        <v/>
      </c>
      <c r="N172" s="18" t="str">
        <f>IF('Step 4 - Vice President'!B19="","",'Step 4 - Vice President'!E19)</f>
        <v/>
      </c>
      <c r="O172" s="18" t="str">
        <f>IF('Step 4 - Vice President'!B19="","",IF('Step 4 - Vice President'!F19="","","Total"))</f>
        <v/>
      </c>
      <c r="P172" s="17" t="str">
        <f>IF('Step 4 - Vice President'!B19="","",IF('Step 4 - Vice President'!F19="","","&gt;="))</f>
        <v/>
      </c>
      <c r="Q172" s="18" t="str">
        <f>IF('Step 4 - Vice President'!B19="","",IF('Step 4 - Vice President'!F19="","",'Step 4 - Vice President'!F19))</f>
        <v/>
      </c>
      <c r="R172" s="18" t="str">
        <f>""</f>
        <v/>
      </c>
      <c r="S172" s="18" t="str">
        <f>""</f>
        <v/>
      </c>
      <c r="T172" s="18" t="str">
        <f>""</f>
        <v/>
      </c>
      <c r="U172" s="18" t="str">
        <f>IF('Step 4 - Vice President'!B19="","",'Step 4 - Vice President'!I19)</f>
        <v/>
      </c>
      <c r="V172" s="17" t="str">
        <f>IF('Step 4 - Vice President'!B19="","",'Step 4 - Vice President'!K19)</f>
        <v/>
      </c>
      <c r="W172" s="18" t="str">
        <f>IF('Step 4 - Vice President'!B19="","",'Step 4 - Vice President'!L19)</f>
        <v/>
      </c>
      <c r="X172" s="17" t="str">
        <f>IF('Step 4 - Vice President'!B19="","",'Step 4 - Vice President'!N19)</f>
        <v/>
      </c>
      <c r="Y172" s="18" t="str">
        <f>""</f>
        <v/>
      </c>
      <c r="Z172" s="18" t="str">
        <f>""</f>
        <v/>
      </c>
      <c r="AA172" s="18" t="str">
        <f>""</f>
        <v/>
      </c>
      <c r="AB172" s="18" t="str">
        <f>""</f>
        <v/>
      </c>
      <c r="AC172" s="18" t="str">
        <f>""</f>
        <v/>
      </c>
      <c r="AD172" s="18" t="str">
        <f>""</f>
        <v/>
      </c>
      <c r="AE172" s="18" t="str">
        <f>""</f>
        <v/>
      </c>
      <c r="AF172" s="18" t="str">
        <f>""</f>
        <v/>
      </c>
      <c r="AG172" s="18" t="str">
        <f>""</f>
        <v/>
      </c>
      <c r="AH172" s="18" t="str">
        <f>""</f>
        <v/>
      </c>
      <c r="AI172" s="18" t="str">
        <f>""</f>
        <v/>
      </c>
      <c r="AJ172" s="18" t="str">
        <f>""</f>
        <v/>
      </c>
      <c r="AK172" s="18" t="str">
        <f>""</f>
        <v/>
      </c>
      <c r="AL172" s="18" t="str">
        <f>""</f>
        <v/>
      </c>
      <c r="AM172" s="18" t="str">
        <f>""</f>
        <v/>
      </c>
    </row>
    <row r="173" spans="1:39" ht="15.75" customHeight="1" x14ac:dyDescent="0.25">
      <c r="A173" s="19" t="str">
        <f>IF('Step 4 - Vice President'!B20="","","Active")</f>
        <v/>
      </c>
      <c r="B173" s="20" t="str">
        <f>IF('Step 4 - Vice President'!B20="","",'Step 4 - Vice President'!B20)</f>
        <v/>
      </c>
      <c r="C173" s="20" t="str">
        <f>IF('Step 4 - Vice President'!B20="","",'Step 4 - Vice President'!B20)</f>
        <v/>
      </c>
      <c r="D173" s="19" t="str">
        <f>IF('Step 4 - Vice President'!B20="","",'Step 4 - Vice President'!G20)</f>
        <v/>
      </c>
      <c r="E173" s="19" t="str">
        <f>IF('Step 4 - Vice President'!B20="","",'Step 4 - Vice President'!H20)</f>
        <v/>
      </c>
      <c r="F173" s="20" t="str">
        <f>IF('Step 4 - Vice President'!B20="","",IF('Step 4 - Vice President'!C20="","","Fund Code"))</f>
        <v/>
      </c>
      <c r="G173" s="19" t="str">
        <f>IF('Step 4 - Vice President'!B20="","",IF('Step 4 - Vice President'!C20="","","Equals"))</f>
        <v/>
      </c>
      <c r="H173" s="20" t="str">
        <f>IF('Step 4 - Vice President'!B20="","",IF('Step 4 - Vice President'!C20="","",'Step 4 - Vice President'!C20))</f>
        <v/>
      </c>
      <c r="I173" s="20" t="str">
        <f>IF('Step 4 - Vice President'!B20="","","Organization Code")</f>
        <v/>
      </c>
      <c r="J173" s="19" t="str">
        <f>IF('Step 4 - Vice President'!B20="","","Equals")</f>
        <v/>
      </c>
      <c r="K173" s="20" t="str">
        <f>IF('Step 4 - Vice President'!B20="","",'Step 4 - Vice President'!D20)</f>
        <v/>
      </c>
      <c r="L173" s="20" t="str">
        <f>IF('Step 4 - Vice President'!B20="","","Other Criteria")</f>
        <v/>
      </c>
      <c r="M173" s="19" t="str">
        <f>IF('Step 4 - Vice President'!B20="","","Equals")</f>
        <v/>
      </c>
      <c r="N173" s="20" t="str">
        <f>IF('Step 4 - Vice President'!B20="","",'Step 4 - Vice President'!E20)</f>
        <v/>
      </c>
      <c r="O173" s="20" t="str">
        <f>IF('Step 4 - Vice President'!B20="","",IF('Step 4 - Vice President'!F20="","","Total"))</f>
        <v/>
      </c>
      <c r="P173" s="19" t="str">
        <f>IF('Step 4 - Vice President'!B20="","",IF('Step 4 - Vice President'!F20="","","&gt;="))</f>
        <v/>
      </c>
      <c r="Q173" s="20" t="str">
        <f>IF('Step 4 - Vice President'!B20="","",IF('Step 4 - Vice President'!F20="","",'Step 4 - Vice President'!F20))</f>
        <v/>
      </c>
      <c r="R173" s="20" t="str">
        <f>""</f>
        <v/>
      </c>
      <c r="S173" s="20" t="str">
        <f>""</f>
        <v/>
      </c>
      <c r="T173" s="20" t="str">
        <f>""</f>
        <v/>
      </c>
      <c r="U173" s="20" t="str">
        <f>IF('Step 4 - Vice President'!B20="","",'Step 4 - Vice President'!I20)</f>
        <v/>
      </c>
      <c r="V173" s="19" t="str">
        <f>IF('Step 4 - Vice President'!B20="","",'Step 4 - Vice President'!K20)</f>
        <v/>
      </c>
      <c r="W173" s="20" t="str">
        <f>IF('Step 4 - Vice President'!B20="","",'Step 4 - Vice President'!L20)</f>
        <v/>
      </c>
      <c r="X173" s="19" t="str">
        <f>IF('Step 4 - Vice President'!B20="","",'Step 4 - Vice President'!N20)</f>
        <v/>
      </c>
      <c r="Y173" s="20" t="str">
        <f>""</f>
        <v/>
      </c>
      <c r="Z173" s="20" t="str">
        <f>""</f>
        <v/>
      </c>
      <c r="AA173" s="20" t="str">
        <f>""</f>
        <v/>
      </c>
      <c r="AB173" s="20" t="str">
        <f>""</f>
        <v/>
      </c>
      <c r="AC173" s="20" t="str">
        <f>""</f>
        <v/>
      </c>
      <c r="AD173" s="20" t="str">
        <f>""</f>
        <v/>
      </c>
      <c r="AE173" s="20" t="str">
        <f>""</f>
        <v/>
      </c>
      <c r="AF173" s="20" t="str">
        <f>""</f>
        <v/>
      </c>
      <c r="AG173" s="20" t="str">
        <f>""</f>
        <v/>
      </c>
      <c r="AH173" s="20" t="str">
        <f>""</f>
        <v/>
      </c>
      <c r="AI173" s="20" t="str">
        <f>""</f>
        <v/>
      </c>
      <c r="AJ173" s="20" t="str">
        <f>""</f>
        <v/>
      </c>
      <c r="AK173" s="20" t="str">
        <f>""</f>
        <v/>
      </c>
      <c r="AL173" s="20" t="str">
        <f>""</f>
        <v/>
      </c>
      <c r="AM173" s="20" t="str">
        <f>""</f>
        <v/>
      </c>
    </row>
    <row r="174" spans="1:39" ht="15.75" customHeight="1" x14ac:dyDescent="0.25">
      <c r="A174" s="17" t="str">
        <f>IF('Step 4 - Vice President'!B21="","","Active")</f>
        <v/>
      </c>
      <c r="B174" s="18" t="str">
        <f>IF('Step 4 - Vice President'!B21="","",'Step 4 - Vice President'!B21)</f>
        <v/>
      </c>
      <c r="C174" s="18" t="str">
        <f>IF('Step 4 - Vice President'!B21="","",'Step 4 - Vice President'!B21)</f>
        <v/>
      </c>
      <c r="D174" s="17" t="str">
        <f>IF('Step 4 - Vice President'!B21="","",'Step 4 - Vice President'!G21)</f>
        <v/>
      </c>
      <c r="E174" s="17" t="str">
        <f>IF('Step 4 - Vice President'!B21="","",'Step 4 - Vice President'!H21)</f>
        <v/>
      </c>
      <c r="F174" s="18" t="str">
        <f>IF('Step 4 - Vice President'!B21="","",IF('Step 4 - Vice President'!C21="","","Fund Code"))</f>
        <v/>
      </c>
      <c r="G174" s="17" t="str">
        <f>IF('Step 4 - Vice President'!B21="","",IF('Step 4 - Vice President'!C21="","","Equals"))</f>
        <v/>
      </c>
      <c r="H174" s="18" t="str">
        <f>IF('Step 4 - Vice President'!B21="","",IF('Step 4 - Vice President'!C21="","",'Step 4 - Vice President'!C21))</f>
        <v/>
      </c>
      <c r="I174" s="18" t="str">
        <f>IF('Step 4 - Vice President'!B21="","","Organization Code")</f>
        <v/>
      </c>
      <c r="J174" s="17" t="str">
        <f>IF('Step 4 - Vice President'!B21="","","Equals")</f>
        <v/>
      </c>
      <c r="K174" s="18" t="str">
        <f>IF('Step 4 - Vice President'!B21="","",'Step 4 - Vice President'!D21)</f>
        <v/>
      </c>
      <c r="L174" s="18" t="str">
        <f>IF('Step 4 - Vice President'!B21="","","Other Criteria")</f>
        <v/>
      </c>
      <c r="M174" s="17" t="str">
        <f>IF('Step 4 - Vice President'!B21="","","Equals")</f>
        <v/>
      </c>
      <c r="N174" s="18" t="str">
        <f>IF('Step 4 - Vice President'!B21="","",'Step 4 - Vice President'!E21)</f>
        <v/>
      </c>
      <c r="O174" s="18" t="str">
        <f>IF('Step 4 - Vice President'!B21="","",IF('Step 4 - Vice President'!F21="","","Total"))</f>
        <v/>
      </c>
      <c r="P174" s="17" t="str">
        <f>IF('Step 4 - Vice President'!B21="","",IF('Step 4 - Vice President'!F21="","","&gt;="))</f>
        <v/>
      </c>
      <c r="Q174" s="18" t="str">
        <f>IF('Step 4 - Vice President'!B21="","",IF('Step 4 - Vice President'!F21="","",'Step 4 - Vice President'!F21))</f>
        <v/>
      </c>
      <c r="R174" s="18" t="str">
        <f>""</f>
        <v/>
      </c>
      <c r="S174" s="18" t="str">
        <f>""</f>
        <v/>
      </c>
      <c r="T174" s="18" t="str">
        <f>""</f>
        <v/>
      </c>
      <c r="U174" s="18" t="str">
        <f>IF('Step 4 - Vice President'!B21="","",'Step 4 - Vice President'!I21)</f>
        <v/>
      </c>
      <c r="V174" s="17" t="str">
        <f>IF('Step 4 - Vice President'!B21="","",'Step 4 - Vice President'!K21)</f>
        <v/>
      </c>
      <c r="W174" s="18" t="str">
        <f>IF('Step 4 - Vice President'!B21="","",'Step 4 - Vice President'!L21)</f>
        <v/>
      </c>
      <c r="X174" s="17" t="str">
        <f>IF('Step 4 - Vice President'!B21="","",'Step 4 - Vice President'!N21)</f>
        <v/>
      </c>
      <c r="Y174" s="18" t="str">
        <f>""</f>
        <v/>
      </c>
      <c r="Z174" s="18" t="str">
        <f>""</f>
        <v/>
      </c>
      <c r="AA174" s="18" t="str">
        <f>""</f>
        <v/>
      </c>
      <c r="AB174" s="18" t="str">
        <f>""</f>
        <v/>
      </c>
      <c r="AC174" s="18" t="str">
        <f>""</f>
        <v/>
      </c>
      <c r="AD174" s="18" t="str">
        <f>""</f>
        <v/>
      </c>
      <c r="AE174" s="18" t="str">
        <f>""</f>
        <v/>
      </c>
      <c r="AF174" s="18" t="str">
        <f>""</f>
        <v/>
      </c>
      <c r="AG174" s="18" t="str">
        <f>""</f>
        <v/>
      </c>
      <c r="AH174" s="18" t="str">
        <f>""</f>
        <v/>
      </c>
      <c r="AI174" s="18" t="str">
        <f>""</f>
        <v/>
      </c>
      <c r="AJ174" s="18" t="str">
        <f>""</f>
        <v/>
      </c>
      <c r="AK174" s="18" t="str">
        <f>""</f>
        <v/>
      </c>
      <c r="AL174" s="18" t="str">
        <f>""</f>
        <v/>
      </c>
      <c r="AM174" s="18" t="str">
        <f>""</f>
        <v/>
      </c>
    </row>
    <row r="175" spans="1:39" ht="15.75" customHeight="1" x14ac:dyDescent="0.25">
      <c r="A175" s="19" t="str">
        <f>IF('Step 4 - Vice President'!B22="","","Active")</f>
        <v/>
      </c>
      <c r="B175" s="20" t="str">
        <f>IF('Step 4 - Vice President'!B22="","",'Step 4 - Vice President'!B22)</f>
        <v/>
      </c>
      <c r="C175" s="20" t="str">
        <f>IF('Step 4 - Vice President'!B22="","",'Step 4 - Vice President'!B22)</f>
        <v/>
      </c>
      <c r="D175" s="19" t="str">
        <f>IF('Step 4 - Vice President'!B22="","",'Step 4 - Vice President'!G22)</f>
        <v/>
      </c>
      <c r="E175" s="19" t="str">
        <f>IF('Step 4 - Vice President'!B22="","",'Step 4 - Vice President'!H22)</f>
        <v/>
      </c>
      <c r="F175" s="20" t="str">
        <f>IF('Step 4 - Vice President'!B22="","",IF('Step 4 - Vice President'!C22="","","Fund Code"))</f>
        <v/>
      </c>
      <c r="G175" s="19" t="str">
        <f>IF('Step 4 - Vice President'!B22="","",IF('Step 4 - Vice President'!C22="","","Equals"))</f>
        <v/>
      </c>
      <c r="H175" s="20" t="str">
        <f>IF('Step 4 - Vice President'!B22="","",IF('Step 4 - Vice President'!C22="","",'Step 4 - Vice President'!C22))</f>
        <v/>
      </c>
      <c r="I175" s="20" t="str">
        <f>IF('Step 4 - Vice President'!B22="","","Organization Code")</f>
        <v/>
      </c>
      <c r="J175" s="19" t="str">
        <f>IF('Step 4 - Vice President'!B22="","","Equals")</f>
        <v/>
      </c>
      <c r="K175" s="20" t="str">
        <f>IF('Step 4 - Vice President'!B22="","",'Step 4 - Vice President'!D22)</f>
        <v/>
      </c>
      <c r="L175" s="20" t="str">
        <f>IF('Step 4 - Vice President'!B22="","","Other Criteria")</f>
        <v/>
      </c>
      <c r="M175" s="19" t="str">
        <f>IF('Step 4 - Vice President'!B22="","","Equals")</f>
        <v/>
      </c>
      <c r="N175" s="20" t="str">
        <f>IF('Step 4 - Vice President'!B22="","",'Step 4 - Vice President'!E22)</f>
        <v/>
      </c>
      <c r="O175" s="20" t="str">
        <f>IF('Step 4 - Vice President'!B22="","",IF('Step 4 - Vice President'!F22="","","Total"))</f>
        <v/>
      </c>
      <c r="P175" s="19" t="str">
        <f>IF('Step 4 - Vice President'!B22="","",IF('Step 4 - Vice President'!F22="","","&gt;="))</f>
        <v/>
      </c>
      <c r="Q175" s="20" t="str">
        <f>IF('Step 4 - Vice President'!B22="","",IF('Step 4 - Vice President'!F22="","",'Step 4 - Vice President'!F22))</f>
        <v/>
      </c>
      <c r="R175" s="20" t="str">
        <f>""</f>
        <v/>
      </c>
      <c r="S175" s="20" t="str">
        <f>""</f>
        <v/>
      </c>
      <c r="T175" s="20" t="str">
        <f>""</f>
        <v/>
      </c>
      <c r="U175" s="20" t="str">
        <f>IF('Step 4 - Vice President'!B22="","",'Step 4 - Vice President'!I22)</f>
        <v/>
      </c>
      <c r="V175" s="19" t="str">
        <f>IF('Step 4 - Vice President'!B22="","",'Step 4 - Vice President'!K22)</f>
        <v/>
      </c>
      <c r="W175" s="20" t="str">
        <f>IF('Step 4 - Vice President'!B22="","",'Step 4 - Vice President'!L22)</f>
        <v/>
      </c>
      <c r="X175" s="19" t="str">
        <f>IF('Step 4 - Vice President'!B22="","",'Step 4 - Vice President'!N22)</f>
        <v/>
      </c>
      <c r="Y175" s="20" t="str">
        <f>""</f>
        <v/>
      </c>
      <c r="Z175" s="20" t="str">
        <f>""</f>
        <v/>
      </c>
      <c r="AA175" s="20" t="str">
        <f>""</f>
        <v/>
      </c>
      <c r="AB175" s="20" t="str">
        <f>""</f>
        <v/>
      </c>
      <c r="AC175" s="20" t="str">
        <f>""</f>
        <v/>
      </c>
      <c r="AD175" s="20" t="str">
        <f>""</f>
        <v/>
      </c>
      <c r="AE175" s="20" t="str">
        <f>""</f>
        <v/>
      </c>
      <c r="AF175" s="20" t="str">
        <f>""</f>
        <v/>
      </c>
      <c r="AG175" s="20" t="str">
        <f>""</f>
        <v/>
      </c>
      <c r="AH175" s="20" t="str">
        <f>""</f>
        <v/>
      </c>
      <c r="AI175" s="20" t="str">
        <f>""</f>
        <v/>
      </c>
      <c r="AJ175" s="20" t="str">
        <f>""</f>
        <v/>
      </c>
      <c r="AK175" s="20" t="str">
        <f>""</f>
        <v/>
      </c>
      <c r="AL175" s="20" t="str">
        <f>""</f>
        <v/>
      </c>
      <c r="AM175" s="20" t="str">
        <f>""</f>
        <v/>
      </c>
    </row>
    <row r="176" spans="1:39" ht="15.75" customHeight="1" x14ac:dyDescent="0.25">
      <c r="A176" s="17" t="str">
        <f>IF('Step 4 - Vice President'!B23="","","Active")</f>
        <v/>
      </c>
      <c r="B176" s="18" t="str">
        <f>IF('Step 4 - Vice President'!B23="","",'Step 4 - Vice President'!B23)</f>
        <v/>
      </c>
      <c r="C176" s="18" t="str">
        <f>IF('Step 4 - Vice President'!B23="","",'Step 4 - Vice President'!B23)</f>
        <v/>
      </c>
      <c r="D176" s="17" t="str">
        <f>IF('Step 4 - Vice President'!B23="","",'Step 4 - Vice President'!G23)</f>
        <v/>
      </c>
      <c r="E176" s="17" t="str">
        <f>IF('Step 4 - Vice President'!B23="","",'Step 4 - Vice President'!H23)</f>
        <v/>
      </c>
      <c r="F176" s="18" t="str">
        <f>IF('Step 4 - Vice President'!B23="","",IF('Step 4 - Vice President'!C23="","","Fund Code"))</f>
        <v/>
      </c>
      <c r="G176" s="17" t="str">
        <f>IF('Step 4 - Vice President'!B23="","",IF('Step 4 - Vice President'!C23="","","Equals"))</f>
        <v/>
      </c>
      <c r="H176" s="18" t="str">
        <f>IF('Step 4 - Vice President'!B23="","",IF('Step 4 - Vice President'!C23="","",'Step 4 - Vice President'!C23))</f>
        <v/>
      </c>
      <c r="I176" s="18" t="str">
        <f>IF('Step 4 - Vice President'!B23="","","Organization Code")</f>
        <v/>
      </c>
      <c r="J176" s="17" t="str">
        <f>IF('Step 4 - Vice President'!B23="","","Equals")</f>
        <v/>
      </c>
      <c r="K176" s="18" t="str">
        <f>IF('Step 4 - Vice President'!B23="","",'Step 4 - Vice President'!D23)</f>
        <v/>
      </c>
      <c r="L176" s="18" t="str">
        <f>IF('Step 4 - Vice President'!B23="","","Other Criteria")</f>
        <v/>
      </c>
      <c r="M176" s="17" t="str">
        <f>IF('Step 4 - Vice President'!B23="","","Equals")</f>
        <v/>
      </c>
      <c r="N176" s="18" t="str">
        <f>IF('Step 4 - Vice President'!B23="","",'Step 4 - Vice President'!E23)</f>
        <v/>
      </c>
      <c r="O176" s="18" t="str">
        <f>IF('Step 4 - Vice President'!B23="","",IF('Step 4 - Vice President'!F23="","","Total"))</f>
        <v/>
      </c>
      <c r="P176" s="17" t="str">
        <f>IF('Step 4 - Vice President'!B23="","",IF('Step 4 - Vice President'!F23="","","&gt;="))</f>
        <v/>
      </c>
      <c r="Q176" s="18" t="str">
        <f>IF('Step 4 - Vice President'!B23="","",IF('Step 4 - Vice President'!F23="","",'Step 4 - Vice President'!F23))</f>
        <v/>
      </c>
      <c r="R176" s="18" t="str">
        <f>""</f>
        <v/>
      </c>
      <c r="S176" s="18" t="str">
        <f>""</f>
        <v/>
      </c>
      <c r="T176" s="18" t="str">
        <f>""</f>
        <v/>
      </c>
      <c r="U176" s="18" t="str">
        <f>IF('Step 4 - Vice President'!B23="","",'Step 4 - Vice President'!I23)</f>
        <v/>
      </c>
      <c r="V176" s="17" t="str">
        <f>IF('Step 4 - Vice President'!B23="","",'Step 4 - Vice President'!K23)</f>
        <v/>
      </c>
      <c r="W176" s="18" t="str">
        <f>IF('Step 4 - Vice President'!B23="","",'Step 4 - Vice President'!L23)</f>
        <v/>
      </c>
      <c r="X176" s="17" t="str">
        <f>IF('Step 4 - Vice President'!B23="","",'Step 4 - Vice President'!N23)</f>
        <v/>
      </c>
      <c r="Y176" s="18" t="str">
        <f>""</f>
        <v/>
      </c>
      <c r="Z176" s="18" t="str">
        <f>""</f>
        <v/>
      </c>
      <c r="AA176" s="18" t="str">
        <f>""</f>
        <v/>
      </c>
      <c r="AB176" s="18" t="str">
        <f>""</f>
        <v/>
      </c>
      <c r="AC176" s="18" t="str">
        <f>""</f>
        <v/>
      </c>
      <c r="AD176" s="18" t="str">
        <f>""</f>
        <v/>
      </c>
      <c r="AE176" s="18" t="str">
        <f>""</f>
        <v/>
      </c>
      <c r="AF176" s="18" t="str">
        <f>""</f>
        <v/>
      </c>
      <c r="AG176" s="18" t="str">
        <f>""</f>
        <v/>
      </c>
      <c r="AH176" s="18" t="str">
        <f>""</f>
        <v/>
      </c>
      <c r="AI176" s="18" t="str">
        <f>""</f>
        <v/>
      </c>
      <c r="AJ176" s="18" t="str">
        <f>""</f>
        <v/>
      </c>
      <c r="AK176" s="18" t="str">
        <f>""</f>
        <v/>
      </c>
      <c r="AL176" s="18" t="str">
        <f>""</f>
        <v/>
      </c>
      <c r="AM176" s="18" t="str">
        <f>""</f>
        <v/>
      </c>
    </row>
    <row r="177" spans="1:39" ht="15.75" customHeight="1" x14ac:dyDescent="0.25">
      <c r="A177" s="19" t="str">
        <f>IF('Step 4 - Vice President'!B24="","","Active")</f>
        <v/>
      </c>
      <c r="B177" s="20" t="str">
        <f>IF('Step 4 - Vice President'!B24="","",'Step 4 - Vice President'!B24)</f>
        <v/>
      </c>
      <c r="C177" s="20" t="str">
        <f>IF('Step 4 - Vice President'!B24="","",'Step 4 - Vice President'!B24)</f>
        <v/>
      </c>
      <c r="D177" s="19" t="str">
        <f>IF('Step 4 - Vice President'!B24="","",'Step 4 - Vice President'!G24)</f>
        <v/>
      </c>
      <c r="E177" s="19" t="str">
        <f>IF('Step 4 - Vice President'!B24="","",'Step 4 - Vice President'!H24)</f>
        <v/>
      </c>
      <c r="F177" s="20" t="str">
        <f>IF('Step 4 - Vice President'!B24="","",IF('Step 4 - Vice President'!C24="","","Fund Code"))</f>
        <v/>
      </c>
      <c r="G177" s="19" t="str">
        <f>IF('Step 4 - Vice President'!B24="","",IF('Step 4 - Vice President'!C24="","","Equals"))</f>
        <v/>
      </c>
      <c r="H177" s="20" t="str">
        <f>IF('Step 4 - Vice President'!B24="","",IF('Step 4 - Vice President'!C24="","",'Step 4 - Vice President'!C24))</f>
        <v/>
      </c>
      <c r="I177" s="20" t="str">
        <f>IF('Step 4 - Vice President'!B24="","","Organization Code")</f>
        <v/>
      </c>
      <c r="J177" s="19" t="str">
        <f>IF('Step 4 - Vice President'!B24="","","Equals")</f>
        <v/>
      </c>
      <c r="K177" s="20" t="str">
        <f>IF('Step 4 - Vice President'!B24="","",'Step 4 - Vice President'!D24)</f>
        <v/>
      </c>
      <c r="L177" s="20" t="str">
        <f>IF('Step 4 - Vice President'!B24="","","Other Criteria")</f>
        <v/>
      </c>
      <c r="M177" s="19" t="str">
        <f>IF('Step 4 - Vice President'!B24="","","Equals")</f>
        <v/>
      </c>
      <c r="N177" s="20" t="str">
        <f>IF('Step 4 - Vice President'!B24="","",'Step 4 - Vice President'!E24)</f>
        <v/>
      </c>
      <c r="O177" s="20" t="str">
        <f>IF('Step 4 - Vice President'!B24="","",IF('Step 4 - Vice President'!F24="","","Total"))</f>
        <v/>
      </c>
      <c r="P177" s="19" t="str">
        <f>IF('Step 4 - Vice President'!B24="","",IF('Step 4 - Vice President'!F24="","","&gt;="))</f>
        <v/>
      </c>
      <c r="Q177" s="20" t="str">
        <f>IF('Step 4 - Vice President'!B24="","",IF('Step 4 - Vice President'!F24="","",'Step 4 - Vice President'!F24))</f>
        <v/>
      </c>
      <c r="R177" s="20" t="str">
        <f>""</f>
        <v/>
      </c>
      <c r="S177" s="20" t="str">
        <f>""</f>
        <v/>
      </c>
      <c r="T177" s="20" t="str">
        <f>""</f>
        <v/>
      </c>
      <c r="U177" s="20" t="str">
        <f>IF('Step 4 - Vice President'!B24="","",'Step 4 - Vice President'!I24)</f>
        <v/>
      </c>
      <c r="V177" s="19" t="str">
        <f>IF('Step 4 - Vice President'!B24="","",'Step 4 - Vice President'!K24)</f>
        <v/>
      </c>
      <c r="W177" s="20" t="str">
        <f>IF('Step 4 - Vice President'!B24="","",'Step 4 - Vice President'!L24)</f>
        <v/>
      </c>
      <c r="X177" s="19" t="str">
        <f>IF('Step 4 - Vice President'!B24="","",'Step 4 - Vice President'!N24)</f>
        <v/>
      </c>
      <c r="Y177" s="20" t="str">
        <f>""</f>
        <v/>
      </c>
      <c r="Z177" s="20" t="str">
        <f>""</f>
        <v/>
      </c>
      <c r="AA177" s="20" t="str">
        <f>""</f>
        <v/>
      </c>
      <c r="AB177" s="20" t="str">
        <f>""</f>
        <v/>
      </c>
      <c r="AC177" s="20" t="str">
        <f>""</f>
        <v/>
      </c>
      <c r="AD177" s="20" t="str">
        <f>""</f>
        <v/>
      </c>
      <c r="AE177" s="20" t="str">
        <f>""</f>
        <v/>
      </c>
      <c r="AF177" s="20" t="str">
        <f>""</f>
        <v/>
      </c>
      <c r="AG177" s="20" t="str">
        <f>""</f>
        <v/>
      </c>
      <c r="AH177" s="20" t="str">
        <f>""</f>
        <v/>
      </c>
      <c r="AI177" s="20" t="str">
        <f>""</f>
        <v/>
      </c>
      <c r="AJ177" s="20" t="str">
        <f>""</f>
        <v/>
      </c>
      <c r="AK177" s="20" t="str">
        <f>""</f>
        <v/>
      </c>
      <c r="AL177" s="20" t="str">
        <f>""</f>
        <v/>
      </c>
      <c r="AM177" s="20" t="str">
        <f>""</f>
        <v/>
      </c>
    </row>
    <row r="178" spans="1:39" ht="15.75" customHeight="1" x14ac:dyDescent="0.25">
      <c r="A178" s="17" t="str">
        <f>IF('Step 4 - Vice President'!B25="","","Active")</f>
        <v/>
      </c>
      <c r="B178" s="18" t="str">
        <f>IF('Step 4 - Vice President'!B25="","",'Step 4 - Vice President'!B25)</f>
        <v/>
      </c>
      <c r="C178" s="18" t="str">
        <f>IF('Step 4 - Vice President'!B25="","",'Step 4 - Vice President'!B25)</f>
        <v/>
      </c>
      <c r="D178" s="17" t="str">
        <f>IF('Step 4 - Vice President'!B25="","",'Step 4 - Vice President'!G25)</f>
        <v/>
      </c>
      <c r="E178" s="17" t="str">
        <f>IF('Step 4 - Vice President'!B25="","",'Step 4 - Vice President'!H25)</f>
        <v/>
      </c>
      <c r="F178" s="18" t="str">
        <f>IF('Step 4 - Vice President'!B25="","",IF('Step 4 - Vice President'!C25="","","Fund Code"))</f>
        <v/>
      </c>
      <c r="G178" s="17" t="str">
        <f>IF('Step 4 - Vice President'!B25="","",IF('Step 4 - Vice President'!C25="","","Equals"))</f>
        <v/>
      </c>
      <c r="H178" s="18" t="str">
        <f>IF('Step 4 - Vice President'!B25="","",IF('Step 4 - Vice President'!C25="","",'Step 4 - Vice President'!C25))</f>
        <v/>
      </c>
      <c r="I178" s="18" t="str">
        <f>IF('Step 4 - Vice President'!B25="","","Organization Code")</f>
        <v/>
      </c>
      <c r="J178" s="17" t="str">
        <f>IF('Step 4 - Vice President'!B25="","","Equals")</f>
        <v/>
      </c>
      <c r="K178" s="18" t="str">
        <f>IF('Step 4 - Vice President'!B25="","",'Step 4 - Vice President'!D25)</f>
        <v/>
      </c>
      <c r="L178" s="18" t="str">
        <f>IF('Step 4 - Vice President'!B25="","","Other Criteria")</f>
        <v/>
      </c>
      <c r="M178" s="17" t="str">
        <f>IF('Step 4 - Vice President'!B25="","","Equals")</f>
        <v/>
      </c>
      <c r="N178" s="18" t="str">
        <f>IF('Step 4 - Vice President'!B25="","",'Step 4 - Vice President'!E25)</f>
        <v/>
      </c>
      <c r="O178" s="18" t="str">
        <f>IF('Step 4 - Vice President'!B25="","",IF('Step 4 - Vice President'!F25="","","Total"))</f>
        <v/>
      </c>
      <c r="P178" s="17" t="str">
        <f>IF('Step 4 - Vice President'!B25="","",IF('Step 4 - Vice President'!F25="","","&gt;="))</f>
        <v/>
      </c>
      <c r="Q178" s="18" t="str">
        <f>IF('Step 4 - Vice President'!B25="","",IF('Step 4 - Vice President'!F25="","",'Step 4 - Vice President'!F25))</f>
        <v/>
      </c>
      <c r="R178" s="18" t="str">
        <f>""</f>
        <v/>
      </c>
      <c r="S178" s="18" t="str">
        <f>""</f>
        <v/>
      </c>
      <c r="T178" s="18" t="str">
        <f>""</f>
        <v/>
      </c>
      <c r="U178" s="18" t="str">
        <f>IF('Step 4 - Vice President'!B25="","",'Step 4 - Vice President'!I25)</f>
        <v/>
      </c>
      <c r="V178" s="17" t="str">
        <f>IF('Step 4 - Vice President'!B25="","",'Step 4 - Vice President'!K25)</f>
        <v/>
      </c>
      <c r="W178" s="18" t="str">
        <f>IF('Step 4 - Vice President'!B25="","",'Step 4 - Vice President'!L25)</f>
        <v/>
      </c>
      <c r="X178" s="17" t="str">
        <f>IF('Step 4 - Vice President'!B25="","",'Step 4 - Vice President'!N25)</f>
        <v/>
      </c>
      <c r="Y178" s="18" t="str">
        <f>""</f>
        <v/>
      </c>
      <c r="Z178" s="18" t="str">
        <f>""</f>
        <v/>
      </c>
      <c r="AA178" s="18" t="str">
        <f>""</f>
        <v/>
      </c>
      <c r="AB178" s="18" t="str">
        <f>""</f>
        <v/>
      </c>
      <c r="AC178" s="18" t="str">
        <f>""</f>
        <v/>
      </c>
      <c r="AD178" s="18" t="str">
        <f>""</f>
        <v/>
      </c>
      <c r="AE178" s="18" t="str">
        <f>""</f>
        <v/>
      </c>
      <c r="AF178" s="18" t="str">
        <f>""</f>
        <v/>
      </c>
      <c r="AG178" s="18" t="str">
        <f>""</f>
        <v/>
      </c>
      <c r="AH178" s="18" t="str">
        <f>""</f>
        <v/>
      </c>
      <c r="AI178" s="18" t="str">
        <f>""</f>
        <v/>
      </c>
      <c r="AJ178" s="18" t="str">
        <f>""</f>
        <v/>
      </c>
      <c r="AK178" s="18" t="str">
        <f>""</f>
        <v/>
      </c>
      <c r="AL178" s="18" t="str">
        <f>""</f>
        <v/>
      </c>
      <c r="AM178" s="18" t="str">
        <f>""</f>
        <v/>
      </c>
    </row>
    <row r="179" spans="1:39" ht="15.75" customHeight="1" x14ac:dyDescent="0.25">
      <c r="A179" s="19" t="str">
        <f>IF('Step 4 - Vice President'!B26="","","Active")</f>
        <v/>
      </c>
      <c r="B179" s="20" t="str">
        <f>IF('Step 4 - Vice President'!B26="","",'Step 4 - Vice President'!B26)</f>
        <v/>
      </c>
      <c r="C179" s="20" t="str">
        <f>IF('Step 4 - Vice President'!B26="","",'Step 4 - Vice President'!B26)</f>
        <v/>
      </c>
      <c r="D179" s="19" t="str">
        <f>IF('Step 4 - Vice President'!B26="","",'Step 4 - Vice President'!G26)</f>
        <v/>
      </c>
      <c r="E179" s="19" t="str">
        <f>IF('Step 4 - Vice President'!B26="","",'Step 4 - Vice President'!H26)</f>
        <v/>
      </c>
      <c r="F179" s="20" t="str">
        <f>IF('Step 4 - Vice President'!B26="","",IF('Step 4 - Vice President'!C26="","","Fund Code"))</f>
        <v/>
      </c>
      <c r="G179" s="19" t="str">
        <f>IF('Step 4 - Vice President'!B26="","",IF('Step 4 - Vice President'!C26="","","Equals"))</f>
        <v/>
      </c>
      <c r="H179" s="20" t="str">
        <f>IF('Step 4 - Vice President'!B26="","",IF('Step 4 - Vice President'!C26="","",'Step 4 - Vice President'!C26))</f>
        <v/>
      </c>
      <c r="I179" s="20" t="str">
        <f>IF('Step 4 - Vice President'!B26="","","Organization Code")</f>
        <v/>
      </c>
      <c r="J179" s="19" t="str">
        <f>IF('Step 4 - Vice President'!B26="","","Equals")</f>
        <v/>
      </c>
      <c r="K179" s="20" t="str">
        <f>IF('Step 4 - Vice President'!B26="","",'Step 4 - Vice President'!D26)</f>
        <v/>
      </c>
      <c r="L179" s="20" t="str">
        <f>IF('Step 4 - Vice President'!B26="","","Other Criteria")</f>
        <v/>
      </c>
      <c r="M179" s="19" t="str">
        <f>IF('Step 4 - Vice President'!B26="","","Equals")</f>
        <v/>
      </c>
      <c r="N179" s="20" t="str">
        <f>IF('Step 4 - Vice President'!B26="","",'Step 4 - Vice President'!E26)</f>
        <v/>
      </c>
      <c r="O179" s="20" t="str">
        <f>IF('Step 4 - Vice President'!B26="","",IF('Step 4 - Vice President'!F26="","","Total"))</f>
        <v/>
      </c>
      <c r="P179" s="19" t="str">
        <f>IF('Step 4 - Vice President'!B26="","",IF('Step 4 - Vice President'!F26="","","&gt;="))</f>
        <v/>
      </c>
      <c r="Q179" s="20" t="str">
        <f>IF('Step 4 - Vice President'!B26="","",IF('Step 4 - Vice President'!F26="","",'Step 4 - Vice President'!F26))</f>
        <v/>
      </c>
      <c r="R179" s="20" t="str">
        <f>""</f>
        <v/>
      </c>
      <c r="S179" s="20" t="str">
        <f>""</f>
        <v/>
      </c>
      <c r="T179" s="20" t="str">
        <f>""</f>
        <v/>
      </c>
      <c r="U179" s="20" t="str">
        <f>IF('Step 4 - Vice President'!B26="","",'Step 4 - Vice President'!I26)</f>
        <v/>
      </c>
      <c r="V179" s="19" t="str">
        <f>IF('Step 4 - Vice President'!B26="","",'Step 4 - Vice President'!K26)</f>
        <v/>
      </c>
      <c r="W179" s="20" t="str">
        <f>IF('Step 4 - Vice President'!B26="","",'Step 4 - Vice President'!L26)</f>
        <v/>
      </c>
      <c r="X179" s="19" t="str">
        <f>IF('Step 4 - Vice President'!B26="","",'Step 4 - Vice President'!N26)</f>
        <v/>
      </c>
      <c r="Y179" s="20" t="str">
        <f>""</f>
        <v/>
      </c>
      <c r="Z179" s="20" t="str">
        <f>""</f>
        <v/>
      </c>
      <c r="AA179" s="20" t="str">
        <f>""</f>
        <v/>
      </c>
      <c r="AB179" s="20" t="str">
        <f>""</f>
        <v/>
      </c>
      <c r="AC179" s="20" t="str">
        <f>""</f>
        <v/>
      </c>
      <c r="AD179" s="20" t="str">
        <f>""</f>
        <v/>
      </c>
      <c r="AE179" s="20" t="str">
        <f>""</f>
        <v/>
      </c>
      <c r="AF179" s="20" t="str">
        <f>""</f>
        <v/>
      </c>
      <c r="AG179" s="20" t="str">
        <f>""</f>
        <v/>
      </c>
      <c r="AH179" s="20" t="str">
        <f>""</f>
        <v/>
      </c>
      <c r="AI179" s="20" t="str">
        <f>""</f>
        <v/>
      </c>
      <c r="AJ179" s="20" t="str">
        <f>""</f>
        <v/>
      </c>
      <c r="AK179" s="20" t="str">
        <f>""</f>
        <v/>
      </c>
      <c r="AL179" s="20" t="str">
        <f>""</f>
        <v/>
      </c>
      <c r="AM179" s="20" t="str">
        <f>""</f>
        <v/>
      </c>
    </row>
    <row r="180" spans="1:39" ht="15.75" customHeight="1" x14ac:dyDescent="0.25">
      <c r="A180" s="17" t="str">
        <f>IF('Step 4 - Vice President'!B27="","","Active")</f>
        <v/>
      </c>
      <c r="B180" s="18" t="str">
        <f>IF('Step 4 - Vice President'!B27="","",'Step 4 - Vice President'!B27)</f>
        <v/>
      </c>
      <c r="C180" s="18" t="str">
        <f>IF('Step 4 - Vice President'!B27="","",'Step 4 - Vice President'!B27)</f>
        <v/>
      </c>
      <c r="D180" s="17" t="str">
        <f>IF('Step 4 - Vice President'!B27="","",'Step 4 - Vice President'!G27)</f>
        <v/>
      </c>
      <c r="E180" s="17" t="str">
        <f>IF('Step 4 - Vice President'!B27="","",'Step 4 - Vice President'!H27)</f>
        <v/>
      </c>
      <c r="F180" s="18" t="str">
        <f>IF('Step 4 - Vice President'!B27="","",IF('Step 4 - Vice President'!C27="","","Fund Code"))</f>
        <v/>
      </c>
      <c r="G180" s="17" t="str">
        <f>IF('Step 4 - Vice President'!B27="","",IF('Step 4 - Vice President'!C27="","","Equals"))</f>
        <v/>
      </c>
      <c r="H180" s="18" t="str">
        <f>IF('Step 4 - Vice President'!B27="","",IF('Step 4 - Vice President'!C27="","",'Step 4 - Vice President'!C27))</f>
        <v/>
      </c>
      <c r="I180" s="18" t="str">
        <f>IF('Step 4 - Vice President'!B27="","","Organization Code")</f>
        <v/>
      </c>
      <c r="J180" s="17" t="str">
        <f>IF('Step 4 - Vice President'!B27="","","Equals")</f>
        <v/>
      </c>
      <c r="K180" s="18" t="str">
        <f>IF('Step 4 - Vice President'!B27="","",'Step 4 - Vice President'!D27)</f>
        <v/>
      </c>
      <c r="L180" s="18" t="str">
        <f>IF('Step 4 - Vice President'!B27="","","Other Criteria")</f>
        <v/>
      </c>
      <c r="M180" s="17" t="str">
        <f>IF('Step 4 - Vice President'!B27="","","Equals")</f>
        <v/>
      </c>
      <c r="N180" s="18" t="str">
        <f>IF('Step 4 - Vice President'!B27="","",'Step 4 - Vice President'!E27)</f>
        <v/>
      </c>
      <c r="O180" s="18" t="str">
        <f>IF('Step 4 - Vice President'!B27="","",IF('Step 4 - Vice President'!F27="","","Total"))</f>
        <v/>
      </c>
      <c r="P180" s="17" t="str">
        <f>IF('Step 4 - Vice President'!B27="","",IF('Step 4 - Vice President'!F27="","","&gt;="))</f>
        <v/>
      </c>
      <c r="Q180" s="18" t="str">
        <f>IF('Step 4 - Vice President'!B27="","",IF('Step 4 - Vice President'!F27="","",'Step 4 - Vice President'!F27))</f>
        <v/>
      </c>
      <c r="R180" s="18" t="str">
        <f>""</f>
        <v/>
      </c>
      <c r="S180" s="18" t="str">
        <f>""</f>
        <v/>
      </c>
      <c r="T180" s="18" t="str">
        <f>""</f>
        <v/>
      </c>
      <c r="U180" s="18" t="str">
        <f>IF('Step 4 - Vice President'!B27="","",'Step 4 - Vice President'!I27)</f>
        <v/>
      </c>
      <c r="V180" s="17" t="str">
        <f>IF('Step 4 - Vice President'!B27="","",'Step 4 - Vice President'!K27)</f>
        <v/>
      </c>
      <c r="W180" s="18" t="str">
        <f>IF('Step 4 - Vice President'!B27="","",'Step 4 - Vice President'!L27)</f>
        <v/>
      </c>
      <c r="X180" s="17" t="str">
        <f>IF('Step 4 - Vice President'!B27="","",'Step 4 - Vice President'!N27)</f>
        <v/>
      </c>
      <c r="Y180" s="18" t="str">
        <f>""</f>
        <v/>
      </c>
      <c r="Z180" s="18" t="str">
        <f>""</f>
        <v/>
      </c>
      <c r="AA180" s="18" t="str">
        <f>""</f>
        <v/>
      </c>
      <c r="AB180" s="18" t="str">
        <f>""</f>
        <v/>
      </c>
      <c r="AC180" s="18" t="str">
        <f>""</f>
        <v/>
      </c>
      <c r="AD180" s="18" t="str">
        <f>""</f>
        <v/>
      </c>
      <c r="AE180" s="18" t="str">
        <f>""</f>
        <v/>
      </c>
      <c r="AF180" s="18" t="str">
        <f>""</f>
        <v/>
      </c>
      <c r="AG180" s="18" t="str">
        <f>""</f>
        <v/>
      </c>
      <c r="AH180" s="18" t="str">
        <f>""</f>
        <v/>
      </c>
      <c r="AI180" s="18" t="str">
        <f>""</f>
        <v/>
      </c>
      <c r="AJ180" s="18" t="str">
        <f>""</f>
        <v/>
      </c>
      <c r="AK180" s="18" t="str">
        <f>""</f>
        <v/>
      </c>
      <c r="AL180" s="18" t="str">
        <f>""</f>
        <v/>
      </c>
      <c r="AM180" s="18" t="str">
        <f>""</f>
        <v/>
      </c>
    </row>
    <row r="181" spans="1:39" ht="15.75" customHeight="1" x14ac:dyDescent="0.25">
      <c r="A181" s="19" t="str">
        <f>IF('Step 4 - Vice President'!B28="","","Active")</f>
        <v/>
      </c>
      <c r="B181" s="20" t="str">
        <f>IF('Step 4 - Vice President'!B28="","",'Step 4 - Vice President'!B28)</f>
        <v/>
      </c>
      <c r="C181" s="20" t="str">
        <f>IF('Step 4 - Vice President'!B28="","",'Step 4 - Vice President'!B28)</f>
        <v/>
      </c>
      <c r="D181" s="19" t="str">
        <f>IF('Step 4 - Vice President'!B28="","",'Step 4 - Vice President'!G28)</f>
        <v/>
      </c>
      <c r="E181" s="19" t="str">
        <f>IF('Step 4 - Vice President'!B28="","",'Step 4 - Vice President'!H28)</f>
        <v/>
      </c>
      <c r="F181" s="20" t="str">
        <f>IF('Step 4 - Vice President'!B28="","",IF('Step 4 - Vice President'!C28="","","Fund Code"))</f>
        <v/>
      </c>
      <c r="G181" s="19" t="str">
        <f>IF('Step 4 - Vice President'!B28="","",IF('Step 4 - Vice President'!C28="","","Equals"))</f>
        <v/>
      </c>
      <c r="H181" s="20" t="str">
        <f>IF('Step 4 - Vice President'!B28="","",IF('Step 4 - Vice President'!C28="","",'Step 4 - Vice President'!C28))</f>
        <v/>
      </c>
      <c r="I181" s="20" t="str">
        <f>IF('Step 4 - Vice President'!B28="","","Organization Code")</f>
        <v/>
      </c>
      <c r="J181" s="19" t="str">
        <f>IF('Step 4 - Vice President'!B28="","","Equals")</f>
        <v/>
      </c>
      <c r="K181" s="20" t="str">
        <f>IF('Step 4 - Vice President'!B28="","",'Step 4 - Vice President'!D28)</f>
        <v/>
      </c>
      <c r="L181" s="20" t="str">
        <f>IF('Step 4 - Vice President'!B28="","","Other Criteria")</f>
        <v/>
      </c>
      <c r="M181" s="19" t="str">
        <f>IF('Step 4 - Vice President'!B28="","","Equals")</f>
        <v/>
      </c>
      <c r="N181" s="20" t="str">
        <f>IF('Step 4 - Vice President'!B28="","",'Step 4 - Vice President'!E28)</f>
        <v/>
      </c>
      <c r="O181" s="20" t="str">
        <f>IF('Step 4 - Vice President'!B28="","",IF('Step 4 - Vice President'!F28="","","Total"))</f>
        <v/>
      </c>
      <c r="P181" s="19" t="str">
        <f>IF('Step 4 - Vice President'!B28="","",IF('Step 4 - Vice President'!F28="","","&gt;="))</f>
        <v/>
      </c>
      <c r="Q181" s="20" t="str">
        <f>IF('Step 4 - Vice President'!B28="","",IF('Step 4 - Vice President'!F28="","",'Step 4 - Vice President'!F28))</f>
        <v/>
      </c>
      <c r="R181" s="20" t="str">
        <f>""</f>
        <v/>
      </c>
      <c r="S181" s="20" t="str">
        <f>""</f>
        <v/>
      </c>
      <c r="T181" s="20" t="str">
        <f>""</f>
        <v/>
      </c>
      <c r="U181" s="20" t="str">
        <f>IF('Step 4 - Vice President'!B28="","",'Step 4 - Vice President'!I28)</f>
        <v/>
      </c>
      <c r="V181" s="19" t="str">
        <f>IF('Step 4 - Vice President'!B28="","",'Step 4 - Vice President'!K28)</f>
        <v/>
      </c>
      <c r="W181" s="20" t="str">
        <f>IF('Step 4 - Vice President'!B28="","",'Step 4 - Vice President'!L28)</f>
        <v/>
      </c>
      <c r="X181" s="19" t="str">
        <f>IF('Step 4 - Vice President'!B28="","",'Step 4 - Vice President'!N28)</f>
        <v/>
      </c>
      <c r="Y181" s="20" t="str">
        <f>""</f>
        <v/>
      </c>
      <c r="Z181" s="20" t="str">
        <f>""</f>
        <v/>
      </c>
      <c r="AA181" s="20" t="str">
        <f>""</f>
        <v/>
      </c>
      <c r="AB181" s="20" t="str">
        <f>""</f>
        <v/>
      </c>
      <c r="AC181" s="20" t="str">
        <f>""</f>
        <v/>
      </c>
      <c r="AD181" s="20" t="str">
        <f>""</f>
        <v/>
      </c>
      <c r="AE181" s="20" t="str">
        <f>""</f>
        <v/>
      </c>
      <c r="AF181" s="20" t="str">
        <f>""</f>
        <v/>
      </c>
      <c r="AG181" s="20" t="str">
        <f>""</f>
        <v/>
      </c>
      <c r="AH181" s="20" t="str">
        <f>""</f>
        <v/>
      </c>
      <c r="AI181" s="20" t="str">
        <f>""</f>
        <v/>
      </c>
      <c r="AJ181" s="20" t="str">
        <f>""</f>
        <v/>
      </c>
      <c r="AK181" s="20" t="str">
        <f>""</f>
        <v/>
      </c>
      <c r="AL181" s="20" t="str">
        <f>""</f>
        <v/>
      </c>
      <c r="AM181" s="20" t="str">
        <f>""</f>
        <v/>
      </c>
    </row>
    <row r="182" spans="1:39" ht="15.75" customHeight="1" x14ac:dyDescent="0.25">
      <c r="A182" s="17" t="str">
        <f>IF('Step 4 - Vice President'!B29="","","Active")</f>
        <v/>
      </c>
      <c r="B182" s="18" t="str">
        <f>IF('Step 4 - Vice President'!B29="","",'Step 4 - Vice President'!B29)</f>
        <v/>
      </c>
      <c r="C182" s="18" t="str">
        <f>IF('Step 4 - Vice President'!B29="","",'Step 4 - Vice President'!B29)</f>
        <v/>
      </c>
      <c r="D182" s="17" t="str">
        <f>IF('Step 4 - Vice President'!B29="","",'Step 4 - Vice President'!G29)</f>
        <v/>
      </c>
      <c r="E182" s="17" t="str">
        <f>IF('Step 4 - Vice President'!B29="","",'Step 4 - Vice President'!H29)</f>
        <v/>
      </c>
      <c r="F182" s="18" t="str">
        <f>IF('Step 4 - Vice President'!B29="","",IF('Step 4 - Vice President'!C29="","","Fund Code"))</f>
        <v/>
      </c>
      <c r="G182" s="17" t="str">
        <f>IF('Step 4 - Vice President'!B29="","",IF('Step 4 - Vice President'!C29="","","Equals"))</f>
        <v/>
      </c>
      <c r="H182" s="18" t="str">
        <f>IF('Step 4 - Vice President'!B29="","",IF('Step 4 - Vice President'!C29="","",'Step 4 - Vice President'!C29))</f>
        <v/>
      </c>
      <c r="I182" s="18" t="str">
        <f>IF('Step 4 - Vice President'!B29="","","Organization Code")</f>
        <v/>
      </c>
      <c r="J182" s="17" t="str">
        <f>IF('Step 4 - Vice President'!B29="","","Equals")</f>
        <v/>
      </c>
      <c r="K182" s="18" t="str">
        <f>IF('Step 4 - Vice President'!B29="","",'Step 4 - Vice President'!D29)</f>
        <v/>
      </c>
      <c r="L182" s="18" t="str">
        <f>IF('Step 4 - Vice President'!B29="","","Other Criteria")</f>
        <v/>
      </c>
      <c r="M182" s="17" t="str">
        <f>IF('Step 4 - Vice President'!B29="","","Equals")</f>
        <v/>
      </c>
      <c r="N182" s="18" t="str">
        <f>IF('Step 4 - Vice President'!B29="","",'Step 4 - Vice President'!E29)</f>
        <v/>
      </c>
      <c r="O182" s="18" t="str">
        <f>IF('Step 4 - Vice President'!B29="","",IF('Step 4 - Vice President'!F29="","","Total"))</f>
        <v/>
      </c>
      <c r="P182" s="17" t="str">
        <f>IF('Step 4 - Vice President'!B29="","",IF('Step 4 - Vice President'!F29="","","&gt;="))</f>
        <v/>
      </c>
      <c r="Q182" s="18" t="str">
        <f>IF('Step 4 - Vice President'!B29="","",IF('Step 4 - Vice President'!F29="","",'Step 4 - Vice President'!F29))</f>
        <v/>
      </c>
      <c r="R182" s="18" t="str">
        <f>""</f>
        <v/>
      </c>
      <c r="S182" s="18" t="str">
        <f>""</f>
        <v/>
      </c>
      <c r="T182" s="18" t="str">
        <f>""</f>
        <v/>
      </c>
      <c r="U182" s="18" t="str">
        <f>IF('Step 4 - Vice President'!B29="","",'Step 4 - Vice President'!I29)</f>
        <v/>
      </c>
      <c r="V182" s="17" t="str">
        <f>IF('Step 4 - Vice President'!B29="","",'Step 4 - Vice President'!K29)</f>
        <v/>
      </c>
      <c r="W182" s="18" t="str">
        <f>IF('Step 4 - Vice President'!B29="","",'Step 4 - Vice President'!L29)</f>
        <v/>
      </c>
      <c r="X182" s="17" t="str">
        <f>IF('Step 4 - Vice President'!B29="","",'Step 4 - Vice President'!N29)</f>
        <v/>
      </c>
      <c r="Y182" s="18" t="str">
        <f>""</f>
        <v/>
      </c>
      <c r="Z182" s="18" t="str">
        <f>""</f>
        <v/>
      </c>
      <c r="AA182" s="18" t="str">
        <f>""</f>
        <v/>
      </c>
      <c r="AB182" s="18" t="str">
        <f>""</f>
        <v/>
      </c>
      <c r="AC182" s="18" t="str">
        <f>""</f>
        <v/>
      </c>
      <c r="AD182" s="18" t="str">
        <f>""</f>
        <v/>
      </c>
      <c r="AE182" s="18" t="str">
        <f>""</f>
        <v/>
      </c>
      <c r="AF182" s="18" t="str">
        <f>""</f>
        <v/>
      </c>
      <c r="AG182" s="18" t="str">
        <f>""</f>
        <v/>
      </c>
      <c r="AH182" s="18" t="str">
        <f>""</f>
        <v/>
      </c>
      <c r="AI182" s="18" t="str">
        <f>""</f>
        <v/>
      </c>
      <c r="AJ182" s="18" t="str">
        <f>""</f>
        <v/>
      </c>
      <c r="AK182" s="18" t="str">
        <f>""</f>
        <v/>
      </c>
      <c r="AL182" s="18" t="str">
        <f>""</f>
        <v/>
      </c>
      <c r="AM182" s="18" t="str">
        <f>""</f>
        <v/>
      </c>
    </row>
    <row r="183" spans="1:39" ht="15.75" customHeight="1" x14ac:dyDescent="0.25">
      <c r="A183" s="19" t="str">
        <f>IF('Step 4 - Vice President'!B30="","","Active")</f>
        <v/>
      </c>
      <c r="B183" s="20" t="str">
        <f>IF('Step 4 - Vice President'!B30="","",'Step 4 - Vice President'!B30)</f>
        <v/>
      </c>
      <c r="C183" s="20" t="str">
        <f>IF('Step 4 - Vice President'!B30="","",'Step 4 - Vice President'!B30)</f>
        <v/>
      </c>
      <c r="D183" s="19" t="str">
        <f>IF('Step 4 - Vice President'!B30="","",'Step 4 - Vice President'!G30)</f>
        <v/>
      </c>
      <c r="E183" s="19" t="str">
        <f>IF('Step 4 - Vice President'!B30="","",'Step 4 - Vice President'!H30)</f>
        <v/>
      </c>
      <c r="F183" s="20" t="str">
        <f>IF('Step 4 - Vice President'!B30="","",IF('Step 4 - Vice President'!C30="","","Fund Code"))</f>
        <v/>
      </c>
      <c r="G183" s="19" t="str">
        <f>IF('Step 4 - Vice President'!B30="","",IF('Step 4 - Vice President'!C30="","","Equals"))</f>
        <v/>
      </c>
      <c r="H183" s="20" t="str">
        <f>IF('Step 4 - Vice President'!B30="","",IF('Step 4 - Vice President'!C30="","",'Step 4 - Vice President'!C30))</f>
        <v/>
      </c>
      <c r="I183" s="20" t="str">
        <f>IF('Step 4 - Vice President'!B30="","","Organization Code")</f>
        <v/>
      </c>
      <c r="J183" s="19" t="str">
        <f>IF('Step 4 - Vice President'!B30="","","Equals")</f>
        <v/>
      </c>
      <c r="K183" s="20" t="str">
        <f>IF('Step 4 - Vice President'!B30="","",'Step 4 - Vice President'!D30)</f>
        <v/>
      </c>
      <c r="L183" s="20" t="str">
        <f>IF('Step 4 - Vice President'!B30="","","Other Criteria")</f>
        <v/>
      </c>
      <c r="M183" s="19" t="str">
        <f>IF('Step 4 - Vice President'!B30="","","Equals")</f>
        <v/>
      </c>
      <c r="N183" s="20" t="str">
        <f>IF('Step 4 - Vice President'!B30="","",'Step 4 - Vice President'!E30)</f>
        <v/>
      </c>
      <c r="O183" s="20" t="str">
        <f>IF('Step 4 - Vice President'!B30="","",IF('Step 4 - Vice President'!F30="","","Total"))</f>
        <v/>
      </c>
      <c r="P183" s="19" t="str">
        <f>IF('Step 4 - Vice President'!B30="","",IF('Step 4 - Vice President'!F30="","","&gt;="))</f>
        <v/>
      </c>
      <c r="Q183" s="20" t="str">
        <f>IF('Step 4 - Vice President'!B30="","",IF('Step 4 - Vice President'!F30="","",'Step 4 - Vice President'!F30))</f>
        <v/>
      </c>
      <c r="R183" s="20" t="str">
        <f>""</f>
        <v/>
      </c>
      <c r="S183" s="20" t="str">
        <f>""</f>
        <v/>
      </c>
      <c r="T183" s="20" t="str">
        <f>""</f>
        <v/>
      </c>
      <c r="U183" s="20" t="str">
        <f>IF('Step 4 - Vice President'!B30="","",'Step 4 - Vice President'!I30)</f>
        <v/>
      </c>
      <c r="V183" s="19" t="str">
        <f>IF('Step 4 - Vice President'!B30="","",'Step 4 - Vice President'!K30)</f>
        <v/>
      </c>
      <c r="W183" s="20" t="str">
        <f>IF('Step 4 - Vice President'!B30="","",'Step 4 - Vice President'!L30)</f>
        <v/>
      </c>
      <c r="X183" s="19" t="str">
        <f>IF('Step 4 - Vice President'!B30="","",'Step 4 - Vice President'!N30)</f>
        <v/>
      </c>
      <c r="Y183" s="20" t="str">
        <f>""</f>
        <v/>
      </c>
      <c r="Z183" s="20" t="str">
        <f>""</f>
        <v/>
      </c>
      <c r="AA183" s="20" t="str">
        <f>""</f>
        <v/>
      </c>
      <c r="AB183" s="20" t="str">
        <f>""</f>
        <v/>
      </c>
      <c r="AC183" s="20" t="str">
        <f>""</f>
        <v/>
      </c>
      <c r="AD183" s="20" t="str">
        <f>""</f>
        <v/>
      </c>
      <c r="AE183" s="20" t="str">
        <f>""</f>
        <v/>
      </c>
      <c r="AF183" s="20" t="str">
        <f>""</f>
        <v/>
      </c>
      <c r="AG183" s="20" t="str">
        <f>""</f>
        <v/>
      </c>
      <c r="AH183" s="20" t="str">
        <f>""</f>
        <v/>
      </c>
      <c r="AI183" s="20" t="str">
        <f>""</f>
        <v/>
      </c>
      <c r="AJ183" s="20" t="str">
        <f>""</f>
        <v/>
      </c>
      <c r="AK183" s="20" t="str">
        <f>""</f>
        <v/>
      </c>
      <c r="AL183" s="20" t="str">
        <f>""</f>
        <v/>
      </c>
      <c r="AM183" s="20" t="str">
        <f>""</f>
        <v/>
      </c>
    </row>
    <row r="184" spans="1:39" ht="15.75" customHeight="1" x14ac:dyDescent="0.25">
      <c r="A184" s="17" t="str">
        <f>IF('Step 4 - Vice President'!B31="","","Active")</f>
        <v/>
      </c>
      <c r="B184" s="18" t="str">
        <f>IF('Step 4 - Vice President'!B31="","",'Step 4 - Vice President'!B31)</f>
        <v/>
      </c>
      <c r="C184" s="18" t="str">
        <f>IF('Step 4 - Vice President'!B31="","",'Step 4 - Vice President'!B31)</f>
        <v/>
      </c>
      <c r="D184" s="17" t="str">
        <f>IF('Step 4 - Vice President'!B31="","",'Step 4 - Vice President'!G31)</f>
        <v/>
      </c>
      <c r="E184" s="17" t="str">
        <f>IF('Step 4 - Vice President'!B31="","",'Step 4 - Vice President'!H31)</f>
        <v/>
      </c>
      <c r="F184" s="18" t="str">
        <f>IF('Step 4 - Vice President'!B31="","",IF('Step 4 - Vice President'!C31="","","Fund Code"))</f>
        <v/>
      </c>
      <c r="G184" s="17" t="str">
        <f>IF('Step 4 - Vice President'!B31="","",IF('Step 4 - Vice President'!C31="","","Equals"))</f>
        <v/>
      </c>
      <c r="H184" s="18" t="str">
        <f>IF('Step 4 - Vice President'!B31="","",IF('Step 4 - Vice President'!C31="","",'Step 4 - Vice President'!C31))</f>
        <v/>
      </c>
      <c r="I184" s="18" t="str">
        <f>IF('Step 4 - Vice President'!B31="","","Organization Code")</f>
        <v/>
      </c>
      <c r="J184" s="17" t="str">
        <f>IF('Step 4 - Vice President'!B31="","","Equals")</f>
        <v/>
      </c>
      <c r="K184" s="18" t="str">
        <f>IF('Step 4 - Vice President'!B31="","",'Step 4 - Vice President'!D31)</f>
        <v/>
      </c>
      <c r="L184" s="18" t="str">
        <f>IF('Step 4 - Vice President'!B31="","","Other Criteria")</f>
        <v/>
      </c>
      <c r="M184" s="17" t="str">
        <f>IF('Step 4 - Vice President'!B31="","","Equals")</f>
        <v/>
      </c>
      <c r="N184" s="18" t="str">
        <f>IF('Step 4 - Vice President'!B31="","",'Step 4 - Vice President'!E31)</f>
        <v/>
      </c>
      <c r="O184" s="18" t="str">
        <f>IF('Step 4 - Vice President'!B31="","",IF('Step 4 - Vice President'!F31="","","Total"))</f>
        <v/>
      </c>
      <c r="P184" s="17" t="str">
        <f>IF('Step 4 - Vice President'!B31="","",IF('Step 4 - Vice President'!F31="","","&gt;="))</f>
        <v/>
      </c>
      <c r="Q184" s="18" t="str">
        <f>IF('Step 4 - Vice President'!B31="","",IF('Step 4 - Vice President'!F31="","",'Step 4 - Vice President'!F31))</f>
        <v/>
      </c>
      <c r="R184" s="18" t="str">
        <f>""</f>
        <v/>
      </c>
      <c r="S184" s="18" t="str">
        <f>""</f>
        <v/>
      </c>
      <c r="T184" s="18" t="str">
        <f>""</f>
        <v/>
      </c>
      <c r="U184" s="18" t="str">
        <f>IF('Step 4 - Vice President'!B31="","",'Step 4 - Vice President'!I31)</f>
        <v/>
      </c>
      <c r="V184" s="17" t="str">
        <f>IF('Step 4 - Vice President'!B31="","",'Step 4 - Vice President'!K31)</f>
        <v/>
      </c>
      <c r="W184" s="18" t="str">
        <f>IF('Step 4 - Vice President'!B31="","",'Step 4 - Vice President'!L31)</f>
        <v/>
      </c>
      <c r="X184" s="17" t="str">
        <f>IF('Step 4 - Vice President'!B31="","",'Step 4 - Vice President'!N31)</f>
        <v/>
      </c>
      <c r="Y184" s="18" t="str">
        <f>""</f>
        <v/>
      </c>
      <c r="Z184" s="18" t="str">
        <f>""</f>
        <v/>
      </c>
      <c r="AA184" s="18" t="str">
        <f>""</f>
        <v/>
      </c>
      <c r="AB184" s="18" t="str">
        <f>""</f>
        <v/>
      </c>
      <c r="AC184" s="18" t="str">
        <f>""</f>
        <v/>
      </c>
      <c r="AD184" s="18" t="str">
        <f>""</f>
        <v/>
      </c>
      <c r="AE184" s="18" t="str">
        <f>""</f>
        <v/>
      </c>
      <c r="AF184" s="18" t="str">
        <f>""</f>
        <v/>
      </c>
      <c r="AG184" s="18" t="str">
        <f>""</f>
        <v/>
      </c>
      <c r="AH184" s="18" t="str">
        <f>""</f>
        <v/>
      </c>
      <c r="AI184" s="18" t="str">
        <f>""</f>
        <v/>
      </c>
      <c r="AJ184" s="18" t="str">
        <f>""</f>
        <v/>
      </c>
      <c r="AK184" s="18" t="str">
        <f>""</f>
        <v/>
      </c>
      <c r="AL184" s="18" t="str">
        <f>""</f>
        <v/>
      </c>
      <c r="AM184" s="18" t="str">
        <f>""</f>
        <v/>
      </c>
    </row>
    <row r="185" spans="1:39" ht="15.75" customHeight="1" x14ac:dyDescent="0.25">
      <c r="A185" s="19" t="str">
        <f>IF('Step 4 - Vice President'!B32="","","Active")</f>
        <v/>
      </c>
      <c r="B185" s="20" t="str">
        <f>IF('Step 4 - Vice President'!B32="","",'Step 4 - Vice President'!B32)</f>
        <v/>
      </c>
      <c r="C185" s="20" t="str">
        <f>IF('Step 4 - Vice President'!B32="","",'Step 4 - Vice President'!B32)</f>
        <v/>
      </c>
      <c r="D185" s="19" t="str">
        <f>IF('Step 4 - Vice President'!B32="","",'Step 4 - Vice President'!G32)</f>
        <v/>
      </c>
      <c r="E185" s="19" t="str">
        <f>IF('Step 4 - Vice President'!B32="","",'Step 4 - Vice President'!H32)</f>
        <v/>
      </c>
      <c r="F185" s="20" t="str">
        <f>IF('Step 4 - Vice President'!B32="","",IF('Step 4 - Vice President'!C32="","","Fund Code"))</f>
        <v/>
      </c>
      <c r="G185" s="19" t="str">
        <f>IF('Step 4 - Vice President'!B32="","",IF('Step 4 - Vice President'!C32="","","Equals"))</f>
        <v/>
      </c>
      <c r="H185" s="20" t="str">
        <f>IF('Step 4 - Vice President'!B32="","",IF('Step 4 - Vice President'!C32="","",'Step 4 - Vice President'!C32))</f>
        <v/>
      </c>
      <c r="I185" s="20" t="str">
        <f>IF('Step 4 - Vice President'!B32="","","Organization Code")</f>
        <v/>
      </c>
      <c r="J185" s="19" t="str">
        <f>IF('Step 4 - Vice President'!B32="","","Equals")</f>
        <v/>
      </c>
      <c r="K185" s="20" t="str">
        <f>IF('Step 4 - Vice President'!B32="","",'Step 4 - Vice President'!D32)</f>
        <v/>
      </c>
      <c r="L185" s="20" t="str">
        <f>IF('Step 4 - Vice President'!B32="","","Other Criteria")</f>
        <v/>
      </c>
      <c r="M185" s="19" t="str">
        <f>IF('Step 4 - Vice President'!B32="","","Equals")</f>
        <v/>
      </c>
      <c r="N185" s="20" t="str">
        <f>IF('Step 4 - Vice President'!B32="","",'Step 4 - Vice President'!E32)</f>
        <v/>
      </c>
      <c r="O185" s="20" t="str">
        <f>IF('Step 4 - Vice President'!B32="","",IF('Step 4 - Vice President'!F32="","","Total"))</f>
        <v/>
      </c>
      <c r="P185" s="19" t="str">
        <f>IF('Step 4 - Vice President'!B32="","",IF('Step 4 - Vice President'!F32="","","&gt;="))</f>
        <v/>
      </c>
      <c r="Q185" s="20" t="str">
        <f>IF('Step 4 - Vice President'!B32="","",IF('Step 4 - Vice President'!F32="","",'Step 4 - Vice President'!F32))</f>
        <v/>
      </c>
      <c r="R185" s="20" t="str">
        <f>""</f>
        <v/>
      </c>
      <c r="S185" s="20" t="str">
        <f>""</f>
        <v/>
      </c>
      <c r="T185" s="20" t="str">
        <f>""</f>
        <v/>
      </c>
      <c r="U185" s="20" t="str">
        <f>IF('Step 4 - Vice President'!B32="","",'Step 4 - Vice President'!I32)</f>
        <v/>
      </c>
      <c r="V185" s="19" t="str">
        <f>IF('Step 4 - Vice President'!B32="","",'Step 4 - Vice President'!K32)</f>
        <v/>
      </c>
      <c r="W185" s="20" t="str">
        <f>IF('Step 4 - Vice President'!B32="","",'Step 4 - Vice President'!L32)</f>
        <v/>
      </c>
      <c r="X185" s="19" t="str">
        <f>IF('Step 4 - Vice President'!B32="","",'Step 4 - Vice President'!N32)</f>
        <v/>
      </c>
      <c r="Y185" s="20" t="str">
        <f>""</f>
        <v/>
      </c>
      <c r="Z185" s="20" t="str">
        <f>""</f>
        <v/>
      </c>
      <c r="AA185" s="20" t="str">
        <f>""</f>
        <v/>
      </c>
      <c r="AB185" s="20" t="str">
        <f>""</f>
        <v/>
      </c>
      <c r="AC185" s="20" t="str">
        <f>""</f>
        <v/>
      </c>
      <c r="AD185" s="20" t="str">
        <f>""</f>
        <v/>
      </c>
      <c r="AE185" s="20" t="str">
        <f>""</f>
        <v/>
      </c>
      <c r="AF185" s="20" t="str">
        <f>""</f>
        <v/>
      </c>
      <c r="AG185" s="20" t="str">
        <f>""</f>
        <v/>
      </c>
      <c r="AH185" s="20" t="str">
        <f>""</f>
        <v/>
      </c>
      <c r="AI185" s="20" t="str">
        <f>""</f>
        <v/>
      </c>
      <c r="AJ185" s="20" t="str">
        <f>""</f>
        <v/>
      </c>
      <c r="AK185" s="20" t="str">
        <f>""</f>
        <v/>
      </c>
      <c r="AL185" s="20" t="str">
        <f>""</f>
        <v/>
      </c>
      <c r="AM185" s="20" t="str">
        <f>""</f>
        <v/>
      </c>
    </row>
    <row r="186" spans="1:39" ht="15.75" customHeight="1" x14ac:dyDescent="0.25">
      <c r="A186" s="17" t="str">
        <f>IF('Step 4 - Vice President'!B33="","","Active")</f>
        <v/>
      </c>
      <c r="B186" s="18" t="str">
        <f>IF('Step 4 - Vice President'!B33="","",'Step 4 - Vice President'!B33)</f>
        <v/>
      </c>
      <c r="C186" s="18" t="str">
        <f>IF('Step 4 - Vice President'!B33="","",'Step 4 - Vice President'!B33)</f>
        <v/>
      </c>
      <c r="D186" s="17" t="str">
        <f>IF('Step 4 - Vice President'!B33="","",'Step 4 - Vice President'!G33)</f>
        <v/>
      </c>
      <c r="E186" s="17" t="str">
        <f>IF('Step 4 - Vice President'!B33="","",'Step 4 - Vice President'!H33)</f>
        <v/>
      </c>
      <c r="F186" s="18" t="str">
        <f>IF('Step 4 - Vice President'!B33="","",IF('Step 4 - Vice President'!C33="","","Fund Code"))</f>
        <v/>
      </c>
      <c r="G186" s="17" t="str">
        <f>IF('Step 4 - Vice President'!B33="","",IF('Step 4 - Vice President'!C33="","","Equals"))</f>
        <v/>
      </c>
      <c r="H186" s="18" t="str">
        <f>IF('Step 4 - Vice President'!B33="","",IF('Step 4 - Vice President'!C33="","",'Step 4 - Vice President'!C33))</f>
        <v/>
      </c>
      <c r="I186" s="18" t="str">
        <f>IF('Step 4 - Vice President'!B33="","","Organization Code")</f>
        <v/>
      </c>
      <c r="J186" s="17" t="str">
        <f>IF('Step 4 - Vice President'!B33="","","Equals")</f>
        <v/>
      </c>
      <c r="K186" s="18" t="str">
        <f>IF('Step 4 - Vice President'!B33="","",'Step 4 - Vice President'!D33)</f>
        <v/>
      </c>
      <c r="L186" s="18" t="str">
        <f>IF('Step 4 - Vice President'!B33="","","Other Criteria")</f>
        <v/>
      </c>
      <c r="M186" s="17" t="str">
        <f>IF('Step 4 - Vice President'!B33="","","Equals")</f>
        <v/>
      </c>
      <c r="N186" s="18" t="str">
        <f>IF('Step 4 - Vice President'!B33="","",'Step 4 - Vice President'!E33)</f>
        <v/>
      </c>
      <c r="O186" s="18" t="str">
        <f>IF('Step 4 - Vice President'!B33="","",IF('Step 4 - Vice President'!F33="","","Total"))</f>
        <v/>
      </c>
      <c r="P186" s="17" t="str">
        <f>IF('Step 4 - Vice President'!B33="","",IF('Step 4 - Vice President'!F33="","","&gt;="))</f>
        <v/>
      </c>
      <c r="Q186" s="18" t="str">
        <f>IF('Step 4 - Vice President'!B33="","",IF('Step 4 - Vice President'!F33="","",'Step 4 - Vice President'!F33))</f>
        <v/>
      </c>
      <c r="R186" s="18" t="str">
        <f>""</f>
        <v/>
      </c>
      <c r="S186" s="18" t="str">
        <f>""</f>
        <v/>
      </c>
      <c r="T186" s="18" t="str">
        <f>""</f>
        <v/>
      </c>
      <c r="U186" s="18" t="str">
        <f>IF('Step 4 - Vice President'!B33="","",'Step 4 - Vice President'!I33)</f>
        <v/>
      </c>
      <c r="V186" s="17" t="str">
        <f>IF('Step 4 - Vice President'!B33="","",'Step 4 - Vice President'!K33)</f>
        <v/>
      </c>
      <c r="W186" s="18" t="str">
        <f>IF('Step 4 - Vice President'!B33="","",'Step 4 - Vice President'!L33)</f>
        <v/>
      </c>
      <c r="X186" s="17" t="str">
        <f>IF('Step 4 - Vice President'!B33="","",'Step 4 - Vice President'!N33)</f>
        <v/>
      </c>
      <c r="Y186" s="18" t="str">
        <f>""</f>
        <v/>
      </c>
      <c r="Z186" s="18" t="str">
        <f>""</f>
        <v/>
      </c>
      <c r="AA186" s="18" t="str">
        <f>""</f>
        <v/>
      </c>
      <c r="AB186" s="18" t="str">
        <f>""</f>
        <v/>
      </c>
      <c r="AC186" s="18" t="str">
        <f>""</f>
        <v/>
      </c>
      <c r="AD186" s="18" t="str">
        <f>""</f>
        <v/>
      </c>
      <c r="AE186" s="18" t="str">
        <f>""</f>
        <v/>
      </c>
      <c r="AF186" s="18" t="str">
        <f>""</f>
        <v/>
      </c>
      <c r="AG186" s="18" t="str">
        <f>""</f>
        <v/>
      </c>
      <c r="AH186" s="18" t="str">
        <f>""</f>
        <v/>
      </c>
      <c r="AI186" s="18" t="str">
        <f>""</f>
        <v/>
      </c>
      <c r="AJ186" s="18" t="str">
        <f>""</f>
        <v/>
      </c>
      <c r="AK186" s="18" t="str">
        <f>""</f>
        <v/>
      </c>
      <c r="AL186" s="18" t="str">
        <f>""</f>
        <v/>
      </c>
      <c r="AM186" s="18" t="str">
        <f>""</f>
        <v/>
      </c>
    </row>
    <row r="187" spans="1:39" ht="15.75" customHeight="1" x14ac:dyDescent="0.25">
      <c r="A187" s="19" t="str">
        <f>IF('Step 4 - Vice President'!B34="","","Active")</f>
        <v/>
      </c>
      <c r="B187" s="20" t="str">
        <f>IF('Step 4 - Vice President'!B34="","",'Step 4 - Vice President'!B34)</f>
        <v/>
      </c>
      <c r="C187" s="20" t="str">
        <f>IF('Step 4 - Vice President'!B34="","",'Step 4 - Vice President'!B34)</f>
        <v/>
      </c>
      <c r="D187" s="19" t="str">
        <f>IF('Step 4 - Vice President'!B34="","",'Step 4 - Vice President'!G34)</f>
        <v/>
      </c>
      <c r="E187" s="19" t="str">
        <f>IF('Step 4 - Vice President'!B34="","",'Step 4 - Vice President'!H34)</f>
        <v/>
      </c>
      <c r="F187" s="20" t="str">
        <f>IF('Step 4 - Vice President'!B34="","",IF('Step 4 - Vice President'!C34="","","Fund Code"))</f>
        <v/>
      </c>
      <c r="G187" s="19" t="str">
        <f>IF('Step 4 - Vice President'!B34="","",IF('Step 4 - Vice President'!C34="","","Equals"))</f>
        <v/>
      </c>
      <c r="H187" s="20" t="str">
        <f>IF('Step 4 - Vice President'!B34="","",IF('Step 4 - Vice President'!C34="","",'Step 4 - Vice President'!C34))</f>
        <v/>
      </c>
      <c r="I187" s="20" t="str">
        <f>IF('Step 4 - Vice President'!B34="","","Organization Code")</f>
        <v/>
      </c>
      <c r="J187" s="19" t="str">
        <f>IF('Step 4 - Vice President'!B34="","","Equals")</f>
        <v/>
      </c>
      <c r="K187" s="20" t="str">
        <f>IF('Step 4 - Vice President'!B34="","",'Step 4 - Vice President'!D34)</f>
        <v/>
      </c>
      <c r="L187" s="20" t="str">
        <f>IF('Step 4 - Vice President'!B34="","","Other Criteria")</f>
        <v/>
      </c>
      <c r="M187" s="19" t="str">
        <f>IF('Step 4 - Vice President'!B34="","","Equals")</f>
        <v/>
      </c>
      <c r="N187" s="20" t="str">
        <f>IF('Step 4 - Vice President'!B34="","",'Step 4 - Vice President'!E34)</f>
        <v/>
      </c>
      <c r="O187" s="20" t="str">
        <f>IF('Step 4 - Vice President'!B34="","",IF('Step 4 - Vice President'!F34="","","Total"))</f>
        <v/>
      </c>
      <c r="P187" s="19" t="str">
        <f>IF('Step 4 - Vice President'!B34="","",IF('Step 4 - Vice President'!F34="","","&gt;="))</f>
        <v/>
      </c>
      <c r="Q187" s="20" t="str">
        <f>IF('Step 4 - Vice President'!B34="","",IF('Step 4 - Vice President'!F34="","",'Step 4 - Vice President'!F34))</f>
        <v/>
      </c>
      <c r="R187" s="20" t="str">
        <f>""</f>
        <v/>
      </c>
      <c r="S187" s="20" t="str">
        <f>""</f>
        <v/>
      </c>
      <c r="T187" s="20" t="str">
        <f>""</f>
        <v/>
      </c>
      <c r="U187" s="20" t="str">
        <f>IF('Step 4 - Vice President'!B34="","",'Step 4 - Vice President'!I34)</f>
        <v/>
      </c>
      <c r="V187" s="19" t="str">
        <f>IF('Step 4 - Vice President'!B34="","",'Step 4 - Vice President'!K34)</f>
        <v/>
      </c>
      <c r="W187" s="20" t="str">
        <f>IF('Step 4 - Vice President'!B34="","",'Step 4 - Vice President'!L34)</f>
        <v/>
      </c>
      <c r="X187" s="19" t="str">
        <f>IF('Step 4 - Vice President'!B34="","",'Step 4 - Vice President'!N34)</f>
        <v/>
      </c>
      <c r="Y187" s="20" t="str">
        <f>""</f>
        <v/>
      </c>
      <c r="Z187" s="20" t="str">
        <f>""</f>
        <v/>
      </c>
      <c r="AA187" s="20" t="str">
        <f>""</f>
        <v/>
      </c>
      <c r="AB187" s="20" t="str">
        <f>""</f>
        <v/>
      </c>
      <c r="AC187" s="20" t="str">
        <f>""</f>
        <v/>
      </c>
      <c r="AD187" s="20" t="str">
        <f>""</f>
        <v/>
      </c>
      <c r="AE187" s="20" t="str">
        <f>""</f>
        <v/>
      </c>
      <c r="AF187" s="20" t="str">
        <f>""</f>
        <v/>
      </c>
      <c r="AG187" s="20" t="str">
        <f>""</f>
        <v/>
      </c>
      <c r="AH187" s="20" t="str">
        <f>""</f>
        <v/>
      </c>
      <c r="AI187" s="20" t="str">
        <f>""</f>
        <v/>
      </c>
      <c r="AJ187" s="20" t="str">
        <f>""</f>
        <v/>
      </c>
      <c r="AK187" s="20" t="str">
        <f>""</f>
        <v/>
      </c>
      <c r="AL187" s="20" t="str">
        <f>""</f>
        <v/>
      </c>
      <c r="AM187" s="20" t="str">
        <f>""</f>
        <v/>
      </c>
    </row>
    <row r="188" spans="1:39" ht="15.75" customHeight="1" x14ac:dyDescent="0.25">
      <c r="A188" s="17" t="str">
        <f>IF('Step 4 - Vice President'!B35="","","Active")</f>
        <v/>
      </c>
      <c r="B188" s="18" t="str">
        <f>IF('Step 4 - Vice President'!B35="","",'Step 4 - Vice President'!B35)</f>
        <v/>
      </c>
      <c r="C188" s="18" t="str">
        <f>IF('Step 4 - Vice President'!B35="","",'Step 4 - Vice President'!B35)</f>
        <v/>
      </c>
      <c r="D188" s="17" t="str">
        <f>IF('Step 4 - Vice President'!B35="","",'Step 4 - Vice President'!G35)</f>
        <v/>
      </c>
      <c r="E188" s="17" t="str">
        <f>IF('Step 4 - Vice President'!B35="","",'Step 4 - Vice President'!H35)</f>
        <v/>
      </c>
      <c r="F188" s="18" t="str">
        <f>IF('Step 4 - Vice President'!B35="","",IF('Step 4 - Vice President'!C35="","","Fund Code"))</f>
        <v/>
      </c>
      <c r="G188" s="17" t="str">
        <f>IF('Step 4 - Vice President'!B35="","",IF('Step 4 - Vice President'!C35="","","Equals"))</f>
        <v/>
      </c>
      <c r="H188" s="18" t="str">
        <f>IF('Step 4 - Vice President'!B35="","",IF('Step 4 - Vice President'!C35="","",'Step 4 - Vice President'!C35))</f>
        <v/>
      </c>
      <c r="I188" s="18" t="str">
        <f>IF('Step 4 - Vice President'!B35="","","Organization Code")</f>
        <v/>
      </c>
      <c r="J188" s="17" t="str">
        <f>IF('Step 4 - Vice President'!B35="","","Equals")</f>
        <v/>
      </c>
      <c r="K188" s="18" t="str">
        <f>IF('Step 4 - Vice President'!B35="","",'Step 4 - Vice President'!D35)</f>
        <v/>
      </c>
      <c r="L188" s="18" t="str">
        <f>IF('Step 4 - Vice President'!B35="","","Other Criteria")</f>
        <v/>
      </c>
      <c r="M188" s="17" t="str">
        <f>IF('Step 4 - Vice President'!B35="","","Equals")</f>
        <v/>
      </c>
      <c r="N188" s="18" t="str">
        <f>IF('Step 4 - Vice President'!B35="","",'Step 4 - Vice President'!E35)</f>
        <v/>
      </c>
      <c r="O188" s="18" t="str">
        <f>IF('Step 4 - Vice President'!B35="","",IF('Step 4 - Vice President'!F35="","","Total"))</f>
        <v/>
      </c>
      <c r="P188" s="17" t="str">
        <f>IF('Step 4 - Vice President'!B35="","",IF('Step 4 - Vice President'!F35="","","&gt;="))</f>
        <v/>
      </c>
      <c r="Q188" s="18" t="str">
        <f>IF('Step 4 - Vice President'!B35="","",IF('Step 4 - Vice President'!F35="","",'Step 4 - Vice President'!F35))</f>
        <v/>
      </c>
      <c r="R188" s="18" t="str">
        <f>""</f>
        <v/>
      </c>
      <c r="S188" s="18" t="str">
        <f>""</f>
        <v/>
      </c>
      <c r="T188" s="18" t="str">
        <f>""</f>
        <v/>
      </c>
      <c r="U188" s="18" t="str">
        <f>IF('Step 4 - Vice President'!B35="","",'Step 4 - Vice President'!I35)</f>
        <v/>
      </c>
      <c r="V188" s="17" t="str">
        <f>IF('Step 4 - Vice President'!B35="","",'Step 4 - Vice President'!K35)</f>
        <v/>
      </c>
      <c r="W188" s="18" t="str">
        <f>IF('Step 4 - Vice President'!B35="","",'Step 4 - Vice President'!L35)</f>
        <v/>
      </c>
      <c r="X188" s="17" t="str">
        <f>IF('Step 4 - Vice President'!B35="","",'Step 4 - Vice President'!N35)</f>
        <v/>
      </c>
      <c r="Y188" s="18" t="str">
        <f>""</f>
        <v/>
      </c>
      <c r="Z188" s="18" t="str">
        <f>""</f>
        <v/>
      </c>
      <c r="AA188" s="18" t="str">
        <f>""</f>
        <v/>
      </c>
      <c r="AB188" s="18" t="str">
        <f>""</f>
        <v/>
      </c>
      <c r="AC188" s="18" t="str">
        <f>""</f>
        <v/>
      </c>
      <c r="AD188" s="18" t="str">
        <f>""</f>
        <v/>
      </c>
      <c r="AE188" s="18" t="str">
        <f>""</f>
        <v/>
      </c>
      <c r="AF188" s="18" t="str">
        <f>""</f>
        <v/>
      </c>
      <c r="AG188" s="18" t="str">
        <f>""</f>
        <v/>
      </c>
      <c r="AH188" s="18" t="str">
        <f>""</f>
        <v/>
      </c>
      <c r="AI188" s="18" t="str">
        <f>""</f>
        <v/>
      </c>
      <c r="AJ188" s="18" t="str">
        <f>""</f>
        <v/>
      </c>
      <c r="AK188" s="18" t="str">
        <f>""</f>
        <v/>
      </c>
      <c r="AL188" s="18" t="str">
        <f>""</f>
        <v/>
      </c>
      <c r="AM188" s="18" t="str">
        <f>""</f>
        <v/>
      </c>
    </row>
    <row r="189" spans="1:39" ht="15.75" customHeight="1" x14ac:dyDescent="0.25">
      <c r="A189" s="19" t="str">
        <f>IF('Step 4 - Vice President'!B36="","","Active")</f>
        <v/>
      </c>
      <c r="B189" s="20" t="str">
        <f>IF('Step 4 - Vice President'!B36="","",'Step 4 - Vice President'!B36)</f>
        <v/>
      </c>
      <c r="C189" s="20" t="str">
        <f>IF('Step 4 - Vice President'!B36="","",'Step 4 - Vice President'!B36)</f>
        <v/>
      </c>
      <c r="D189" s="19" t="str">
        <f>IF('Step 4 - Vice President'!B36="","",'Step 4 - Vice President'!G36)</f>
        <v/>
      </c>
      <c r="E189" s="19" t="str">
        <f>IF('Step 4 - Vice President'!B36="","",'Step 4 - Vice President'!H36)</f>
        <v/>
      </c>
      <c r="F189" s="20" t="str">
        <f>IF('Step 4 - Vice President'!B36="","",IF('Step 4 - Vice President'!C36="","","Fund Code"))</f>
        <v/>
      </c>
      <c r="G189" s="19" t="str">
        <f>IF('Step 4 - Vice President'!B36="","",IF('Step 4 - Vice President'!C36="","","Equals"))</f>
        <v/>
      </c>
      <c r="H189" s="20" t="str">
        <f>IF('Step 4 - Vice President'!B36="","",IF('Step 4 - Vice President'!C36="","",'Step 4 - Vice President'!C36))</f>
        <v/>
      </c>
      <c r="I189" s="20" t="str">
        <f>IF('Step 4 - Vice President'!B36="","","Organization Code")</f>
        <v/>
      </c>
      <c r="J189" s="19" t="str">
        <f>IF('Step 4 - Vice President'!B36="","","Equals")</f>
        <v/>
      </c>
      <c r="K189" s="20" t="str">
        <f>IF('Step 4 - Vice President'!B36="","",'Step 4 - Vice President'!D36)</f>
        <v/>
      </c>
      <c r="L189" s="20" t="str">
        <f>IF('Step 4 - Vice President'!B36="","","Other Criteria")</f>
        <v/>
      </c>
      <c r="M189" s="19" t="str">
        <f>IF('Step 4 - Vice President'!B36="","","Equals")</f>
        <v/>
      </c>
      <c r="N189" s="20" t="str">
        <f>IF('Step 4 - Vice President'!B36="","",'Step 4 - Vice President'!E36)</f>
        <v/>
      </c>
      <c r="O189" s="20" t="str">
        <f>IF('Step 4 - Vice President'!B36="","",IF('Step 4 - Vice President'!F36="","","Total"))</f>
        <v/>
      </c>
      <c r="P189" s="19" t="str">
        <f>IF('Step 4 - Vice President'!B36="","",IF('Step 4 - Vice President'!F36="","","&gt;="))</f>
        <v/>
      </c>
      <c r="Q189" s="20" t="str">
        <f>IF('Step 4 - Vice President'!B36="","",IF('Step 4 - Vice President'!F36="","",'Step 4 - Vice President'!F36))</f>
        <v/>
      </c>
      <c r="R189" s="20" t="str">
        <f>""</f>
        <v/>
      </c>
      <c r="S189" s="20" t="str">
        <f>""</f>
        <v/>
      </c>
      <c r="T189" s="20" t="str">
        <f>""</f>
        <v/>
      </c>
      <c r="U189" s="20" t="str">
        <f>IF('Step 4 - Vice President'!B36="","",'Step 4 - Vice President'!I36)</f>
        <v/>
      </c>
      <c r="V189" s="19" t="str">
        <f>IF('Step 4 - Vice President'!B36="","",'Step 4 - Vice President'!K36)</f>
        <v/>
      </c>
      <c r="W189" s="20" t="str">
        <f>IF('Step 4 - Vice President'!B36="","",'Step 4 - Vice President'!L36)</f>
        <v/>
      </c>
      <c r="X189" s="19" t="str">
        <f>IF('Step 4 - Vice President'!B36="","",'Step 4 - Vice President'!N36)</f>
        <v/>
      </c>
      <c r="Y189" s="20" t="str">
        <f>""</f>
        <v/>
      </c>
      <c r="Z189" s="20" t="str">
        <f>""</f>
        <v/>
      </c>
      <c r="AA189" s="20" t="str">
        <f>""</f>
        <v/>
      </c>
      <c r="AB189" s="20" t="str">
        <f>""</f>
        <v/>
      </c>
      <c r="AC189" s="20" t="str">
        <f>""</f>
        <v/>
      </c>
      <c r="AD189" s="20" t="str">
        <f>""</f>
        <v/>
      </c>
      <c r="AE189" s="20" t="str">
        <f>""</f>
        <v/>
      </c>
      <c r="AF189" s="20" t="str">
        <f>""</f>
        <v/>
      </c>
      <c r="AG189" s="20" t="str">
        <f>""</f>
        <v/>
      </c>
      <c r="AH189" s="20" t="str">
        <f>""</f>
        <v/>
      </c>
      <c r="AI189" s="20" t="str">
        <f>""</f>
        <v/>
      </c>
      <c r="AJ189" s="20" t="str">
        <f>""</f>
        <v/>
      </c>
      <c r="AK189" s="20" t="str">
        <f>""</f>
        <v/>
      </c>
      <c r="AL189" s="20" t="str">
        <f>""</f>
        <v/>
      </c>
      <c r="AM189" s="20" t="str">
        <f>""</f>
        <v/>
      </c>
    </row>
    <row r="190" spans="1:39" ht="15.75" customHeight="1" x14ac:dyDescent="0.25">
      <c r="A190" s="17" t="str">
        <f>IF('Step 4 - Vice President'!B37="","","Active")</f>
        <v/>
      </c>
      <c r="B190" s="18" t="str">
        <f>IF('Step 4 - Vice President'!B37="","",'Step 4 - Vice President'!B37)</f>
        <v/>
      </c>
      <c r="C190" s="18" t="str">
        <f>IF('Step 4 - Vice President'!B37="","",'Step 4 - Vice President'!B37)</f>
        <v/>
      </c>
      <c r="D190" s="17" t="str">
        <f>IF('Step 4 - Vice President'!B37="","",'Step 4 - Vice President'!G37)</f>
        <v/>
      </c>
      <c r="E190" s="17" t="str">
        <f>IF('Step 4 - Vice President'!B37="","",'Step 4 - Vice President'!H37)</f>
        <v/>
      </c>
      <c r="F190" s="18" t="str">
        <f>IF('Step 4 - Vice President'!B37="","",IF('Step 4 - Vice President'!C37="","","Fund Code"))</f>
        <v/>
      </c>
      <c r="G190" s="17" t="str">
        <f>IF('Step 4 - Vice President'!B37="","",IF('Step 4 - Vice President'!C37="","","Equals"))</f>
        <v/>
      </c>
      <c r="H190" s="18" t="str">
        <f>IF('Step 4 - Vice President'!B37="","",IF('Step 4 - Vice President'!C37="","",'Step 4 - Vice President'!C37))</f>
        <v/>
      </c>
      <c r="I190" s="18" t="str">
        <f>IF('Step 4 - Vice President'!B37="","","Organization Code")</f>
        <v/>
      </c>
      <c r="J190" s="17" t="str">
        <f>IF('Step 4 - Vice President'!B37="","","Equals")</f>
        <v/>
      </c>
      <c r="K190" s="18" t="str">
        <f>IF('Step 4 - Vice President'!B37="","",'Step 4 - Vice President'!D37)</f>
        <v/>
      </c>
      <c r="L190" s="18" t="str">
        <f>IF('Step 4 - Vice President'!B37="","","Other Criteria")</f>
        <v/>
      </c>
      <c r="M190" s="17" t="str">
        <f>IF('Step 4 - Vice President'!B37="","","Equals")</f>
        <v/>
      </c>
      <c r="N190" s="18" t="str">
        <f>IF('Step 4 - Vice President'!B37="","",'Step 4 - Vice President'!E37)</f>
        <v/>
      </c>
      <c r="O190" s="18" t="str">
        <f>IF('Step 4 - Vice President'!B37="","",IF('Step 4 - Vice President'!F37="","","Total"))</f>
        <v/>
      </c>
      <c r="P190" s="17" t="str">
        <f>IF('Step 4 - Vice President'!B37="","",IF('Step 4 - Vice President'!F37="","","&gt;="))</f>
        <v/>
      </c>
      <c r="Q190" s="18" t="str">
        <f>IF('Step 4 - Vice President'!B37="","",IF('Step 4 - Vice President'!F37="","",'Step 4 - Vice President'!F37))</f>
        <v/>
      </c>
      <c r="R190" s="18" t="str">
        <f>""</f>
        <v/>
      </c>
      <c r="S190" s="18" t="str">
        <f>""</f>
        <v/>
      </c>
      <c r="T190" s="18" t="str">
        <f>""</f>
        <v/>
      </c>
      <c r="U190" s="18" t="str">
        <f>IF('Step 4 - Vice President'!B37="","",'Step 4 - Vice President'!I37)</f>
        <v/>
      </c>
      <c r="V190" s="17" t="str">
        <f>IF('Step 4 - Vice President'!B37="","",'Step 4 - Vice President'!K37)</f>
        <v/>
      </c>
      <c r="W190" s="18" t="str">
        <f>IF('Step 4 - Vice President'!B37="","",'Step 4 - Vice President'!L37)</f>
        <v/>
      </c>
      <c r="X190" s="17" t="str">
        <f>IF('Step 4 - Vice President'!B37="","",'Step 4 - Vice President'!N37)</f>
        <v/>
      </c>
      <c r="Y190" s="18" t="str">
        <f>""</f>
        <v/>
      </c>
      <c r="Z190" s="18" t="str">
        <f>""</f>
        <v/>
      </c>
      <c r="AA190" s="18" t="str">
        <f>""</f>
        <v/>
      </c>
      <c r="AB190" s="18" t="str">
        <f>""</f>
        <v/>
      </c>
      <c r="AC190" s="18" t="str">
        <f>""</f>
        <v/>
      </c>
      <c r="AD190" s="18" t="str">
        <f>""</f>
        <v/>
      </c>
      <c r="AE190" s="18" t="str">
        <f>""</f>
        <v/>
      </c>
      <c r="AF190" s="18" t="str">
        <f>""</f>
        <v/>
      </c>
      <c r="AG190" s="18" t="str">
        <f>""</f>
        <v/>
      </c>
      <c r="AH190" s="18" t="str">
        <f>""</f>
        <v/>
      </c>
      <c r="AI190" s="18" t="str">
        <f>""</f>
        <v/>
      </c>
      <c r="AJ190" s="18" t="str">
        <f>""</f>
        <v/>
      </c>
      <c r="AK190" s="18" t="str">
        <f>""</f>
        <v/>
      </c>
      <c r="AL190" s="18" t="str">
        <f>""</f>
        <v/>
      </c>
      <c r="AM190" s="18" t="str">
        <f>""</f>
        <v/>
      </c>
    </row>
    <row r="191" spans="1:39" ht="15.75" customHeight="1" x14ac:dyDescent="0.25">
      <c r="A191" s="19" t="str">
        <f>IF('Step 4 - Vice President'!B38="","","Active")</f>
        <v/>
      </c>
      <c r="B191" s="20" t="str">
        <f>IF('Step 4 - Vice President'!B38="","",'Step 4 - Vice President'!B38)</f>
        <v/>
      </c>
      <c r="C191" s="20" t="str">
        <f>IF('Step 4 - Vice President'!B38="","",'Step 4 - Vice President'!B38)</f>
        <v/>
      </c>
      <c r="D191" s="19" t="str">
        <f>IF('Step 4 - Vice President'!B38="","",'Step 4 - Vice President'!G38)</f>
        <v/>
      </c>
      <c r="E191" s="19" t="str">
        <f>IF('Step 4 - Vice President'!B38="","",'Step 4 - Vice President'!H38)</f>
        <v/>
      </c>
      <c r="F191" s="20" t="str">
        <f>IF('Step 4 - Vice President'!B38="","",IF('Step 4 - Vice President'!C38="","","Fund Code"))</f>
        <v/>
      </c>
      <c r="G191" s="19" t="str">
        <f>IF('Step 4 - Vice President'!B38="","",IF('Step 4 - Vice President'!C38="","","Equals"))</f>
        <v/>
      </c>
      <c r="H191" s="20" t="str">
        <f>IF('Step 4 - Vice President'!B38="","",IF('Step 4 - Vice President'!C38="","",'Step 4 - Vice President'!C38))</f>
        <v/>
      </c>
      <c r="I191" s="20" t="str">
        <f>IF('Step 4 - Vice President'!B38="","","Organization Code")</f>
        <v/>
      </c>
      <c r="J191" s="19" t="str">
        <f>IF('Step 4 - Vice President'!B38="","","Equals")</f>
        <v/>
      </c>
      <c r="K191" s="20" t="str">
        <f>IF('Step 4 - Vice President'!B38="","",'Step 4 - Vice President'!D38)</f>
        <v/>
      </c>
      <c r="L191" s="20" t="str">
        <f>IF('Step 4 - Vice President'!B38="","","Other Criteria")</f>
        <v/>
      </c>
      <c r="M191" s="19" t="str">
        <f>IF('Step 4 - Vice President'!B38="","","Equals")</f>
        <v/>
      </c>
      <c r="N191" s="20" t="str">
        <f>IF('Step 4 - Vice President'!B38="","",'Step 4 - Vice President'!E38)</f>
        <v/>
      </c>
      <c r="O191" s="20" t="str">
        <f>IF('Step 4 - Vice President'!B38="","",IF('Step 4 - Vice President'!F38="","","Total"))</f>
        <v/>
      </c>
      <c r="P191" s="19" t="str">
        <f>IF('Step 4 - Vice President'!B38="","",IF('Step 4 - Vice President'!F38="","","&gt;="))</f>
        <v/>
      </c>
      <c r="Q191" s="20" t="str">
        <f>IF('Step 4 - Vice President'!B38="","",IF('Step 4 - Vice President'!F38="","",'Step 4 - Vice President'!F38))</f>
        <v/>
      </c>
      <c r="R191" s="20" t="str">
        <f>""</f>
        <v/>
      </c>
      <c r="S191" s="20" t="str">
        <f>""</f>
        <v/>
      </c>
      <c r="T191" s="20" t="str">
        <f>""</f>
        <v/>
      </c>
      <c r="U191" s="20" t="str">
        <f>IF('Step 4 - Vice President'!B38="","",'Step 4 - Vice President'!I38)</f>
        <v/>
      </c>
      <c r="V191" s="19" t="str">
        <f>IF('Step 4 - Vice President'!B38="","",'Step 4 - Vice President'!K38)</f>
        <v/>
      </c>
      <c r="W191" s="20" t="str">
        <f>IF('Step 4 - Vice President'!B38="","",'Step 4 - Vice President'!L38)</f>
        <v/>
      </c>
      <c r="X191" s="19" t="str">
        <f>IF('Step 4 - Vice President'!B38="","",'Step 4 - Vice President'!N38)</f>
        <v/>
      </c>
      <c r="Y191" s="20" t="str">
        <f>""</f>
        <v/>
      </c>
      <c r="Z191" s="20" t="str">
        <f>""</f>
        <v/>
      </c>
      <c r="AA191" s="20" t="str">
        <f>""</f>
        <v/>
      </c>
      <c r="AB191" s="20" t="str">
        <f>""</f>
        <v/>
      </c>
      <c r="AC191" s="20" t="str">
        <f>""</f>
        <v/>
      </c>
      <c r="AD191" s="20" t="str">
        <f>""</f>
        <v/>
      </c>
      <c r="AE191" s="20" t="str">
        <f>""</f>
        <v/>
      </c>
      <c r="AF191" s="20" t="str">
        <f>""</f>
        <v/>
      </c>
      <c r="AG191" s="20" t="str">
        <f>""</f>
        <v/>
      </c>
      <c r="AH191" s="20" t="str">
        <f>""</f>
        <v/>
      </c>
      <c r="AI191" s="20" t="str">
        <f>""</f>
        <v/>
      </c>
      <c r="AJ191" s="20" t="str">
        <f>""</f>
        <v/>
      </c>
      <c r="AK191" s="20" t="str">
        <f>""</f>
        <v/>
      </c>
      <c r="AL191" s="20" t="str">
        <f>""</f>
        <v/>
      </c>
      <c r="AM191" s="20" t="str">
        <f>""</f>
        <v/>
      </c>
    </row>
    <row r="192" spans="1:39" ht="15.75" customHeight="1" x14ac:dyDescent="0.25">
      <c r="A192" s="17" t="str">
        <f>IF('Step 4 - Vice President'!B39="","","Active")</f>
        <v/>
      </c>
      <c r="B192" s="18" t="str">
        <f>IF('Step 4 - Vice President'!B39="","",'Step 4 - Vice President'!B39)</f>
        <v/>
      </c>
      <c r="C192" s="18" t="str">
        <f>IF('Step 4 - Vice President'!B39="","",'Step 4 - Vice President'!B39)</f>
        <v/>
      </c>
      <c r="D192" s="17" t="str">
        <f>IF('Step 4 - Vice President'!B39="","",'Step 4 - Vice President'!G39)</f>
        <v/>
      </c>
      <c r="E192" s="17" t="str">
        <f>IF('Step 4 - Vice President'!B39="","",'Step 4 - Vice President'!H39)</f>
        <v/>
      </c>
      <c r="F192" s="18" t="str">
        <f>IF('Step 4 - Vice President'!B39="","",IF('Step 4 - Vice President'!C39="","","Fund Code"))</f>
        <v/>
      </c>
      <c r="G192" s="17" t="str">
        <f>IF('Step 4 - Vice President'!B39="","",IF('Step 4 - Vice President'!C39="","","Equals"))</f>
        <v/>
      </c>
      <c r="H192" s="18" t="str">
        <f>IF('Step 4 - Vice President'!B39="","",IF('Step 4 - Vice President'!C39="","",'Step 4 - Vice President'!C39))</f>
        <v/>
      </c>
      <c r="I192" s="18" t="str">
        <f>IF('Step 4 - Vice President'!B39="","","Organization Code")</f>
        <v/>
      </c>
      <c r="J192" s="17" t="str">
        <f>IF('Step 4 - Vice President'!B39="","","Equals")</f>
        <v/>
      </c>
      <c r="K192" s="18" t="str">
        <f>IF('Step 4 - Vice President'!B39="","",'Step 4 - Vice President'!D39)</f>
        <v/>
      </c>
      <c r="L192" s="18" t="str">
        <f>IF('Step 4 - Vice President'!B39="","","Other Criteria")</f>
        <v/>
      </c>
      <c r="M192" s="17" t="str">
        <f>IF('Step 4 - Vice President'!B39="","","Equals")</f>
        <v/>
      </c>
      <c r="N192" s="18" t="str">
        <f>IF('Step 4 - Vice President'!B39="","",'Step 4 - Vice President'!E39)</f>
        <v/>
      </c>
      <c r="O192" s="18" t="str">
        <f>IF('Step 4 - Vice President'!B39="","",IF('Step 4 - Vice President'!F39="","","Total"))</f>
        <v/>
      </c>
      <c r="P192" s="17" t="str">
        <f>IF('Step 4 - Vice President'!B39="","",IF('Step 4 - Vice President'!F39="","","&gt;="))</f>
        <v/>
      </c>
      <c r="Q192" s="18" t="str">
        <f>IF('Step 4 - Vice President'!B39="","",IF('Step 4 - Vice President'!F39="","",'Step 4 - Vice President'!F39))</f>
        <v/>
      </c>
      <c r="R192" s="18" t="str">
        <f>""</f>
        <v/>
      </c>
      <c r="S192" s="18" t="str">
        <f>""</f>
        <v/>
      </c>
      <c r="T192" s="18" t="str">
        <f>""</f>
        <v/>
      </c>
      <c r="U192" s="18" t="str">
        <f>IF('Step 4 - Vice President'!B39="","",'Step 4 - Vice President'!I39)</f>
        <v/>
      </c>
      <c r="V192" s="17" t="str">
        <f>IF('Step 4 - Vice President'!B39="","",'Step 4 - Vice President'!K39)</f>
        <v/>
      </c>
      <c r="W192" s="18" t="str">
        <f>IF('Step 4 - Vice President'!B39="","",'Step 4 - Vice President'!L39)</f>
        <v/>
      </c>
      <c r="X192" s="17" t="str">
        <f>IF('Step 4 - Vice President'!B39="","",'Step 4 - Vice President'!N39)</f>
        <v/>
      </c>
      <c r="Y192" s="18" t="str">
        <f>""</f>
        <v/>
      </c>
      <c r="Z192" s="18" t="str">
        <f>""</f>
        <v/>
      </c>
      <c r="AA192" s="18" t="str">
        <f>""</f>
        <v/>
      </c>
      <c r="AB192" s="18" t="str">
        <f>""</f>
        <v/>
      </c>
      <c r="AC192" s="18" t="str">
        <f>""</f>
        <v/>
      </c>
      <c r="AD192" s="18" t="str">
        <f>""</f>
        <v/>
      </c>
      <c r="AE192" s="18" t="str">
        <f>""</f>
        <v/>
      </c>
      <c r="AF192" s="18" t="str">
        <f>""</f>
        <v/>
      </c>
      <c r="AG192" s="18" t="str">
        <f>""</f>
        <v/>
      </c>
      <c r="AH192" s="18" t="str">
        <f>""</f>
        <v/>
      </c>
      <c r="AI192" s="18" t="str">
        <f>""</f>
        <v/>
      </c>
      <c r="AJ192" s="18" t="str">
        <f>""</f>
        <v/>
      </c>
      <c r="AK192" s="18" t="str">
        <f>""</f>
        <v/>
      </c>
      <c r="AL192" s="18" t="str">
        <f>""</f>
        <v/>
      </c>
      <c r="AM192" s="18" t="str">
        <f>""</f>
        <v/>
      </c>
    </row>
    <row r="193" spans="1:39" ht="15.75" customHeight="1" x14ac:dyDescent="0.25">
      <c r="A193" s="19" t="str">
        <f>IF('Step 4 - Vice President'!B40="","","Active")</f>
        <v/>
      </c>
      <c r="B193" s="20" t="str">
        <f>IF('Step 4 - Vice President'!B40="","",'Step 4 - Vice President'!B40)</f>
        <v/>
      </c>
      <c r="C193" s="20" t="str">
        <f>IF('Step 4 - Vice President'!B40="","",'Step 4 - Vice President'!B40)</f>
        <v/>
      </c>
      <c r="D193" s="19" t="str">
        <f>IF('Step 4 - Vice President'!B40="","",'Step 4 - Vice President'!G40)</f>
        <v/>
      </c>
      <c r="E193" s="19" t="str">
        <f>IF('Step 4 - Vice President'!B40="","",'Step 4 - Vice President'!H40)</f>
        <v/>
      </c>
      <c r="F193" s="20" t="str">
        <f>IF('Step 4 - Vice President'!B40="","",IF('Step 4 - Vice President'!C40="","","Fund Code"))</f>
        <v/>
      </c>
      <c r="G193" s="19" t="str">
        <f>IF('Step 4 - Vice President'!B40="","",IF('Step 4 - Vice President'!C40="","","Equals"))</f>
        <v/>
      </c>
      <c r="H193" s="20" t="str">
        <f>IF('Step 4 - Vice President'!B40="","",IF('Step 4 - Vice President'!C40="","",'Step 4 - Vice President'!C40))</f>
        <v/>
      </c>
      <c r="I193" s="20" t="str">
        <f>IF('Step 4 - Vice President'!B40="","","Organization Code")</f>
        <v/>
      </c>
      <c r="J193" s="19" t="str">
        <f>IF('Step 4 - Vice President'!B40="","","Equals")</f>
        <v/>
      </c>
      <c r="K193" s="20" t="str">
        <f>IF('Step 4 - Vice President'!B40="","",'Step 4 - Vice President'!D40)</f>
        <v/>
      </c>
      <c r="L193" s="20" t="str">
        <f>IF('Step 4 - Vice President'!B40="","","Other Criteria")</f>
        <v/>
      </c>
      <c r="M193" s="19" t="str">
        <f>IF('Step 4 - Vice President'!B40="","","Equals")</f>
        <v/>
      </c>
      <c r="N193" s="20" t="str">
        <f>IF('Step 4 - Vice President'!B40="","",'Step 4 - Vice President'!E40)</f>
        <v/>
      </c>
      <c r="O193" s="20" t="str">
        <f>IF('Step 4 - Vice President'!B40="","",IF('Step 4 - Vice President'!F40="","","Total"))</f>
        <v/>
      </c>
      <c r="P193" s="19" t="str">
        <f>IF('Step 4 - Vice President'!B40="","",IF('Step 4 - Vice President'!F40="","","&gt;="))</f>
        <v/>
      </c>
      <c r="Q193" s="20" t="str">
        <f>IF('Step 4 - Vice President'!B40="","",IF('Step 4 - Vice President'!F40="","",'Step 4 - Vice President'!F40))</f>
        <v/>
      </c>
      <c r="R193" s="20" t="str">
        <f>""</f>
        <v/>
      </c>
      <c r="S193" s="20" t="str">
        <f>""</f>
        <v/>
      </c>
      <c r="T193" s="20" t="str">
        <f>""</f>
        <v/>
      </c>
      <c r="U193" s="20" t="str">
        <f>IF('Step 4 - Vice President'!B40="","",'Step 4 - Vice President'!I40)</f>
        <v/>
      </c>
      <c r="V193" s="19" t="str">
        <f>IF('Step 4 - Vice President'!B40="","",'Step 4 - Vice President'!K40)</f>
        <v/>
      </c>
      <c r="W193" s="20" t="str">
        <f>IF('Step 4 - Vice President'!B40="","",'Step 4 - Vice President'!L40)</f>
        <v/>
      </c>
      <c r="X193" s="19" t="str">
        <f>IF('Step 4 - Vice President'!B40="","",'Step 4 - Vice President'!N40)</f>
        <v/>
      </c>
      <c r="Y193" s="20" t="str">
        <f>""</f>
        <v/>
      </c>
      <c r="Z193" s="20" t="str">
        <f>""</f>
        <v/>
      </c>
      <c r="AA193" s="20" t="str">
        <f>""</f>
        <v/>
      </c>
      <c r="AB193" s="20" t="str">
        <f>""</f>
        <v/>
      </c>
      <c r="AC193" s="20" t="str">
        <f>""</f>
        <v/>
      </c>
      <c r="AD193" s="20" t="str">
        <f>""</f>
        <v/>
      </c>
      <c r="AE193" s="20" t="str">
        <f>""</f>
        <v/>
      </c>
      <c r="AF193" s="20" t="str">
        <f>""</f>
        <v/>
      </c>
      <c r="AG193" s="20" t="str">
        <f>""</f>
        <v/>
      </c>
      <c r="AH193" s="20" t="str">
        <f>""</f>
        <v/>
      </c>
      <c r="AI193" s="20" t="str">
        <f>""</f>
        <v/>
      </c>
      <c r="AJ193" s="20" t="str">
        <f>""</f>
        <v/>
      </c>
      <c r="AK193" s="20" t="str">
        <f>""</f>
        <v/>
      </c>
      <c r="AL193" s="20" t="str">
        <f>""</f>
        <v/>
      </c>
      <c r="AM193" s="20" t="str">
        <f>""</f>
        <v/>
      </c>
    </row>
    <row r="194" spans="1:39" ht="15.75" customHeight="1" x14ac:dyDescent="0.25">
      <c r="A194" s="17" t="str">
        <f>IF('Step 4 - Vice President'!B41="","","Active")</f>
        <v/>
      </c>
      <c r="B194" s="18" t="str">
        <f>IF('Step 4 - Vice President'!B41="","",'Step 4 - Vice President'!B41)</f>
        <v/>
      </c>
      <c r="C194" s="18" t="str">
        <f>IF('Step 4 - Vice President'!B41="","",'Step 4 - Vice President'!B41)</f>
        <v/>
      </c>
      <c r="D194" s="17" t="str">
        <f>IF('Step 4 - Vice President'!B41="","",'Step 4 - Vice President'!G41)</f>
        <v/>
      </c>
      <c r="E194" s="17" t="str">
        <f>IF('Step 4 - Vice President'!B41="","",'Step 4 - Vice President'!H41)</f>
        <v/>
      </c>
      <c r="F194" s="18" t="str">
        <f>IF('Step 4 - Vice President'!B41="","",IF('Step 4 - Vice President'!C41="","","Fund Code"))</f>
        <v/>
      </c>
      <c r="G194" s="17" t="str">
        <f>IF('Step 4 - Vice President'!B41="","",IF('Step 4 - Vice President'!C41="","","Equals"))</f>
        <v/>
      </c>
      <c r="H194" s="18" t="str">
        <f>IF('Step 4 - Vice President'!B41="","",IF('Step 4 - Vice President'!C41="","",'Step 4 - Vice President'!C41))</f>
        <v/>
      </c>
      <c r="I194" s="18" t="str">
        <f>IF('Step 4 - Vice President'!B41="","","Organization Code")</f>
        <v/>
      </c>
      <c r="J194" s="17" t="str">
        <f>IF('Step 4 - Vice President'!B41="","","Equals")</f>
        <v/>
      </c>
      <c r="K194" s="18" t="str">
        <f>IF('Step 4 - Vice President'!B41="","",'Step 4 - Vice President'!D41)</f>
        <v/>
      </c>
      <c r="L194" s="18" t="str">
        <f>IF('Step 4 - Vice President'!B41="","","Other Criteria")</f>
        <v/>
      </c>
      <c r="M194" s="17" t="str">
        <f>IF('Step 4 - Vice President'!B41="","","Equals")</f>
        <v/>
      </c>
      <c r="N194" s="18" t="str">
        <f>IF('Step 4 - Vice President'!B41="","",'Step 4 - Vice President'!E41)</f>
        <v/>
      </c>
      <c r="O194" s="18" t="str">
        <f>IF('Step 4 - Vice President'!B41="","",IF('Step 4 - Vice President'!F41="","","Total"))</f>
        <v/>
      </c>
      <c r="P194" s="17" t="str">
        <f>IF('Step 4 - Vice President'!B41="","",IF('Step 4 - Vice President'!F41="","","&gt;="))</f>
        <v/>
      </c>
      <c r="Q194" s="18" t="str">
        <f>IF('Step 4 - Vice President'!B41="","",IF('Step 4 - Vice President'!F41="","",'Step 4 - Vice President'!F41))</f>
        <v/>
      </c>
      <c r="R194" s="18" t="str">
        <f>""</f>
        <v/>
      </c>
      <c r="S194" s="18" t="str">
        <f>""</f>
        <v/>
      </c>
      <c r="T194" s="18" t="str">
        <f>""</f>
        <v/>
      </c>
      <c r="U194" s="18" t="str">
        <f>IF('Step 4 - Vice President'!B41="","",'Step 4 - Vice President'!I41)</f>
        <v/>
      </c>
      <c r="V194" s="17" t="str">
        <f>IF('Step 4 - Vice President'!B41="","",'Step 4 - Vice President'!K41)</f>
        <v/>
      </c>
      <c r="W194" s="18" t="str">
        <f>IF('Step 4 - Vice President'!B41="","",'Step 4 - Vice President'!L41)</f>
        <v/>
      </c>
      <c r="X194" s="17" t="str">
        <f>IF('Step 4 - Vice President'!B41="","",'Step 4 - Vice President'!N41)</f>
        <v/>
      </c>
      <c r="Y194" s="18" t="str">
        <f>""</f>
        <v/>
      </c>
      <c r="Z194" s="18" t="str">
        <f>""</f>
        <v/>
      </c>
      <c r="AA194" s="18" t="str">
        <f>""</f>
        <v/>
      </c>
      <c r="AB194" s="18" t="str">
        <f>""</f>
        <v/>
      </c>
      <c r="AC194" s="18" t="str">
        <f>""</f>
        <v/>
      </c>
      <c r="AD194" s="18" t="str">
        <f>""</f>
        <v/>
      </c>
      <c r="AE194" s="18" t="str">
        <f>""</f>
        <v/>
      </c>
      <c r="AF194" s="18" t="str">
        <f>""</f>
        <v/>
      </c>
      <c r="AG194" s="18" t="str">
        <f>""</f>
        <v/>
      </c>
      <c r="AH194" s="18" t="str">
        <f>""</f>
        <v/>
      </c>
      <c r="AI194" s="18" t="str">
        <f>""</f>
        <v/>
      </c>
      <c r="AJ194" s="18" t="str">
        <f>""</f>
        <v/>
      </c>
      <c r="AK194" s="18" t="str">
        <f>""</f>
        <v/>
      </c>
      <c r="AL194" s="18" t="str">
        <f>""</f>
        <v/>
      </c>
      <c r="AM194" s="18" t="str">
        <f>""</f>
        <v/>
      </c>
    </row>
    <row r="195" spans="1:39" ht="15.75" customHeight="1" x14ac:dyDescent="0.25">
      <c r="A195" s="19" t="str">
        <f>IF('Step 4 - Vice President'!B42="","","Active")</f>
        <v/>
      </c>
      <c r="B195" s="20" t="str">
        <f>IF('Step 4 - Vice President'!B42="","",'Step 4 - Vice President'!B42)</f>
        <v/>
      </c>
      <c r="C195" s="20" t="str">
        <f>IF('Step 4 - Vice President'!B42="","",'Step 4 - Vice President'!B42)</f>
        <v/>
      </c>
      <c r="D195" s="19" t="str">
        <f>IF('Step 4 - Vice President'!B42="","",'Step 4 - Vice President'!G42)</f>
        <v/>
      </c>
      <c r="E195" s="19" t="str">
        <f>IF('Step 4 - Vice President'!B42="","",'Step 4 - Vice President'!H42)</f>
        <v/>
      </c>
      <c r="F195" s="20" t="str">
        <f>IF('Step 4 - Vice President'!B42="","",IF('Step 4 - Vice President'!C42="","","Fund Code"))</f>
        <v/>
      </c>
      <c r="G195" s="19" t="str">
        <f>IF('Step 4 - Vice President'!B42="","",IF('Step 4 - Vice President'!C42="","","Equals"))</f>
        <v/>
      </c>
      <c r="H195" s="20" t="str">
        <f>IF('Step 4 - Vice President'!B42="","",IF('Step 4 - Vice President'!C42="","",'Step 4 - Vice President'!C42))</f>
        <v/>
      </c>
      <c r="I195" s="20" t="str">
        <f>IF('Step 4 - Vice President'!B42="","","Organization Code")</f>
        <v/>
      </c>
      <c r="J195" s="19" t="str">
        <f>IF('Step 4 - Vice President'!B42="","","Equals")</f>
        <v/>
      </c>
      <c r="K195" s="20" t="str">
        <f>IF('Step 4 - Vice President'!B42="","",'Step 4 - Vice President'!D42)</f>
        <v/>
      </c>
      <c r="L195" s="20" t="str">
        <f>IF('Step 4 - Vice President'!B42="","","Other Criteria")</f>
        <v/>
      </c>
      <c r="M195" s="19" t="str">
        <f>IF('Step 4 - Vice President'!B42="","","Equals")</f>
        <v/>
      </c>
      <c r="N195" s="20" t="str">
        <f>IF('Step 4 - Vice President'!B42="","",'Step 4 - Vice President'!E42)</f>
        <v/>
      </c>
      <c r="O195" s="20" t="str">
        <f>IF('Step 4 - Vice President'!B42="","",IF('Step 4 - Vice President'!F42="","","Total"))</f>
        <v/>
      </c>
      <c r="P195" s="19" t="str">
        <f>IF('Step 4 - Vice President'!B42="","",IF('Step 4 - Vice President'!F42="","","&gt;="))</f>
        <v/>
      </c>
      <c r="Q195" s="20" t="str">
        <f>IF('Step 4 - Vice President'!B42="","",IF('Step 4 - Vice President'!F42="","",'Step 4 - Vice President'!F42))</f>
        <v/>
      </c>
      <c r="R195" s="20" t="str">
        <f>""</f>
        <v/>
      </c>
      <c r="S195" s="20" t="str">
        <f>""</f>
        <v/>
      </c>
      <c r="T195" s="20" t="str">
        <f>""</f>
        <v/>
      </c>
      <c r="U195" s="20" t="str">
        <f>IF('Step 4 - Vice President'!B42="","",'Step 4 - Vice President'!I42)</f>
        <v/>
      </c>
      <c r="V195" s="19" t="str">
        <f>IF('Step 4 - Vice President'!B42="","",'Step 4 - Vice President'!K42)</f>
        <v/>
      </c>
      <c r="W195" s="20" t="str">
        <f>IF('Step 4 - Vice President'!B42="","",'Step 4 - Vice President'!L42)</f>
        <v/>
      </c>
      <c r="X195" s="19" t="str">
        <f>IF('Step 4 - Vice President'!B42="","",'Step 4 - Vice President'!N42)</f>
        <v/>
      </c>
      <c r="Y195" s="20" t="str">
        <f>""</f>
        <v/>
      </c>
      <c r="Z195" s="20" t="str">
        <f>""</f>
        <v/>
      </c>
      <c r="AA195" s="20" t="str">
        <f>""</f>
        <v/>
      </c>
      <c r="AB195" s="20" t="str">
        <f>""</f>
        <v/>
      </c>
      <c r="AC195" s="20" t="str">
        <f>""</f>
        <v/>
      </c>
      <c r="AD195" s="20" t="str">
        <f>""</f>
        <v/>
      </c>
      <c r="AE195" s="20" t="str">
        <f>""</f>
        <v/>
      </c>
      <c r="AF195" s="20" t="str">
        <f>""</f>
        <v/>
      </c>
      <c r="AG195" s="20" t="str">
        <f>""</f>
        <v/>
      </c>
      <c r="AH195" s="20" t="str">
        <f>""</f>
        <v/>
      </c>
      <c r="AI195" s="20" t="str">
        <f>""</f>
        <v/>
      </c>
      <c r="AJ195" s="20" t="str">
        <f>""</f>
        <v/>
      </c>
      <c r="AK195" s="20" t="str">
        <f>""</f>
        <v/>
      </c>
      <c r="AL195" s="20" t="str">
        <f>""</f>
        <v/>
      </c>
      <c r="AM195" s="20" t="str">
        <f>""</f>
        <v/>
      </c>
    </row>
    <row r="196" spans="1:39" ht="15.75" customHeight="1" x14ac:dyDescent="0.25">
      <c r="A196" s="17" t="str">
        <f>IF('Step 4 - Vice President'!B43="","","Active")</f>
        <v/>
      </c>
      <c r="B196" s="18" t="str">
        <f>IF('Step 4 - Vice President'!B43="","",'Step 4 - Vice President'!B43)</f>
        <v/>
      </c>
      <c r="C196" s="18" t="str">
        <f>IF('Step 4 - Vice President'!B43="","",'Step 4 - Vice President'!B43)</f>
        <v/>
      </c>
      <c r="D196" s="17" t="str">
        <f>IF('Step 4 - Vice President'!B43="","",'Step 4 - Vice President'!G43)</f>
        <v/>
      </c>
      <c r="E196" s="17" t="str">
        <f>IF('Step 4 - Vice President'!B43="","",'Step 4 - Vice President'!H43)</f>
        <v/>
      </c>
      <c r="F196" s="18" t="str">
        <f>IF('Step 4 - Vice President'!B43="","",IF('Step 4 - Vice President'!C43="","","Fund Code"))</f>
        <v/>
      </c>
      <c r="G196" s="17" t="str">
        <f>IF('Step 4 - Vice President'!B43="","",IF('Step 4 - Vice President'!C43="","","Equals"))</f>
        <v/>
      </c>
      <c r="H196" s="18" t="str">
        <f>IF('Step 4 - Vice President'!B43="","",IF('Step 4 - Vice President'!C43="","",'Step 4 - Vice President'!C43))</f>
        <v/>
      </c>
      <c r="I196" s="18" t="str">
        <f>IF('Step 4 - Vice President'!B43="","","Organization Code")</f>
        <v/>
      </c>
      <c r="J196" s="17" t="str">
        <f>IF('Step 4 - Vice President'!B43="","","Equals")</f>
        <v/>
      </c>
      <c r="K196" s="18" t="str">
        <f>IF('Step 4 - Vice President'!B43="","",'Step 4 - Vice President'!D43)</f>
        <v/>
      </c>
      <c r="L196" s="18" t="str">
        <f>IF('Step 4 - Vice President'!B43="","","Other Criteria")</f>
        <v/>
      </c>
      <c r="M196" s="17" t="str">
        <f>IF('Step 4 - Vice President'!B43="","","Equals")</f>
        <v/>
      </c>
      <c r="N196" s="18" t="str">
        <f>IF('Step 4 - Vice President'!B43="","",'Step 4 - Vice President'!E43)</f>
        <v/>
      </c>
      <c r="O196" s="18" t="str">
        <f>IF('Step 4 - Vice President'!B43="","",IF('Step 4 - Vice President'!F43="","","Total"))</f>
        <v/>
      </c>
      <c r="P196" s="17" t="str">
        <f>IF('Step 4 - Vice President'!B43="","",IF('Step 4 - Vice President'!F43="","","&gt;="))</f>
        <v/>
      </c>
      <c r="Q196" s="18" t="str">
        <f>IF('Step 4 - Vice President'!B43="","",IF('Step 4 - Vice President'!F43="","",'Step 4 - Vice President'!F43))</f>
        <v/>
      </c>
      <c r="R196" s="18" t="str">
        <f>""</f>
        <v/>
      </c>
      <c r="S196" s="18" t="str">
        <f>""</f>
        <v/>
      </c>
      <c r="T196" s="18" t="str">
        <f>""</f>
        <v/>
      </c>
      <c r="U196" s="18" t="str">
        <f>IF('Step 4 - Vice President'!B43="","",'Step 4 - Vice President'!I43)</f>
        <v/>
      </c>
      <c r="V196" s="17" t="str">
        <f>IF('Step 4 - Vice President'!B43="","",'Step 4 - Vice President'!K43)</f>
        <v/>
      </c>
      <c r="W196" s="18" t="str">
        <f>IF('Step 4 - Vice President'!B43="","",'Step 4 - Vice President'!L43)</f>
        <v/>
      </c>
      <c r="X196" s="17" t="str">
        <f>IF('Step 4 - Vice President'!B43="","",'Step 4 - Vice President'!N43)</f>
        <v/>
      </c>
      <c r="Y196" s="18" t="str">
        <f>""</f>
        <v/>
      </c>
      <c r="Z196" s="18" t="str">
        <f>""</f>
        <v/>
      </c>
      <c r="AA196" s="18" t="str">
        <f>""</f>
        <v/>
      </c>
      <c r="AB196" s="18" t="str">
        <f>""</f>
        <v/>
      </c>
      <c r="AC196" s="18" t="str">
        <f>""</f>
        <v/>
      </c>
      <c r="AD196" s="18" t="str">
        <f>""</f>
        <v/>
      </c>
      <c r="AE196" s="18" t="str">
        <f>""</f>
        <v/>
      </c>
      <c r="AF196" s="18" t="str">
        <f>""</f>
        <v/>
      </c>
      <c r="AG196" s="18" t="str">
        <f>""</f>
        <v/>
      </c>
      <c r="AH196" s="18" t="str">
        <f>""</f>
        <v/>
      </c>
      <c r="AI196" s="18" t="str">
        <f>""</f>
        <v/>
      </c>
      <c r="AJ196" s="18" t="str">
        <f>""</f>
        <v/>
      </c>
      <c r="AK196" s="18" t="str">
        <f>""</f>
        <v/>
      </c>
      <c r="AL196" s="18" t="str">
        <f>""</f>
        <v/>
      </c>
      <c r="AM196" s="18" t="str">
        <f>""</f>
        <v/>
      </c>
    </row>
    <row r="197" spans="1:39" ht="15.75" customHeight="1" x14ac:dyDescent="0.25">
      <c r="A197" s="19" t="str">
        <f>IF('Step 4 - Vice President'!B44="","","Active")</f>
        <v/>
      </c>
      <c r="B197" s="20" t="str">
        <f>IF('Step 4 - Vice President'!B44="","",'Step 4 - Vice President'!B44)</f>
        <v/>
      </c>
      <c r="C197" s="20" t="str">
        <f>IF('Step 4 - Vice President'!B44="","",'Step 4 - Vice President'!B44)</f>
        <v/>
      </c>
      <c r="D197" s="19" t="str">
        <f>IF('Step 4 - Vice President'!B44="","",'Step 4 - Vice President'!G44)</f>
        <v/>
      </c>
      <c r="E197" s="19" t="str">
        <f>IF('Step 4 - Vice President'!B44="","",'Step 4 - Vice President'!H44)</f>
        <v/>
      </c>
      <c r="F197" s="20" t="str">
        <f>IF('Step 4 - Vice President'!B44="","",IF('Step 4 - Vice President'!C44="","","Fund Code"))</f>
        <v/>
      </c>
      <c r="G197" s="19" t="str">
        <f>IF('Step 4 - Vice President'!B44="","",IF('Step 4 - Vice President'!C44="","","Equals"))</f>
        <v/>
      </c>
      <c r="H197" s="20" t="str">
        <f>IF('Step 4 - Vice President'!B44="","",IF('Step 4 - Vice President'!C44="","",'Step 4 - Vice President'!C44))</f>
        <v/>
      </c>
      <c r="I197" s="20" t="str">
        <f>IF('Step 4 - Vice President'!B44="","","Organization Code")</f>
        <v/>
      </c>
      <c r="J197" s="19" t="str">
        <f>IF('Step 4 - Vice President'!B44="","","Equals")</f>
        <v/>
      </c>
      <c r="K197" s="20" t="str">
        <f>IF('Step 4 - Vice President'!B44="","",'Step 4 - Vice President'!D44)</f>
        <v/>
      </c>
      <c r="L197" s="20" t="str">
        <f>IF('Step 4 - Vice President'!B44="","","Other Criteria")</f>
        <v/>
      </c>
      <c r="M197" s="19" t="str">
        <f>IF('Step 4 - Vice President'!B44="","","Equals")</f>
        <v/>
      </c>
      <c r="N197" s="20" t="str">
        <f>IF('Step 4 - Vice President'!B44="","",'Step 4 - Vice President'!E44)</f>
        <v/>
      </c>
      <c r="O197" s="20" t="str">
        <f>IF('Step 4 - Vice President'!B44="","",IF('Step 4 - Vice President'!F44="","","Total"))</f>
        <v/>
      </c>
      <c r="P197" s="19" t="str">
        <f>IF('Step 4 - Vice President'!B44="","",IF('Step 4 - Vice President'!F44="","","&gt;="))</f>
        <v/>
      </c>
      <c r="Q197" s="20" t="str">
        <f>IF('Step 4 - Vice President'!B44="","",IF('Step 4 - Vice President'!F44="","",'Step 4 - Vice President'!F44))</f>
        <v/>
      </c>
      <c r="R197" s="20" t="str">
        <f>""</f>
        <v/>
      </c>
      <c r="S197" s="20" t="str">
        <f>""</f>
        <v/>
      </c>
      <c r="T197" s="20" t="str">
        <f>""</f>
        <v/>
      </c>
      <c r="U197" s="20" t="str">
        <f>IF('Step 4 - Vice President'!B44="","",'Step 4 - Vice President'!I44)</f>
        <v/>
      </c>
      <c r="V197" s="19" t="str">
        <f>IF('Step 4 - Vice President'!B44="","",'Step 4 - Vice President'!K44)</f>
        <v/>
      </c>
      <c r="W197" s="20" t="str">
        <f>IF('Step 4 - Vice President'!B44="","",'Step 4 - Vice President'!L44)</f>
        <v/>
      </c>
      <c r="X197" s="19" t="str">
        <f>IF('Step 4 - Vice President'!B44="","",'Step 4 - Vice President'!N44)</f>
        <v/>
      </c>
      <c r="Y197" s="20" t="str">
        <f>""</f>
        <v/>
      </c>
      <c r="Z197" s="20" t="str">
        <f>""</f>
        <v/>
      </c>
      <c r="AA197" s="20" t="str">
        <f>""</f>
        <v/>
      </c>
      <c r="AB197" s="20" t="str">
        <f>""</f>
        <v/>
      </c>
      <c r="AC197" s="20" t="str">
        <f>""</f>
        <v/>
      </c>
      <c r="AD197" s="20" t="str">
        <f>""</f>
        <v/>
      </c>
      <c r="AE197" s="20" t="str">
        <f>""</f>
        <v/>
      </c>
      <c r="AF197" s="20" t="str">
        <f>""</f>
        <v/>
      </c>
      <c r="AG197" s="20" t="str">
        <f>""</f>
        <v/>
      </c>
      <c r="AH197" s="20" t="str">
        <f>""</f>
        <v/>
      </c>
      <c r="AI197" s="20" t="str">
        <f>""</f>
        <v/>
      </c>
      <c r="AJ197" s="20" t="str">
        <f>""</f>
        <v/>
      </c>
      <c r="AK197" s="20" t="str">
        <f>""</f>
        <v/>
      </c>
      <c r="AL197" s="20" t="str">
        <f>""</f>
        <v/>
      </c>
      <c r="AM197" s="20" t="str">
        <f>""</f>
        <v/>
      </c>
    </row>
    <row r="198" spans="1:39" ht="15.75" customHeight="1" x14ac:dyDescent="0.25">
      <c r="A198" s="17" t="str">
        <f>IF('Step 4 - Vice President'!B45="","","Active")</f>
        <v/>
      </c>
      <c r="B198" s="18" t="str">
        <f>IF('Step 4 - Vice President'!B45="","",'Step 4 - Vice President'!B45)</f>
        <v/>
      </c>
      <c r="C198" s="18" t="str">
        <f>IF('Step 4 - Vice President'!B45="","",'Step 4 - Vice President'!B45)</f>
        <v/>
      </c>
      <c r="D198" s="17" t="str">
        <f>IF('Step 4 - Vice President'!B45="","",'Step 4 - Vice President'!G45)</f>
        <v/>
      </c>
      <c r="E198" s="17" t="str">
        <f>IF('Step 4 - Vice President'!B45="","",'Step 4 - Vice President'!H45)</f>
        <v/>
      </c>
      <c r="F198" s="18" t="str">
        <f>IF('Step 4 - Vice President'!B45="","",IF('Step 4 - Vice President'!C45="","","Fund Code"))</f>
        <v/>
      </c>
      <c r="G198" s="17" t="str">
        <f>IF('Step 4 - Vice President'!B45="","",IF('Step 4 - Vice President'!C45="","","Equals"))</f>
        <v/>
      </c>
      <c r="H198" s="18" t="str">
        <f>IF('Step 4 - Vice President'!B45="","",IF('Step 4 - Vice President'!C45="","",'Step 4 - Vice President'!C45))</f>
        <v/>
      </c>
      <c r="I198" s="18" t="str">
        <f>IF('Step 4 - Vice President'!B45="","","Organization Code")</f>
        <v/>
      </c>
      <c r="J198" s="17" t="str">
        <f>IF('Step 4 - Vice President'!B45="","","Equals")</f>
        <v/>
      </c>
      <c r="K198" s="18" t="str">
        <f>IF('Step 4 - Vice President'!B45="","",'Step 4 - Vice President'!D45)</f>
        <v/>
      </c>
      <c r="L198" s="18" t="str">
        <f>IF('Step 4 - Vice President'!B45="","","Other Criteria")</f>
        <v/>
      </c>
      <c r="M198" s="17" t="str">
        <f>IF('Step 4 - Vice President'!B45="","","Equals")</f>
        <v/>
      </c>
      <c r="N198" s="18" t="str">
        <f>IF('Step 4 - Vice President'!B45="","",'Step 4 - Vice President'!E45)</f>
        <v/>
      </c>
      <c r="O198" s="18" t="str">
        <f>IF('Step 4 - Vice President'!B45="","",IF('Step 4 - Vice President'!F45="","","Total"))</f>
        <v/>
      </c>
      <c r="P198" s="17" t="str">
        <f>IF('Step 4 - Vice President'!B45="","",IF('Step 4 - Vice President'!F45="","","&gt;="))</f>
        <v/>
      </c>
      <c r="Q198" s="18" t="str">
        <f>IF('Step 4 - Vice President'!B45="","",IF('Step 4 - Vice President'!F45="","",'Step 4 - Vice President'!F45))</f>
        <v/>
      </c>
      <c r="R198" s="18" t="str">
        <f>""</f>
        <v/>
      </c>
      <c r="S198" s="18" t="str">
        <f>""</f>
        <v/>
      </c>
      <c r="T198" s="18" t="str">
        <f>""</f>
        <v/>
      </c>
      <c r="U198" s="18" t="str">
        <f>IF('Step 4 - Vice President'!B45="","",'Step 4 - Vice President'!I45)</f>
        <v/>
      </c>
      <c r="V198" s="17" t="str">
        <f>IF('Step 4 - Vice President'!B45="","",'Step 4 - Vice President'!K45)</f>
        <v/>
      </c>
      <c r="W198" s="18" t="str">
        <f>IF('Step 4 - Vice President'!B45="","",'Step 4 - Vice President'!L45)</f>
        <v/>
      </c>
      <c r="X198" s="17" t="str">
        <f>IF('Step 4 - Vice President'!B45="","",'Step 4 - Vice President'!N45)</f>
        <v/>
      </c>
      <c r="Y198" s="18" t="str">
        <f>""</f>
        <v/>
      </c>
      <c r="Z198" s="18" t="str">
        <f>""</f>
        <v/>
      </c>
      <c r="AA198" s="18" t="str">
        <f>""</f>
        <v/>
      </c>
      <c r="AB198" s="18" t="str">
        <f>""</f>
        <v/>
      </c>
      <c r="AC198" s="18" t="str">
        <f>""</f>
        <v/>
      </c>
      <c r="AD198" s="18" t="str">
        <f>""</f>
        <v/>
      </c>
      <c r="AE198" s="18" t="str">
        <f>""</f>
        <v/>
      </c>
      <c r="AF198" s="18" t="str">
        <f>""</f>
        <v/>
      </c>
      <c r="AG198" s="18" t="str">
        <f>""</f>
        <v/>
      </c>
      <c r="AH198" s="18" t="str">
        <f>""</f>
        <v/>
      </c>
      <c r="AI198" s="18" t="str">
        <f>""</f>
        <v/>
      </c>
      <c r="AJ198" s="18" t="str">
        <f>""</f>
        <v/>
      </c>
      <c r="AK198" s="18" t="str">
        <f>""</f>
        <v/>
      </c>
      <c r="AL198" s="18" t="str">
        <f>""</f>
        <v/>
      </c>
      <c r="AM198" s="18" t="str">
        <f>""</f>
        <v/>
      </c>
    </row>
    <row r="199" spans="1:39" ht="15.75" customHeight="1" x14ac:dyDescent="0.25">
      <c r="A199" s="19" t="str">
        <f>IF('Step 4 - Vice President'!B46="","","Active")</f>
        <v/>
      </c>
      <c r="B199" s="20" t="str">
        <f>IF('Step 4 - Vice President'!B46="","",'Step 4 - Vice President'!B46)</f>
        <v/>
      </c>
      <c r="C199" s="20" t="str">
        <f>IF('Step 4 - Vice President'!B46="","",'Step 4 - Vice President'!B46)</f>
        <v/>
      </c>
      <c r="D199" s="19" t="str">
        <f>IF('Step 4 - Vice President'!B46="","",'Step 4 - Vice President'!G46)</f>
        <v/>
      </c>
      <c r="E199" s="19" t="str">
        <f>IF('Step 4 - Vice President'!B46="","",'Step 4 - Vice President'!H46)</f>
        <v/>
      </c>
      <c r="F199" s="20" t="str">
        <f>IF('Step 4 - Vice President'!B46="","",IF('Step 4 - Vice President'!C46="","","Fund Code"))</f>
        <v/>
      </c>
      <c r="G199" s="19" t="str">
        <f>IF('Step 4 - Vice President'!B46="","",IF('Step 4 - Vice President'!C46="","","Equals"))</f>
        <v/>
      </c>
      <c r="H199" s="20" t="str">
        <f>IF('Step 4 - Vice President'!B46="","",IF('Step 4 - Vice President'!C46="","",'Step 4 - Vice President'!C46))</f>
        <v/>
      </c>
      <c r="I199" s="20" t="str">
        <f>IF('Step 4 - Vice President'!B46="","","Organization Code")</f>
        <v/>
      </c>
      <c r="J199" s="19" t="str">
        <f>IF('Step 4 - Vice President'!B46="","","Equals")</f>
        <v/>
      </c>
      <c r="K199" s="20" t="str">
        <f>IF('Step 4 - Vice President'!B46="","",'Step 4 - Vice President'!D46)</f>
        <v/>
      </c>
      <c r="L199" s="20" t="str">
        <f>IF('Step 4 - Vice President'!B46="","","Other Criteria")</f>
        <v/>
      </c>
      <c r="M199" s="19" t="str">
        <f>IF('Step 4 - Vice President'!B46="","","Equals")</f>
        <v/>
      </c>
      <c r="N199" s="20" t="str">
        <f>IF('Step 4 - Vice President'!B46="","",'Step 4 - Vice President'!E46)</f>
        <v/>
      </c>
      <c r="O199" s="20" t="str">
        <f>IF('Step 4 - Vice President'!B46="","",IF('Step 4 - Vice President'!F46="","","Total"))</f>
        <v/>
      </c>
      <c r="P199" s="19" t="str">
        <f>IF('Step 4 - Vice President'!B46="","",IF('Step 4 - Vice President'!F46="","","&gt;="))</f>
        <v/>
      </c>
      <c r="Q199" s="20" t="str">
        <f>IF('Step 4 - Vice President'!B46="","",IF('Step 4 - Vice President'!F46="","",'Step 4 - Vice President'!F46))</f>
        <v/>
      </c>
      <c r="R199" s="20" t="str">
        <f>""</f>
        <v/>
      </c>
      <c r="S199" s="20" t="str">
        <f>""</f>
        <v/>
      </c>
      <c r="T199" s="20" t="str">
        <f>""</f>
        <v/>
      </c>
      <c r="U199" s="20" t="str">
        <f>IF('Step 4 - Vice President'!B46="","",'Step 4 - Vice President'!I46)</f>
        <v/>
      </c>
      <c r="V199" s="19" t="str">
        <f>IF('Step 4 - Vice President'!B46="","",'Step 4 - Vice President'!K46)</f>
        <v/>
      </c>
      <c r="W199" s="20" t="str">
        <f>IF('Step 4 - Vice President'!B46="","",'Step 4 - Vice President'!L46)</f>
        <v/>
      </c>
      <c r="X199" s="19" t="str">
        <f>IF('Step 4 - Vice President'!B46="","",'Step 4 - Vice President'!N46)</f>
        <v/>
      </c>
      <c r="Y199" s="20" t="str">
        <f>""</f>
        <v/>
      </c>
      <c r="Z199" s="20" t="str">
        <f>""</f>
        <v/>
      </c>
      <c r="AA199" s="20" t="str">
        <f>""</f>
        <v/>
      </c>
      <c r="AB199" s="20" t="str">
        <f>""</f>
        <v/>
      </c>
      <c r="AC199" s="20" t="str">
        <f>""</f>
        <v/>
      </c>
      <c r="AD199" s="20" t="str">
        <f>""</f>
        <v/>
      </c>
      <c r="AE199" s="20" t="str">
        <f>""</f>
        <v/>
      </c>
      <c r="AF199" s="20" t="str">
        <f>""</f>
        <v/>
      </c>
      <c r="AG199" s="20" t="str">
        <f>""</f>
        <v/>
      </c>
      <c r="AH199" s="20" t="str">
        <f>""</f>
        <v/>
      </c>
      <c r="AI199" s="20" t="str">
        <f>""</f>
        <v/>
      </c>
      <c r="AJ199" s="20" t="str">
        <f>""</f>
        <v/>
      </c>
      <c r="AK199" s="20" t="str">
        <f>""</f>
        <v/>
      </c>
      <c r="AL199" s="20" t="str">
        <f>""</f>
        <v/>
      </c>
      <c r="AM199" s="20" t="str">
        <f>""</f>
        <v/>
      </c>
    </row>
    <row r="200" spans="1:39" ht="15.75" customHeight="1" x14ac:dyDescent="0.25">
      <c r="A200" s="17" t="str">
        <f>IF('Step 4 - Vice President'!B47="","","Active")</f>
        <v/>
      </c>
      <c r="B200" s="18" t="str">
        <f>IF('Step 4 - Vice President'!B47="","",'Step 4 - Vice President'!B47)</f>
        <v/>
      </c>
      <c r="C200" s="18" t="str">
        <f>IF('Step 4 - Vice President'!B47="","",'Step 4 - Vice President'!B47)</f>
        <v/>
      </c>
      <c r="D200" s="17" t="str">
        <f>IF('Step 4 - Vice President'!B47="","",'Step 4 - Vice President'!G47)</f>
        <v/>
      </c>
      <c r="E200" s="17" t="str">
        <f>IF('Step 4 - Vice President'!B47="","",'Step 4 - Vice President'!H47)</f>
        <v/>
      </c>
      <c r="F200" s="18" t="str">
        <f>IF('Step 4 - Vice President'!B47="","",IF('Step 4 - Vice President'!C47="","","Fund Code"))</f>
        <v/>
      </c>
      <c r="G200" s="17" t="str">
        <f>IF('Step 4 - Vice President'!B47="","",IF('Step 4 - Vice President'!C47="","","Equals"))</f>
        <v/>
      </c>
      <c r="H200" s="18" t="str">
        <f>IF('Step 4 - Vice President'!B47="","",IF('Step 4 - Vice President'!C47="","",'Step 4 - Vice President'!C47))</f>
        <v/>
      </c>
      <c r="I200" s="18" t="str">
        <f>IF('Step 4 - Vice President'!B47="","","Organization Code")</f>
        <v/>
      </c>
      <c r="J200" s="17" t="str">
        <f>IF('Step 4 - Vice President'!B47="","","Equals")</f>
        <v/>
      </c>
      <c r="K200" s="18" t="str">
        <f>IF('Step 4 - Vice President'!B47="","",'Step 4 - Vice President'!D47)</f>
        <v/>
      </c>
      <c r="L200" s="18" t="str">
        <f>IF('Step 4 - Vice President'!B47="","","Other Criteria")</f>
        <v/>
      </c>
      <c r="M200" s="17" t="str">
        <f>IF('Step 4 - Vice President'!B47="","","Equals")</f>
        <v/>
      </c>
      <c r="N200" s="18" t="str">
        <f>IF('Step 4 - Vice President'!B47="","",'Step 4 - Vice President'!E47)</f>
        <v/>
      </c>
      <c r="O200" s="18" t="str">
        <f>IF('Step 4 - Vice President'!B47="","",IF('Step 4 - Vice President'!F47="","","Total"))</f>
        <v/>
      </c>
      <c r="P200" s="17" t="str">
        <f>IF('Step 4 - Vice President'!B47="","",IF('Step 4 - Vice President'!F47="","","&gt;="))</f>
        <v/>
      </c>
      <c r="Q200" s="18" t="str">
        <f>IF('Step 4 - Vice President'!B47="","",IF('Step 4 - Vice President'!F47="","",'Step 4 - Vice President'!F47))</f>
        <v/>
      </c>
      <c r="R200" s="18" t="str">
        <f>""</f>
        <v/>
      </c>
      <c r="S200" s="18" t="str">
        <f>""</f>
        <v/>
      </c>
      <c r="T200" s="18" t="str">
        <f>""</f>
        <v/>
      </c>
      <c r="U200" s="18" t="str">
        <f>IF('Step 4 - Vice President'!B47="","",'Step 4 - Vice President'!I47)</f>
        <v/>
      </c>
      <c r="V200" s="17" t="str">
        <f>IF('Step 4 - Vice President'!B47="","",'Step 4 - Vice President'!K47)</f>
        <v/>
      </c>
      <c r="W200" s="18" t="str">
        <f>IF('Step 4 - Vice President'!B47="","",'Step 4 - Vice President'!L47)</f>
        <v/>
      </c>
      <c r="X200" s="17" t="str">
        <f>IF('Step 4 - Vice President'!B47="","",'Step 4 - Vice President'!N47)</f>
        <v/>
      </c>
      <c r="Y200" s="18" t="str">
        <f>""</f>
        <v/>
      </c>
      <c r="Z200" s="18" t="str">
        <f>""</f>
        <v/>
      </c>
      <c r="AA200" s="18" t="str">
        <f>""</f>
        <v/>
      </c>
      <c r="AB200" s="18" t="str">
        <f>""</f>
        <v/>
      </c>
      <c r="AC200" s="18" t="str">
        <f>""</f>
        <v/>
      </c>
      <c r="AD200" s="18" t="str">
        <f>""</f>
        <v/>
      </c>
      <c r="AE200" s="18" t="str">
        <f>""</f>
        <v/>
      </c>
      <c r="AF200" s="18" t="str">
        <f>""</f>
        <v/>
      </c>
      <c r="AG200" s="18" t="str">
        <f>""</f>
        <v/>
      </c>
      <c r="AH200" s="18" t="str">
        <f>""</f>
        <v/>
      </c>
      <c r="AI200" s="18" t="str">
        <f>""</f>
        <v/>
      </c>
      <c r="AJ200" s="18" t="str">
        <f>""</f>
        <v/>
      </c>
      <c r="AK200" s="18" t="str">
        <f>""</f>
        <v/>
      </c>
      <c r="AL200" s="18" t="str">
        <f>""</f>
        <v/>
      </c>
      <c r="AM200" s="18" t="str">
        <f>""</f>
        <v/>
      </c>
    </row>
    <row r="201" spans="1:39" ht="15.75" customHeight="1" x14ac:dyDescent="0.25">
      <c r="A201" s="19" t="str">
        <f>IF('Step 4 - Vice President'!B48="","","Active")</f>
        <v/>
      </c>
      <c r="B201" s="20" t="str">
        <f>IF('Step 4 - Vice President'!B48="","",'Step 4 - Vice President'!B48)</f>
        <v/>
      </c>
      <c r="C201" s="20" t="str">
        <f>IF('Step 4 - Vice President'!B48="","",'Step 4 - Vice President'!B48)</f>
        <v/>
      </c>
      <c r="D201" s="19" t="str">
        <f>IF('Step 4 - Vice President'!B48="","",'Step 4 - Vice President'!G48)</f>
        <v/>
      </c>
      <c r="E201" s="19" t="str">
        <f>IF('Step 4 - Vice President'!B48="","",'Step 4 - Vice President'!H48)</f>
        <v/>
      </c>
      <c r="F201" s="20" t="str">
        <f>IF('Step 4 - Vice President'!B48="","",IF('Step 4 - Vice President'!C48="","","Fund Code"))</f>
        <v/>
      </c>
      <c r="G201" s="19" t="str">
        <f>IF('Step 4 - Vice President'!B48="","",IF('Step 4 - Vice President'!C48="","","Equals"))</f>
        <v/>
      </c>
      <c r="H201" s="20" t="str">
        <f>IF('Step 4 - Vice President'!B48="","",IF('Step 4 - Vice President'!C48="","",'Step 4 - Vice President'!C48))</f>
        <v/>
      </c>
      <c r="I201" s="20" t="str">
        <f>IF('Step 4 - Vice President'!B48="","","Organization Code")</f>
        <v/>
      </c>
      <c r="J201" s="19" t="str">
        <f>IF('Step 4 - Vice President'!B48="","","Equals")</f>
        <v/>
      </c>
      <c r="K201" s="20" t="str">
        <f>IF('Step 4 - Vice President'!B48="","",'Step 4 - Vice President'!D48)</f>
        <v/>
      </c>
      <c r="L201" s="20" t="str">
        <f>IF('Step 4 - Vice President'!B48="","","Other Criteria")</f>
        <v/>
      </c>
      <c r="M201" s="19" t="str">
        <f>IF('Step 4 - Vice President'!B48="","","Equals")</f>
        <v/>
      </c>
      <c r="N201" s="20" t="str">
        <f>IF('Step 4 - Vice President'!B48="","",'Step 4 - Vice President'!E48)</f>
        <v/>
      </c>
      <c r="O201" s="20" t="str">
        <f>IF('Step 4 - Vice President'!B48="","",IF('Step 4 - Vice President'!F48="","","Total"))</f>
        <v/>
      </c>
      <c r="P201" s="19" t="str">
        <f>IF('Step 4 - Vice President'!B48="","",IF('Step 4 - Vice President'!F48="","","&gt;="))</f>
        <v/>
      </c>
      <c r="Q201" s="20" t="str">
        <f>IF('Step 4 - Vice President'!B48="","",IF('Step 4 - Vice President'!F48="","",'Step 4 - Vice President'!F48))</f>
        <v/>
      </c>
      <c r="R201" s="20" t="str">
        <f>""</f>
        <v/>
      </c>
      <c r="S201" s="20" t="str">
        <f>""</f>
        <v/>
      </c>
      <c r="T201" s="20" t="str">
        <f>""</f>
        <v/>
      </c>
      <c r="U201" s="20" t="str">
        <f>IF('Step 4 - Vice President'!B48="","",'Step 4 - Vice President'!I48)</f>
        <v/>
      </c>
      <c r="V201" s="19" t="str">
        <f>IF('Step 4 - Vice President'!B48="","",'Step 4 - Vice President'!K48)</f>
        <v/>
      </c>
      <c r="W201" s="20" t="str">
        <f>IF('Step 4 - Vice President'!B48="","",'Step 4 - Vice President'!L48)</f>
        <v/>
      </c>
      <c r="X201" s="19" t="str">
        <f>IF('Step 4 - Vice President'!B48="","",'Step 4 - Vice President'!N48)</f>
        <v/>
      </c>
      <c r="Y201" s="20" t="str">
        <f>""</f>
        <v/>
      </c>
      <c r="Z201" s="20" t="str">
        <f>""</f>
        <v/>
      </c>
      <c r="AA201" s="20" t="str">
        <f>""</f>
        <v/>
      </c>
      <c r="AB201" s="20" t="str">
        <f>""</f>
        <v/>
      </c>
      <c r="AC201" s="20" t="str">
        <f>""</f>
        <v/>
      </c>
      <c r="AD201" s="20" t="str">
        <f>""</f>
        <v/>
      </c>
      <c r="AE201" s="20" t="str">
        <f>""</f>
        <v/>
      </c>
      <c r="AF201" s="20" t="str">
        <f>""</f>
        <v/>
      </c>
      <c r="AG201" s="20" t="str">
        <f>""</f>
        <v/>
      </c>
      <c r="AH201" s="20" t="str">
        <f>""</f>
        <v/>
      </c>
      <c r="AI201" s="20" t="str">
        <f>""</f>
        <v/>
      </c>
      <c r="AJ201" s="20" t="str">
        <f>""</f>
        <v/>
      </c>
      <c r="AK201" s="20" t="str">
        <f>""</f>
        <v/>
      </c>
      <c r="AL201" s="20" t="str">
        <f>""</f>
        <v/>
      </c>
      <c r="AM201" s="20" t="str">
        <f>""</f>
        <v/>
      </c>
    </row>
    <row r="202" spans="1:39" ht="15.75" customHeight="1" x14ac:dyDescent="0.25">
      <c r="A202" s="17" t="str">
        <f>IF('Step 4 - Vice President'!B49="","","Active")</f>
        <v/>
      </c>
      <c r="B202" s="18" t="str">
        <f>IF('Step 4 - Vice President'!B49="","",'Step 4 - Vice President'!B49)</f>
        <v/>
      </c>
      <c r="C202" s="18" t="str">
        <f>IF('Step 4 - Vice President'!B49="","",'Step 4 - Vice President'!B49)</f>
        <v/>
      </c>
      <c r="D202" s="17" t="str">
        <f>IF('Step 4 - Vice President'!B49="","",'Step 4 - Vice President'!G49)</f>
        <v/>
      </c>
      <c r="E202" s="17" t="str">
        <f>IF('Step 4 - Vice President'!B49="","",'Step 4 - Vice President'!H49)</f>
        <v/>
      </c>
      <c r="F202" s="18" t="str">
        <f>IF('Step 4 - Vice President'!B49="","",IF('Step 4 - Vice President'!C49="","","Fund Code"))</f>
        <v/>
      </c>
      <c r="G202" s="17" t="str">
        <f>IF('Step 4 - Vice President'!B49="","",IF('Step 4 - Vice President'!C49="","","Equals"))</f>
        <v/>
      </c>
      <c r="H202" s="18" t="str">
        <f>IF('Step 4 - Vice President'!B49="","",IF('Step 4 - Vice President'!C49="","",'Step 4 - Vice President'!C49))</f>
        <v/>
      </c>
      <c r="I202" s="18" t="str">
        <f>IF('Step 4 - Vice President'!B49="","","Organization Code")</f>
        <v/>
      </c>
      <c r="J202" s="17" t="str">
        <f>IF('Step 4 - Vice President'!B49="","","Equals")</f>
        <v/>
      </c>
      <c r="K202" s="18" t="str">
        <f>IF('Step 4 - Vice President'!B49="","",'Step 4 - Vice President'!D49)</f>
        <v/>
      </c>
      <c r="L202" s="18" t="str">
        <f>IF('Step 4 - Vice President'!B49="","","Other Criteria")</f>
        <v/>
      </c>
      <c r="M202" s="17" t="str">
        <f>IF('Step 4 - Vice President'!B49="","","Equals")</f>
        <v/>
      </c>
      <c r="N202" s="18" t="str">
        <f>IF('Step 4 - Vice President'!B49="","",'Step 4 - Vice President'!E49)</f>
        <v/>
      </c>
      <c r="O202" s="18" t="str">
        <f>IF('Step 4 - Vice President'!B49="","",IF('Step 4 - Vice President'!F49="","","Total"))</f>
        <v/>
      </c>
      <c r="P202" s="17" t="str">
        <f>IF('Step 4 - Vice President'!B49="","",IF('Step 4 - Vice President'!F49="","","&gt;="))</f>
        <v/>
      </c>
      <c r="Q202" s="18" t="str">
        <f>IF('Step 4 - Vice President'!B49="","",IF('Step 4 - Vice President'!F49="","",'Step 4 - Vice President'!F49))</f>
        <v/>
      </c>
      <c r="R202" s="18" t="str">
        <f>""</f>
        <v/>
      </c>
      <c r="S202" s="18" t="str">
        <f>""</f>
        <v/>
      </c>
      <c r="T202" s="18" t="str">
        <f>""</f>
        <v/>
      </c>
      <c r="U202" s="18" t="str">
        <f>IF('Step 4 - Vice President'!B49="","",'Step 4 - Vice President'!I49)</f>
        <v/>
      </c>
      <c r="V202" s="17" t="str">
        <f>IF('Step 4 - Vice President'!B49="","",'Step 4 - Vice President'!K49)</f>
        <v/>
      </c>
      <c r="W202" s="18" t="str">
        <f>IF('Step 4 - Vice President'!B49="","",'Step 4 - Vice President'!L49)</f>
        <v/>
      </c>
      <c r="X202" s="17" t="str">
        <f>IF('Step 4 - Vice President'!B49="","",'Step 4 - Vice President'!N49)</f>
        <v/>
      </c>
      <c r="Y202" s="18" t="str">
        <f>""</f>
        <v/>
      </c>
      <c r="Z202" s="18" t="str">
        <f>""</f>
        <v/>
      </c>
      <c r="AA202" s="18" t="str">
        <f>""</f>
        <v/>
      </c>
      <c r="AB202" s="18" t="str">
        <f>""</f>
        <v/>
      </c>
      <c r="AC202" s="18" t="str">
        <f>""</f>
        <v/>
      </c>
      <c r="AD202" s="18" t="str">
        <f>""</f>
        <v/>
      </c>
      <c r="AE202" s="18" t="str">
        <f>""</f>
        <v/>
      </c>
      <c r="AF202" s="18" t="str">
        <f>""</f>
        <v/>
      </c>
      <c r="AG202" s="18" t="str">
        <f>""</f>
        <v/>
      </c>
      <c r="AH202" s="18" t="str">
        <f>""</f>
        <v/>
      </c>
      <c r="AI202" s="18" t="str">
        <f>""</f>
        <v/>
      </c>
      <c r="AJ202" s="18" t="str">
        <f>""</f>
        <v/>
      </c>
      <c r="AK202" s="18" t="str">
        <f>""</f>
        <v/>
      </c>
      <c r="AL202" s="18" t="str">
        <f>""</f>
        <v/>
      </c>
      <c r="AM202" s="18" t="str">
        <f>""</f>
        <v/>
      </c>
    </row>
    <row r="203" spans="1:39" ht="15.75" customHeight="1" x14ac:dyDescent="0.25">
      <c r="A203" s="19" t="str">
        <f>IF('Step 4 - Vice President'!B50="","","Active")</f>
        <v/>
      </c>
      <c r="B203" s="20" t="str">
        <f>IF('Step 4 - Vice President'!B50="","",'Step 4 - Vice President'!B50)</f>
        <v/>
      </c>
      <c r="C203" s="20" t="str">
        <f>IF('Step 4 - Vice President'!B50="","",'Step 4 - Vice President'!B50)</f>
        <v/>
      </c>
      <c r="D203" s="19" t="str">
        <f>IF('Step 4 - Vice President'!B50="","",'Step 4 - Vice President'!G50)</f>
        <v/>
      </c>
      <c r="E203" s="19" t="str">
        <f>IF('Step 4 - Vice President'!B50="","",'Step 4 - Vice President'!H50)</f>
        <v/>
      </c>
      <c r="F203" s="20" t="str">
        <f>IF('Step 4 - Vice President'!B50="","",IF('Step 4 - Vice President'!C50="","","Fund Code"))</f>
        <v/>
      </c>
      <c r="G203" s="19" t="str">
        <f>IF('Step 4 - Vice President'!B50="","",IF('Step 4 - Vice President'!C50="","","Equals"))</f>
        <v/>
      </c>
      <c r="H203" s="20" t="str">
        <f>IF('Step 4 - Vice President'!B50="","",IF('Step 4 - Vice President'!C50="","",'Step 4 - Vice President'!C50))</f>
        <v/>
      </c>
      <c r="I203" s="20" t="str">
        <f>IF('Step 4 - Vice President'!B50="","","Organization Code")</f>
        <v/>
      </c>
      <c r="J203" s="19" t="str">
        <f>IF('Step 4 - Vice President'!B50="","","Equals")</f>
        <v/>
      </c>
      <c r="K203" s="20" t="str">
        <f>IF('Step 4 - Vice President'!B50="","",'Step 4 - Vice President'!D50)</f>
        <v/>
      </c>
      <c r="L203" s="20" t="str">
        <f>IF('Step 4 - Vice President'!B50="","","Other Criteria")</f>
        <v/>
      </c>
      <c r="M203" s="19" t="str">
        <f>IF('Step 4 - Vice President'!B50="","","Equals")</f>
        <v/>
      </c>
      <c r="N203" s="20" t="str">
        <f>IF('Step 4 - Vice President'!B50="","",'Step 4 - Vice President'!E50)</f>
        <v/>
      </c>
      <c r="O203" s="20" t="str">
        <f>IF('Step 4 - Vice President'!B50="","",IF('Step 4 - Vice President'!F50="","","Total"))</f>
        <v/>
      </c>
      <c r="P203" s="19" t="str">
        <f>IF('Step 4 - Vice President'!B50="","",IF('Step 4 - Vice President'!F50="","","&gt;="))</f>
        <v/>
      </c>
      <c r="Q203" s="20" t="str">
        <f>IF('Step 4 - Vice President'!B50="","",IF('Step 4 - Vice President'!F50="","",'Step 4 - Vice President'!F50))</f>
        <v/>
      </c>
      <c r="R203" s="20" t="str">
        <f>""</f>
        <v/>
      </c>
      <c r="S203" s="20" t="str">
        <f>""</f>
        <v/>
      </c>
      <c r="T203" s="20" t="str">
        <f>""</f>
        <v/>
      </c>
      <c r="U203" s="20" t="str">
        <f>IF('Step 4 - Vice President'!B50="","",'Step 4 - Vice President'!I50)</f>
        <v/>
      </c>
      <c r="V203" s="19" t="str">
        <f>IF('Step 4 - Vice President'!B50="","",'Step 4 - Vice President'!K50)</f>
        <v/>
      </c>
      <c r="W203" s="20" t="str">
        <f>IF('Step 4 - Vice President'!B50="","",'Step 4 - Vice President'!L50)</f>
        <v/>
      </c>
      <c r="X203" s="19" t="str">
        <f>IF('Step 4 - Vice President'!B50="","",'Step 4 - Vice President'!N50)</f>
        <v/>
      </c>
      <c r="Y203" s="20" t="str">
        <f>""</f>
        <v/>
      </c>
      <c r="Z203" s="20" t="str">
        <f>""</f>
        <v/>
      </c>
      <c r="AA203" s="20" t="str">
        <f>""</f>
        <v/>
      </c>
      <c r="AB203" s="20" t="str">
        <f>""</f>
        <v/>
      </c>
      <c r="AC203" s="20" t="str">
        <f>""</f>
        <v/>
      </c>
      <c r="AD203" s="20" t="str">
        <f>""</f>
        <v/>
      </c>
      <c r="AE203" s="20" t="str">
        <f>""</f>
        <v/>
      </c>
      <c r="AF203" s="20" t="str">
        <f>""</f>
        <v/>
      </c>
      <c r="AG203" s="20" t="str">
        <f>""</f>
        <v/>
      </c>
      <c r="AH203" s="20" t="str">
        <f>""</f>
        <v/>
      </c>
      <c r="AI203" s="20" t="str">
        <f>""</f>
        <v/>
      </c>
      <c r="AJ203" s="20" t="str">
        <f>""</f>
        <v/>
      </c>
      <c r="AK203" s="20" t="str">
        <f>""</f>
        <v/>
      </c>
      <c r="AL203" s="20" t="str">
        <f>""</f>
        <v/>
      </c>
      <c r="AM203" s="20" t="str">
        <f>""</f>
        <v/>
      </c>
    </row>
    <row r="204" spans="1:39" ht="15.75" customHeight="1" x14ac:dyDescent="0.25">
      <c r="A204" s="17" t="str">
        <f>IF('Step 4 - Vice President'!B51="","","Active")</f>
        <v/>
      </c>
      <c r="B204" s="18" t="str">
        <f>IF('Step 4 - Vice President'!B51="","",'Step 4 - Vice President'!B51)</f>
        <v/>
      </c>
      <c r="C204" s="18" t="str">
        <f>IF('Step 4 - Vice President'!B51="","",'Step 4 - Vice President'!B51)</f>
        <v/>
      </c>
      <c r="D204" s="17" t="str">
        <f>IF('Step 4 - Vice President'!B51="","",'Step 4 - Vice President'!G51)</f>
        <v/>
      </c>
      <c r="E204" s="17" t="str">
        <f>IF('Step 4 - Vice President'!B51="","",'Step 4 - Vice President'!H51)</f>
        <v/>
      </c>
      <c r="F204" s="18" t="str">
        <f>IF('Step 4 - Vice President'!B51="","",IF('Step 4 - Vice President'!C51="","","Fund Code"))</f>
        <v/>
      </c>
      <c r="G204" s="17" t="str">
        <f>IF('Step 4 - Vice President'!B51="","",IF('Step 4 - Vice President'!C51="","","Equals"))</f>
        <v/>
      </c>
      <c r="H204" s="18" t="str">
        <f>IF('Step 4 - Vice President'!B51="","",IF('Step 4 - Vice President'!C51="","",'Step 4 - Vice President'!C51))</f>
        <v/>
      </c>
      <c r="I204" s="18" t="str">
        <f>IF('Step 4 - Vice President'!B51="","","Organization Code")</f>
        <v/>
      </c>
      <c r="J204" s="17" t="str">
        <f>IF('Step 4 - Vice President'!B51="","","Equals")</f>
        <v/>
      </c>
      <c r="K204" s="18" t="str">
        <f>IF('Step 4 - Vice President'!B51="","",'Step 4 - Vice President'!D51)</f>
        <v/>
      </c>
      <c r="L204" s="18" t="str">
        <f>IF('Step 4 - Vice President'!B51="","","Other Criteria")</f>
        <v/>
      </c>
      <c r="M204" s="17" t="str">
        <f>IF('Step 4 - Vice President'!B51="","","Equals")</f>
        <v/>
      </c>
      <c r="N204" s="18" t="str">
        <f>IF('Step 4 - Vice President'!B51="","",'Step 4 - Vice President'!E51)</f>
        <v/>
      </c>
      <c r="O204" s="18" t="str">
        <f>IF('Step 4 - Vice President'!B51="","",IF('Step 4 - Vice President'!F51="","","Total"))</f>
        <v/>
      </c>
      <c r="P204" s="17" t="str">
        <f>IF('Step 4 - Vice President'!B51="","",IF('Step 4 - Vice President'!F51="","","&gt;="))</f>
        <v/>
      </c>
      <c r="Q204" s="18" t="str">
        <f>IF('Step 4 - Vice President'!B51="","",IF('Step 4 - Vice President'!F51="","",'Step 4 - Vice President'!F51))</f>
        <v/>
      </c>
      <c r="R204" s="18" t="str">
        <f>""</f>
        <v/>
      </c>
      <c r="S204" s="18" t="str">
        <f>""</f>
        <v/>
      </c>
      <c r="T204" s="18" t="str">
        <f>""</f>
        <v/>
      </c>
      <c r="U204" s="18" t="str">
        <f>IF('Step 4 - Vice President'!B51="","",'Step 4 - Vice President'!I51)</f>
        <v/>
      </c>
      <c r="V204" s="17" t="str">
        <f>IF('Step 4 - Vice President'!B51="","",'Step 4 - Vice President'!K51)</f>
        <v/>
      </c>
      <c r="W204" s="18" t="str">
        <f>IF('Step 4 - Vice President'!B51="","",'Step 4 - Vice President'!L51)</f>
        <v/>
      </c>
      <c r="X204" s="17" t="str">
        <f>IF('Step 4 - Vice President'!B51="","",'Step 4 - Vice President'!N51)</f>
        <v/>
      </c>
      <c r="Y204" s="18" t="str">
        <f>""</f>
        <v/>
      </c>
      <c r="Z204" s="18" t="str">
        <f>""</f>
        <v/>
      </c>
      <c r="AA204" s="18" t="str">
        <f>""</f>
        <v/>
      </c>
      <c r="AB204" s="18" t="str">
        <f>""</f>
        <v/>
      </c>
      <c r="AC204" s="18" t="str">
        <f>""</f>
        <v/>
      </c>
      <c r="AD204" s="18" t="str">
        <f>""</f>
        <v/>
      </c>
      <c r="AE204" s="18" t="str">
        <f>""</f>
        <v/>
      </c>
      <c r="AF204" s="18" t="str">
        <f>""</f>
        <v/>
      </c>
      <c r="AG204" s="18" t="str">
        <f>""</f>
        <v/>
      </c>
      <c r="AH204" s="18" t="str">
        <f>""</f>
        <v/>
      </c>
      <c r="AI204" s="18" t="str">
        <f>""</f>
        <v/>
      </c>
      <c r="AJ204" s="18" t="str">
        <f>""</f>
        <v/>
      </c>
      <c r="AK204" s="18" t="str">
        <f>""</f>
        <v/>
      </c>
      <c r="AL204" s="18" t="str">
        <f>""</f>
        <v/>
      </c>
      <c r="AM204" s="18" t="str">
        <f>""</f>
        <v/>
      </c>
    </row>
    <row r="205" spans="1:39" ht="15.75" customHeight="1" x14ac:dyDescent="0.25">
      <c r="A205" s="19" t="str">
        <f>IF('Step 4 - Vice President'!B52="","","Active")</f>
        <v/>
      </c>
      <c r="B205" s="20" t="str">
        <f>IF('Step 4 - Vice President'!B52="","",'Step 4 - Vice President'!B52)</f>
        <v/>
      </c>
      <c r="C205" s="20" t="str">
        <f>IF('Step 4 - Vice President'!B52="","",'Step 4 - Vice President'!B52)</f>
        <v/>
      </c>
      <c r="D205" s="19" t="str">
        <f>IF('Step 4 - Vice President'!B52="","",'Step 4 - Vice President'!G52)</f>
        <v/>
      </c>
      <c r="E205" s="19" t="str">
        <f>IF('Step 4 - Vice President'!B52="","",'Step 4 - Vice President'!H52)</f>
        <v/>
      </c>
      <c r="F205" s="20" t="str">
        <f>IF('Step 4 - Vice President'!B52="","",IF('Step 4 - Vice President'!C52="","","Fund Code"))</f>
        <v/>
      </c>
      <c r="G205" s="19" t="str">
        <f>IF('Step 4 - Vice President'!B52="","",IF('Step 4 - Vice President'!C52="","","Equals"))</f>
        <v/>
      </c>
      <c r="H205" s="20" t="str">
        <f>IF('Step 4 - Vice President'!B52="","",IF('Step 4 - Vice President'!C52="","",'Step 4 - Vice President'!C52))</f>
        <v/>
      </c>
      <c r="I205" s="20" t="str">
        <f>IF('Step 4 - Vice President'!B52="","","Organization Code")</f>
        <v/>
      </c>
      <c r="J205" s="19" t="str">
        <f>IF('Step 4 - Vice President'!B52="","","Equals")</f>
        <v/>
      </c>
      <c r="K205" s="20" t="str">
        <f>IF('Step 4 - Vice President'!B52="","",'Step 4 - Vice President'!D52)</f>
        <v/>
      </c>
      <c r="L205" s="20" t="str">
        <f>IF('Step 4 - Vice President'!B52="","","Other Criteria")</f>
        <v/>
      </c>
      <c r="M205" s="19" t="str">
        <f>IF('Step 4 - Vice President'!B52="","","Equals")</f>
        <v/>
      </c>
      <c r="N205" s="20" t="str">
        <f>IF('Step 4 - Vice President'!B52="","",'Step 4 - Vice President'!E52)</f>
        <v/>
      </c>
      <c r="O205" s="20" t="str">
        <f>IF('Step 4 - Vice President'!B52="","",IF('Step 4 - Vice President'!F52="","","Total"))</f>
        <v/>
      </c>
      <c r="P205" s="19" t="str">
        <f>IF('Step 4 - Vice President'!B52="","",IF('Step 4 - Vice President'!F52="","","&gt;="))</f>
        <v/>
      </c>
      <c r="Q205" s="20" t="str">
        <f>IF('Step 4 - Vice President'!B52="","",IF('Step 4 - Vice President'!F52="","",'Step 4 - Vice President'!F52))</f>
        <v/>
      </c>
      <c r="R205" s="20" t="str">
        <f>""</f>
        <v/>
      </c>
      <c r="S205" s="20" t="str">
        <f>""</f>
        <v/>
      </c>
      <c r="T205" s="20" t="str">
        <f>""</f>
        <v/>
      </c>
      <c r="U205" s="20" t="str">
        <f>IF('Step 4 - Vice President'!B52="","",'Step 4 - Vice President'!I52)</f>
        <v/>
      </c>
      <c r="V205" s="19" t="str">
        <f>IF('Step 4 - Vice President'!B52="","",'Step 4 - Vice President'!K52)</f>
        <v/>
      </c>
      <c r="W205" s="20" t="str">
        <f>IF('Step 4 - Vice President'!B52="","",'Step 4 - Vice President'!L52)</f>
        <v/>
      </c>
      <c r="X205" s="19" t="str">
        <f>IF('Step 4 - Vice President'!B52="","",'Step 4 - Vice President'!N52)</f>
        <v/>
      </c>
      <c r="Y205" s="20" t="str">
        <f>""</f>
        <v/>
      </c>
      <c r="Z205" s="20" t="str">
        <f>""</f>
        <v/>
      </c>
      <c r="AA205" s="20" t="str">
        <f>""</f>
        <v/>
      </c>
      <c r="AB205" s="20" t="str">
        <f>""</f>
        <v/>
      </c>
      <c r="AC205" s="20" t="str">
        <f>""</f>
        <v/>
      </c>
      <c r="AD205" s="20" t="str">
        <f>""</f>
        <v/>
      </c>
      <c r="AE205" s="20" t="str">
        <f>""</f>
        <v/>
      </c>
      <c r="AF205" s="20" t="str">
        <f>""</f>
        <v/>
      </c>
      <c r="AG205" s="20" t="str">
        <f>""</f>
        <v/>
      </c>
      <c r="AH205" s="20" t="str">
        <f>""</f>
        <v/>
      </c>
      <c r="AI205" s="20" t="str">
        <f>""</f>
        <v/>
      </c>
      <c r="AJ205" s="20" t="str">
        <f>""</f>
        <v/>
      </c>
      <c r="AK205" s="20" t="str">
        <f>""</f>
        <v/>
      </c>
      <c r="AL205" s="20" t="str">
        <f>""</f>
        <v/>
      </c>
      <c r="AM205" s="20" t="str">
        <f>""</f>
        <v/>
      </c>
    </row>
    <row r="206" spans="1:39" ht="15.75" customHeight="1" x14ac:dyDescent="0.25">
      <c r="A206" s="17" t="str">
        <f>IF('Step 4 - Vice President'!B53="","","Active")</f>
        <v/>
      </c>
      <c r="B206" s="18" t="str">
        <f>IF('Step 4 - Vice President'!B53="","",'Step 4 - Vice President'!B53)</f>
        <v/>
      </c>
      <c r="C206" s="18" t="str">
        <f>IF('Step 4 - Vice President'!B53="","",'Step 4 - Vice President'!B53)</f>
        <v/>
      </c>
      <c r="D206" s="17" t="str">
        <f>IF('Step 4 - Vice President'!B53="","",'Step 4 - Vice President'!G53)</f>
        <v/>
      </c>
      <c r="E206" s="17" t="str">
        <f>IF('Step 4 - Vice President'!B53="","",'Step 4 - Vice President'!H53)</f>
        <v/>
      </c>
      <c r="F206" s="18" t="str">
        <f>IF('Step 4 - Vice President'!B53="","",IF('Step 4 - Vice President'!C53="","","Fund Code"))</f>
        <v/>
      </c>
      <c r="G206" s="17" t="str">
        <f>IF('Step 4 - Vice President'!B53="","",IF('Step 4 - Vice President'!C53="","","Equals"))</f>
        <v/>
      </c>
      <c r="H206" s="18" t="str">
        <f>IF('Step 4 - Vice President'!B53="","",IF('Step 4 - Vice President'!C53="","",'Step 4 - Vice President'!C53))</f>
        <v/>
      </c>
      <c r="I206" s="18" t="str">
        <f>IF('Step 4 - Vice President'!B53="","","Organization Code")</f>
        <v/>
      </c>
      <c r="J206" s="17" t="str">
        <f>IF('Step 4 - Vice President'!B53="","","Equals")</f>
        <v/>
      </c>
      <c r="K206" s="18" t="str">
        <f>IF('Step 4 - Vice President'!B53="","",'Step 4 - Vice President'!D53)</f>
        <v/>
      </c>
      <c r="L206" s="18" t="str">
        <f>IF('Step 4 - Vice President'!B53="","","Other Criteria")</f>
        <v/>
      </c>
      <c r="M206" s="17" t="str">
        <f>IF('Step 4 - Vice President'!B53="","","Equals")</f>
        <v/>
      </c>
      <c r="N206" s="18" t="str">
        <f>IF('Step 4 - Vice President'!B53="","",'Step 4 - Vice President'!E53)</f>
        <v/>
      </c>
      <c r="O206" s="18" t="str">
        <f>IF('Step 4 - Vice President'!B53="","",IF('Step 4 - Vice President'!F53="","","Total"))</f>
        <v/>
      </c>
      <c r="P206" s="17" t="str">
        <f>IF('Step 4 - Vice President'!B53="","",IF('Step 4 - Vice President'!F53="","","&gt;="))</f>
        <v/>
      </c>
      <c r="Q206" s="18" t="str">
        <f>IF('Step 4 - Vice President'!B53="","",IF('Step 4 - Vice President'!F53="","",'Step 4 - Vice President'!F53))</f>
        <v/>
      </c>
      <c r="R206" s="18" t="str">
        <f>""</f>
        <v/>
      </c>
      <c r="S206" s="18" t="str">
        <f>""</f>
        <v/>
      </c>
      <c r="T206" s="18" t="str">
        <f>""</f>
        <v/>
      </c>
      <c r="U206" s="18" t="str">
        <f>IF('Step 4 - Vice President'!B53="","",'Step 4 - Vice President'!I53)</f>
        <v/>
      </c>
      <c r="V206" s="17" t="str">
        <f>IF('Step 4 - Vice President'!B53="","",'Step 4 - Vice President'!K53)</f>
        <v/>
      </c>
      <c r="W206" s="18" t="str">
        <f>IF('Step 4 - Vice President'!B53="","",'Step 4 - Vice President'!L53)</f>
        <v/>
      </c>
      <c r="X206" s="17" t="str">
        <f>IF('Step 4 - Vice President'!B53="","",'Step 4 - Vice President'!N53)</f>
        <v/>
      </c>
      <c r="Y206" s="18" t="str">
        <f>""</f>
        <v/>
      </c>
      <c r="Z206" s="18" t="str">
        <f>""</f>
        <v/>
      </c>
      <c r="AA206" s="18" t="str">
        <f>""</f>
        <v/>
      </c>
      <c r="AB206" s="18" t="str">
        <f>""</f>
        <v/>
      </c>
      <c r="AC206" s="18" t="str">
        <f>""</f>
        <v/>
      </c>
      <c r="AD206" s="18" t="str">
        <f>""</f>
        <v/>
      </c>
      <c r="AE206" s="18" t="str">
        <f>""</f>
        <v/>
      </c>
      <c r="AF206" s="18" t="str">
        <f>""</f>
        <v/>
      </c>
      <c r="AG206" s="18" t="str">
        <f>""</f>
        <v/>
      </c>
      <c r="AH206" s="18" t="str">
        <f>""</f>
        <v/>
      </c>
      <c r="AI206" s="18" t="str">
        <f>""</f>
        <v/>
      </c>
      <c r="AJ206" s="18" t="str">
        <f>""</f>
        <v/>
      </c>
      <c r="AK206" s="18" t="str">
        <f>""</f>
        <v/>
      </c>
      <c r="AL206" s="18" t="str">
        <f>""</f>
        <v/>
      </c>
      <c r="AM206" s="18" t="str">
        <f>""</f>
        <v/>
      </c>
    </row>
    <row r="207" spans="1:39" ht="13.5" customHeight="1" x14ac:dyDescent="0.25">
      <c r="A207" s="29" t="s">
        <v>191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</row>
    <row r="208" spans="1:39" ht="15.75" customHeight="1" x14ac:dyDescent="0.25">
      <c r="A208" s="17" t="str">
        <f>IF('Step 5 - President'!B5="","","Active")</f>
        <v/>
      </c>
      <c r="B208" s="18" t="str">
        <f>IF('Step 5 - President'!B5="","",'Step 5 - President'!B5)</f>
        <v/>
      </c>
      <c r="C208" s="18" t="str">
        <f>IF('Step 5 - President'!B5="","",'Step 5 - President'!B5)</f>
        <v/>
      </c>
      <c r="D208" s="17" t="str">
        <f>IF('Step 5 - President'!B5="","",'Step 5 - President'!G5)</f>
        <v/>
      </c>
      <c r="E208" s="17" t="str">
        <f>IF('Step 5 - President'!B5="","",'Step 5 - President'!H5)</f>
        <v/>
      </c>
      <c r="F208" s="18" t="str">
        <f>IF('Step 5 - President'!B5="","",IF('Step 5 - President'!C5="","","Fund Code"))</f>
        <v/>
      </c>
      <c r="G208" s="17" t="str">
        <f>IF('Step 5 - President'!B5="","",IF('Step 5 - President'!C5="","","Equals"))</f>
        <v/>
      </c>
      <c r="H208" s="18" t="str">
        <f>IF('Step 5 - President'!B5="","",IF('Step 5 - President'!C5="","",'Step 5 - President'!C5))</f>
        <v/>
      </c>
      <c r="I208" s="18" t="str">
        <f>IF('Step 5 - President'!B5="","","Organization Code")</f>
        <v/>
      </c>
      <c r="J208" s="17" t="str">
        <f>IF('Step 5 - President'!B5="","","Equals")</f>
        <v/>
      </c>
      <c r="K208" s="18" t="str">
        <f>IF('Step 5 - President'!B5="","",'Step 5 - President'!D5)</f>
        <v/>
      </c>
      <c r="L208" s="18" t="str">
        <f>IF('Step 5 - President'!B5="","","Other Criteria")</f>
        <v/>
      </c>
      <c r="M208" s="17" t="str">
        <f>IF('Step 5 - President'!B5="","","Equals")</f>
        <v/>
      </c>
      <c r="N208" s="18" t="str">
        <f>IF('Step 5 - President'!B5="","",'Step 5 - President'!E5)</f>
        <v/>
      </c>
      <c r="O208" s="18" t="str">
        <f>IF('Step 5 - President'!B5="","",IF('Step 5 - President'!F5="","","Total"))</f>
        <v/>
      </c>
      <c r="P208" s="17" t="str">
        <f>IF('Step 5 - President'!B5="","",IF('Step 5 - President'!F5="","","&gt;="))</f>
        <v/>
      </c>
      <c r="Q208" s="18" t="str">
        <f>IF('Step 5 - President'!B5="","",IF('Step 5 - President'!F5="","",'Step 5 - President'!F5))</f>
        <v/>
      </c>
      <c r="R208" s="18" t="str">
        <f>""</f>
        <v/>
      </c>
      <c r="S208" s="18" t="str">
        <f>""</f>
        <v/>
      </c>
      <c r="T208" s="18" t="str">
        <f>""</f>
        <v/>
      </c>
      <c r="U208" s="18" t="str">
        <f>IF('Step 5 - President'!B5="","",'Step 5 - President'!I5)</f>
        <v/>
      </c>
      <c r="V208" s="17" t="str">
        <f>IF('Step 5 - President'!B5="","",'Step 5 - President'!K5)</f>
        <v/>
      </c>
      <c r="W208" s="18" t="str">
        <f>IF('Step 5 - President'!B5="","",'Step 5 - President'!L5)</f>
        <v/>
      </c>
      <c r="X208" s="17" t="str">
        <f>IF('Step 5 - President'!B5="","",'Step 5 - President'!N5)</f>
        <v/>
      </c>
      <c r="Y208" s="18" t="str">
        <f>""</f>
        <v/>
      </c>
      <c r="Z208" s="18" t="str">
        <f>""</f>
        <v/>
      </c>
      <c r="AA208" s="18" t="str">
        <f>""</f>
        <v/>
      </c>
      <c r="AB208" s="18" t="str">
        <f>""</f>
        <v/>
      </c>
      <c r="AC208" s="18" t="str">
        <f>""</f>
        <v/>
      </c>
      <c r="AD208" s="18" t="str">
        <f>""</f>
        <v/>
      </c>
      <c r="AE208" s="18" t="str">
        <f>""</f>
        <v/>
      </c>
      <c r="AF208" s="18" t="str">
        <f>""</f>
        <v/>
      </c>
      <c r="AG208" s="18" t="str">
        <f>""</f>
        <v/>
      </c>
      <c r="AH208" s="18" t="str">
        <f>""</f>
        <v/>
      </c>
      <c r="AI208" s="18" t="str">
        <f>""</f>
        <v/>
      </c>
      <c r="AJ208" s="18" t="str">
        <f>""</f>
        <v/>
      </c>
      <c r="AK208" s="18" t="str">
        <f>""</f>
        <v/>
      </c>
      <c r="AL208" s="18" t="str">
        <f>""</f>
        <v/>
      </c>
      <c r="AM208" s="18" t="str">
        <f>""</f>
        <v/>
      </c>
    </row>
    <row r="209" spans="1:39" ht="15.75" customHeight="1" x14ac:dyDescent="0.25">
      <c r="A209" s="19" t="str">
        <f>IF('Step 5 - President'!B6="","","Active")</f>
        <v/>
      </c>
      <c r="B209" s="20" t="str">
        <f>IF('Step 5 - President'!B6="","",'Step 5 - President'!B6)</f>
        <v/>
      </c>
      <c r="C209" s="20" t="str">
        <f>IF('Step 5 - President'!B6="","",'Step 5 - President'!B6)</f>
        <v/>
      </c>
      <c r="D209" s="19" t="str">
        <f>IF('Step 5 - President'!B6="","",'Step 5 - President'!G6)</f>
        <v/>
      </c>
      <c r="E209" s="19" t="str">
        <f>IF('Step 5 - President'!B6="","",'Step 5 - President'!H6)</f>
        <v/>
      </c>
      <c r="F209" s="20" t="str">
        <f>IF('Step 5 - President'!B6="","",IF('Step 5 - President'!C6="","","Fund Code"))</f>
        <v/>
      </c>
      <c r="G209" s="19" t="str">
        <f>IF('Step 5 - President'!B6="","",IF('Step 5 - President'!C6="","","Equals"))</f>
        <v/>
      </c>
      <c r="H209" s="20" t="str">
        <f>IF('Step 5 - President'!B6="","",IF('Step 5 - President'!C6="","",'Step 5 - President'!C6))</f>
        <v/>
      </c>
      <c r="I209" s="20" t="str">
        <f>IF('Step 5 - President'!B6="","","Organization Code")</f>
        <v/>
      </c>
      <c r="J209" s="19" t="str">
        <f>IF('Step 5 - President'!B6="","","Equals")</f>
        <v/>
      </c>
      <c r="K209" s="20" t="str">
        <f>IF('Step 5 - President'!B6="","",'Step 5 - President'!D6)</f>
        <v/>
      </c>
      <c r="L209" s="20" t="str">
        <f>IF('Step 5 - President'!B6="","","Other Criteria")</f>
        <v/>
      </c>
      <c r="M209" s="19" t="str">
        <f>IF('Step 5 - President'!B6="","","Equals")</f>
        <v/>
      </c>
      <c r="N209" s="20" t="str">
        <f>IF('Step 5 - President'!B6="","",'Step 5 - President'!E6)</f>
        <v/>
      </c>
      <c r="O209" s="20" t="str">
        <f>IF('Step 5 - President'!B6="","",IF('Step 5 - President'!F6="","","Total"))</f>
        <v/>
      </c>
      <c r="P209" s="19" t="str">
        <f>IF('Step 5 - President'!B6="","",IF('Step 5 - President'!F6="","","&gt;="))</f>
        <v/>
      </c>
      <c r="Q209" s="20" t="str">
        <f>IF('Step 5 - President'!B6="","",IF('Step 5 - President'!F6="","",'Step 5 - President'!F6))</f>
        <v/>
      </c>
      <c r="R209" s="20" t="str">
        <f>""</f>
        <v/>
      </c>
      <c r="S209" s="20" t="str">
        <f>""</f>
        <v/>
      </c>
      <c r="T209" s="20" t="str">
        <f>""</f>
        <v/>
      </c>
      <c r="U209" s="20" t="str">
        <f>IF('Step 5 - President'!B6="","",'Step 5 - President'!I6)</f>
        <v/>
      </c>
      <c r="V209" s="19" t="str">
        <f>IF('Step 5 - President'!B6="","",'Step 5 - President'!K6)</f>
        <v/>
      </c>
      <c r="W209" s="20" t="str">
        <f>IF('Step 5 - President'!B6="","",'Step 5 - President'!L6)</f>
        <v/>
      </c>
      <c r="X209" s="19" t="str">
        <f>IF('Step 5 - President'!B6="","",'Step 5 - President'!N6)</f>
        <v/>
      </c>
      <c r="Y209" s="20" t="str">
        <f>""</f>
        <v/>
      </c>
      <c r="Z209" s="20" t="str">
        <f>""</f>
        <v/>
      </c>
      <c r="AA209" s="20" t="str">
        <f>""</f>
        <v/>
      </c>
      <c r="AB209" s="20" t="str">
        <f>""</f>
        <v/>
      </c>
      <c r="AC209" s="20" t="str">
        <f>""</f>
        <v/>
      </c>
      <c r="AD209" s="20" t="str">
        <f>""</f>
        <v/>
      </c>
      <c r="AE209" s="20" t="str">
        <f>""</f>
        <v/>
      </c>
      <c r="AF209" s="20" t="str">
        <f>""</f>
        <v/>
      </c>
      <c r="AG209" s="20" t="str">
        <f>""</f>
        <v/>
      </c>
      <c r="AH209" s="20" t="str">
        <f>""</f>
        <v/>
      </c>
      <c r="AI209" s="20" t="str">
        <f>""</f>
        <v/>
      </c>
      <c r="AJ209" s="20" t="str">
        <f>""</f>
        <v/>
      </c>
      <c r="AK209" s="20" t="str">
        <f>""</f>
        <v/>
      </c>
      <c r="AL209" s="20" t="str">
        <f>""</f>
        <v/>
      </c>
      <c r="AM209" s="20" t="str">
        <f>""</f>
        <v/>
      </c>
    </row>
    <row r="210" spans="1:39" ht="15.75" customHeight="1" x14ac:dyDescent="0.25">
      <c r="A210" s="17" t="str">
        <f>IF('Step 5 - President'!B7="","","Active")</f>
        <v/>
      </c>
      <c r="B210" s="18" t="str">
        <f>IF('Step 5 - President'!B7="","",'Step 5 - President'!B7)</f>
        <v/>
      </c>
      <c r="C210" s="18" t="str">
        <f>IF('Step 5 - President'!B7="","",'Step 5 - President'!B7)</f>
        <v/>
      </c>
      <c r="D210" s="17" t="str">
        <f>IF('Step 5 - President'!B7="","",'Step 5 - President'!G7)</f>
        <v/>
      </c>
      <c r="E210" s="17" t="str">
        <f>IF('Step 5 - President'!B7="","",'Step 5 - President'!H7)</f>
        <v/>
      </c>
      <c r="F210" s="18" t="str">
        <f>IF('Step 5 - President'!B7="","",IF('Step 5 - President'!C7="","","Fund Code"))</f>
        <v/>
      </c>
      <c r="G210" s="17" t="str">
        <f>IF('Step 5 - President'!B7="","",IF('Step 5 - President'!C7="","","Equals"))</f>
        <v/>
      </c>
      <c r="H210" s="18" t="str">
        <f>IF('Step 5 - President'!B7="","",IF('Step 5 - President'!C7="","",'Step 5 - President'!C7))</f>
        <v/>
      </c>
      <c r="I210" s="18" t="str">
        <f>IF('Step 5 - President'!B7="","","Organization Code")</f>
        <v/>
      </c>
      <c r="J210" s="17" t="str">
        <f>IF('Step 5 - President'!B7="","","Equals")</f>
        <v/>
      </c>
      <c r="K210" s="18" t="str">
        <f>IF('Step 5 - President'!B7="","",'Step 5 - President'!D7)</f>
        <v/>
      </c>
      <c r="L210" s="18" t="str">
        <f>IF('Step 5 - President'!B7="","","Other Criteria")</f>
        <v/>
      </c>
      <c r="M210" s="17" t="str">
        <f>IF('Step 5 - President'!B7="","","Equals")</f>
        <v/>
      </c>
      <c r="N210" s="18" t="str">
        <f>IF('Step 5 - President'!B7="","",'Step 5 - President'!E7)</f>
        <v/>
      </c>
      <c r="O210" s="18" t="str">
        <f>IF('Step 5 - President'!B7="","",IF('Step 5 - President'!F7="","","Total"))</f>
        <v/>
      </c>
      <c r="P210" s="17" t="str">
        <f>IF('Step 5 - President'!B7="","",IF('Step 5 - President'!F7="","","&gt;="))</f>
        <v/>
      </c>
      <c r="Q210" s="18" t="str">
        <f>IF('Step 5 - President'!B7="","",IF('Step 5 - President'!F7="","",'Step 5 - President'!F7))</f>
        <v/>
      </c>
      <c r="R210" s="18" t="str">
        <f>""</f>
        <v/>
      </c>
      <c r="S210" s="18" t="str">
        <f>""</f>
        <v/>
      </c>
      <c r="T210" s="18" t="str">
        <f>""</f>
        <v/>
      </c>
      <c r="U210" s="18" t="str">
        <f>IF('Step 5 - President'!B7="","",'Step 5 - President'!I7)</f>
        <v/>
      </c>
      <c r="V210" s="17" t="str">
        <f>IF('Step 5 - President'!B7="","",'Step 5 - President'!K7)</f>
        <v/>
      </c>
      <c r="W210" s="18" t="str">
        <f>IF('Step 5 - President'!B7="","",'Step 5 - President'!L7)</f>
        <v/>
      </c>
      <c r="X210" s="17" t="str">
        <f>IF('Step 5 - President'!B7="","",'Step 5 - President'!N7)</f>
        <v/>
      </c>
      <c r="Y210" s="18" t="str">
        <f>""</f>
        <v/>
      </c>
      <c r="Z210" s="18" t="str">
        <f>""</f>
        <v/>
      </c>
      <c r="AA210" s="18" t="str">
        <f>""</f>
        <v/>
      </c>
      <c r="AB210" s="18" t="str">
        <f>""</f>
        <v/>
      </c>
      <c r="AC210" s="18" t="str">
        <f>""</f>
        <v/>
      </c>
      <c r="AD210" s="18" t="str">
        <f>""</f>
        <v/>
      </c>
      <c r="AE210" s="18" t="str">
        <f>""</f>
        <v/>
      </c>
      <c r="AF210" s="18" t="str">
        <f>""</f>
        <v/>
      </c>
      <c r="AG210" s="18" t="str">
        <f>""</f>
        <v/>
      </c>
      <c r="AH210" s="18" t="str">
        <f>""</f>
        <v/>
      </c>
      <c r="AI210" s="18" t="str">
        <f>""</f>
        <v/>
      </c>
      <c r="AJ210" s="18" t="str">
        <f>""</f>
        <v/>
      </c>
      <c r="AK210" s="18" t="str">
        <f>""</f>
        <v/>
      </c>
      <c r="AL210" s="18" t="str">
        <f>""</f>
        <v/>
      </c>
      <c r="AM210" s="18" t="str">
        <f>""</f>
        <v/>
      </c>
    </row>
    <row r="211" spans="1:39" ht="15.75" customHeight="1" x14ac:dyDescent="0.25">
      <c r="A211" s="19" t="str">
        <f>IF('Step 5 - President'!B8="","","Active")</f>
        <v/>
      </c>
      <c r="B211" s="20" t="str">
        <f>IF('Step 5 - President'!B8="","",'Step 5 - President'!B8)</f>
        <v/>
      </c>
      <c r="C211" s="20" t="str">
        <f>IF('Step 5 - President'!B8="","",'Step 5 - President'!B8)</f>
        <v/>
      </c>
      <c r="D211" s="19" t="str">
        <f>IF('Step 5 - President'!B8="","",'Step 5 - President'!G8)</f>
        <v/>
      </c>
      <c r="E211" s="19" t="str">
        <f>IF('Step 5 - President'!B8="","",'Step 5 - President'!H8)</f>
        <v/>
      </c>
      <c r="F211" s="20" t="str">
        <f>IF('Step 5 - President'!B8="","",IF('Step 5 - President'!C8="","","Fund Code"))</f>
        <v/>
      </c>
      <c r="G211" s="19" t="str">
        <f>IF('Step 5 - President'!B8="","",IF('Step 5 - President'!C8="","","Equals"))</f>
        <v/>
      </c>
      <c r="H211" s="20" t="str">
        <f>IF('Step 5 - President'!B8="","",IF('Step 5 - President'!C8="","",'Step 5 - President'!C8))</f>
        <v/>
      </c>
      <c r="I211" s="20" t="str">
        <f>IF('Step 5 - President'!B8="","","Organization Code")</f>
        <v/>
      </c>
      <c r="J211" s="19" t="str">
        <f>IF('Step 5 - President'!B8="","","Equals")</f>
        <v/>
      </c>
      <c r="K211" s="20" t="str">
        <f>IF('Step 5 - President'!B8="","",'Step 5 - President'!D8)</f>
        <v/>
      </c>
      <c r="L211" s="20" t="str">
        <f>IF('Step 5 - President'!B8="","","Other Criteria")</f>
        <v/>
      </c>
      <c r="M211" s="19" t="str">
        <f>IF('Step 5 - President'!B8="","","Equals")</f>
        <v/>
      </c>
      <c r="N211" s="20" t="str">
        <f>IF('Step 5 - President'!B8="","",'Step 5 - President'!E8)</f>
        <v/>
      </c>
      <c r="O211" s="20" t="str">
        <f>IF('Step 5 - President'!B8="","",IF('Step 5 - President'!F8="","","Total"))</f>
        <v/>
      </c>
      <c r="P211" s="19" t="str">
        <f>IF('Step 5 - President'!B8="","",IF('Step 5 - President'!F8="","","&gt;="))</f>
        <v/>
      </c>
      <c r="Q211" s="20" t="str">
        <f>IF('Step 5 - President'!B8="","",IF('Step 5 - President'!F8="","",'Step 5 - President'!F8))</f>
        <v/>
      </c>
      <c r="R211" s="20" t="str">
        <f>""</f>
        <v/>
      </c>
      <c r="S211" s="20" t="str">
        <f>""</f>
        <v/>
      </c>
      <c r="T211" s="20" t="str">
        <f>""</f>
        <v/>
      </c>
      <c r="U211" s="20" t="str">
        <f>IF('Step 5 - President'!B8="","",'Step 5 - President'!I8)</f>
        <v/>
      </c>
      <c r="V211" s="19" t="str">
        <f>IF('Step 5 - President'!B8="","",'Step 5 - President'!K8)</f>
        <v/>
      </c>
      <c r="W211" s="20" t="str">
        <f>IF('Step 5 - President'!B8="","",'Step 5 - President'!L8)</f>
        <v/>
      </c>
      <c r="X211" s="19" t="str">
        <f>IF('Step 5 - President'!B8="","",'Step 5 - President'!N8)</f>
        <v/>
      </c>
      <c r="Y211" s="20" t="str">
        <f>""</f>
        <v/>
      </c>
      <c r="Z211" s="20" t="str">
        <f>""</f>
        <v/>
      </c>
      <c r="AA211" s="20" t="str">
        <f>""</f>
        <v/>
      </c>
      <c r="AB211" s="20" t="str">
        <f>""</f>
        <v/>
      </c>
      <c r="AC211" s="20" t="str">
        <f>""</f>
        <v/>
      </c>
      <c r="AD211" s="20" t="str">
        <f>""</f>
        <v/>
      </c>
      <c r="AE211" s="20" t="str">
        <f>""</f>
        <v/>
      </c>
      <c r="AF211" s="20" t="str">
        <f>""</f>
        <v/>
      </c>
      <c r="AG211" s="20" t="str">
        <f>""</f>
        <v/>
      </c>
      <c r="AH211" s="20" t="str">
        <f>""</f>
        <v/>
      </c>
      <c r="AI211" s="20" t="str">
        <f>""</f>
        <v/>
      </c>
      <c r="AJ211" s="20" t="str">
        <f>""</f>
        <v/>
      </c>
      <c r="AK211" s="20" t="str">
        <f>""</f>
        <v/>
      </c>
      <c r="AL211" s="20" t="str">
        <f>""</f>
        <v/>
      </c>
      <c r="AM211" s="20" t="str">
        <f>""</f>
        <v/>
      </c>
    </row>
    <row r="212" spans="1:39" ht="15.75" customHeight="1" x14ac:dyDescent="0.25">
      <c r="A212" s="17" t="str">
        <f>IF('Step 5 - President'!B9="","","Active")</f>
        <v/>
      </c>
      <c r="B212" s="18" t="str">
        <f>IF('Step 5 - President'!B9="","",'Step 5 - President'!B9)</f>
        <v/>
      </c>
      <c r="C212" s="18" t="str">
        <f>IF('Step 5 - President'!B9="","",'Step 5 - President'!B9)</f>
        <v/>
      </c>
      <c r="D212" s="17" t="str">
        <f>IF('Step 5 - President'!B9="","",'Step 5 - President'!G9)</f>
        <v/>
      </c>
      <c r="E212" s="17" t="str">
        <f>IF('Step 5 - President'!B9="","",'Step 5 - President'!H9)</f>
        <v/>
      </c>
      <c r="F212" s="18" t="str">
        <f>IF('Step 5 - President'!B9="","",IF('Step 5 - President'!C9="","","Fund Code"))</f>
        <v/>
      </c>
      <c r="G212" s="17" t="str">
        <f>IF('Step 5 - President'!B9="","",IF('Step 5 - President'!C9="","","Equals"))</f>
        <v/>
      </c>
      <c r="H212" s="18" t="str">
        <f>IF('Step 5 - President'!B9="","",IF('Step 5 - President'!C9="","",'Step 5 - President'!C9))</f>
        <v/>
      </c>
      <c r="I212" s="18" t="str">
        <f>IF('Step 5 - President'!B9="","","Organization Code")</f>
        <v/>
      </c>
      <c r="J212" s="17" t="str">
        <f>IF('Step 5 - President'!B9="","","Equals")</f>
        <v/>
      </c>
      <c r="K212" s="18" t="str">
        <f>IF('Step 5 - President'!B9="","",'Step 5 - President'!D9)</f>
        <v/>
      </c>
      <c r="L212" s="18" t="str">
        <f>IF('Step 5 - President'!B9="","","Other Criteria")</f>
        <v/>
      </c>
      <c r="M212" s="17" t="str">
        <f>IF('Step 5 - President'!B9="","","Equals")</f>
        <v/>
      </c>
      <c r="N212" s="18" t="str">
        <f>IF('Step 5 - President'!B9="","",'Step 5 - President'!E9)</f>
        <v/>
      </c>
      <c r="O212" s="18" t="str">
        <f>IF('Step 5 - President'!B9="","",IF('Step 5 - President'!F9="","","Total"))</f>
        <v/>
      </c>
      <c r="P212" s="17" t="str">
        <f>IF('Step 5 - President'!B9="","",IF('Step 5 - President'!F9="","","&gt;="))</f>
        <v/>
      </c>
      <c r="Q212" s="18" t="str">
        <f>IF('Step 5 - President'!B9="","",IF('Step 5 - President'!F9="","",'Step 5 - President'!F9))</f>
        <v/>
      </c>
      <c r="R212" s="18" t="str">
        <f>""</f>
        <v/>
      </c>
      <c r="S212" s="18" t="str">
        <f>""</f>
        <v/>
      </c>
      <c r="T212" s="18" t="str">
        <f>""</f>
        <v/>
      </c>
      <c r="U212" s="18" t="str">
        <f>IF('Step 5 - President'!B9="","",'Step 5 - President'!I9)</f>
        <v/>
      </c>
      <c r="V212" s="17" t="str">
        <f>IF('Step 5 - President'!B9="","",'Step 5 - President'!K9)</f>
        <v/>
      </c>
      <c r="W212" s="18" t="str">
        <f>IF('Step 5 - President'!B9="","",'Step 5 - President'!L9)</f>
        <v/>
      </c>
      <c r="X212" s="17" t="str">
        <f>IF('Step 5 - President'!B9="","",'Step 5 - President'!N9)</f>
        <v/>
      </c>
      <c r="Y212" s="18" t="str">
        <f>""</f>
        <v/>
      </c>
      <c r="Z212" s="18" t="str">
        <f>""</f>
        <v/>
      </c>
      <c r="AA212" s="18" t="str">
        <f>""</f>
        <v/>
      </c>
      <c r="AB212" s="18" t="str">
        <f>""</f>
        <v/>
      </c>
      <c r="AC212" s="18" t="str">
        <f>""</f>
        <v/>
      </c>
      <c r="AD212" s="18" t="str">
        <f>""</f>
        <v/>
      </c>
      <c r="AE212" s="18" t="str">
        <f>""</f>
        <v/>
      </c>
      <c r="AF212" s="18" t="str">
        <f>""</f>
        <v/>
      </c>
      <c r="AG212" s="18" t="str">
        <f>""</f>
        <v/>
      </c>
      <c r="AH212" s="18" t="str">
        <f>""</f>
        <v/>
      </c>
      <c r="AI212" s="18" t="str">
        <f>""</f>
        <v/>
      </c>
      <c r="AJ212" s="18" t="str">
        <f>""</f>
        <v/>
      </c>
      <c r="AK212" s="18" t="str">
        <f>""</f>
        <v/>
      </c>
      <c r="AL212" s="18" t="str">
        <f>""</f>
        <v/>
      </c>
      <c r="AM212" s="18" t="str">
        <f>""</f>
        <v/>
      </c>
    </row>
    <row r="213" spans="1:39" ht="15.75" customHeight="1" x14ac:dyDescent="0.25">
      <c r="A213" s="19" t="str">
        <f>IF('Step 5 - President'!B10="","","Active")</f>
        <v/>
      </c>
      <c r="B213" s="20" t="str">
        <f>IF('Step 5 - President'!B10="","",'Step 5 - President'!B10)</f>
        <v/>
      </c>
      <c r="C213" s="20" t="str">
        <f>IF('Step 5 - President'!B10="","",'Step 5 - President'!B10)</f>
        <v/>
      </c>
      <c r="D213" s="19" t="str">
        <f>IF('Step 5 - President'!B10="","",'Step 5 - President'!G10)</f>
        <v/>
      </c>
      <c r="E213" s="19" t="str">
        <f>IF('Step 5 - President'!B10="","",'Step 5 - President'!H10)</f>
        <v/>
      </c>
      <c r="F213" s="20" t="str">
        <f>IF('Step 5 - President'!B10="","",IF('Step 5 - President'!C10="","","Fund Code"))</f>
        <v/>
      </c>
      <c r="G213" s="19" t="str">
        <f>IF('Step 5 - President'!B10="","",IF('Step 5 - President'!C10="","","Equals"))</f>
        <v/>
      </c>
      <c r="H213" s="20" t="str">
        <f>IF('Step 5 - President'!B10="","",IF('Step 5 - President'!C10="","",'Step 5 - President'!C10))</f>
        <v/>
      </c>
      <c r="I213" s="20" t="str">
        <f>IF('Step 5 - President'!B10="","","Organization Code")</f>
        <v/>
      </c>
      <c r="J213" s="19" t="str">
        <f>IF('Step 5 - President'!B10="","","Equals")</f>
        <v/>
      </c>
      <c r="K213" s="20" t="str">
        <f>IF('Step 5 - President'!B10="","",'Step 5 - President'!D10)</f>
        <v/>
      </c>
      <c r="L213" s="20" t="str">
        <f>IF('Step 5 - President'!B10="","","Other Criteria")</f>
        <v/>
      </c>
      <c r="M213" s="19" t="str">
        <f>IF('Step 5 - President'!B10="","","Equals")</f>
        <v/>
      </c>
      <c r="N213" s="20" t="str">
        <f>IF('Step 5 - President'!B10="","",'Step 5 - President'!E10)</f>
        <v/>
      </c>
      <c r="O213" s="20" t="str">
        <f>IF('Step 5 - President'!B10="","",IF('Step 5 - President'!F10="","","Total"))</f>
        <v/>
      </c>
      <c r="P213" s="19" t="str">
        <f>IF('Step 5 - President'!B10="","",IF('Step 5 - President'!F10="","","&gt;="))</f>
        <v/>
      </c>
      <c r="Q213" s="20" t="str">
        <f>IF('Step 5 - President'!B10="","",IF('Step 5 - President'!F10="","",'Step 5 - President'!F10))</f>
        <v/>
      </c>
      <c r="R213" s="20" t="str">
        <f>""</f>
        <v/>
      </c>
      <c r="S213" s="20" t="str">
        <f>""</f>
        <v/>
      </c>
      <c r="T213" s="20" t="str">
        <f>""</f>
        <v/>
      </c>
      <c r="U213" s="20" t="str">
        <f>IF('Step 5 - President'!B10="","",'Step 5 - President'!I10)</f>
        <v/>
      </c>
      <c r="V213" s="19" t="str">
        <f>IF('Step 5 - President'!B10="","",'Step 5 - President'!K10)</f>
        <v/>
      </c>
      <c r="W213" s="20" t="str">
        <f>IF('Step 5 - President'!B10="","",'Step 5 - President'!L10)</f>
        <v/>
      </c>
      <c r="X213" s="19" t="str">
        <f>IF('Step 5 - President'!B10="","",'Step 5 - President'!N10)</f>
        <v/>
      </c>
      <c r="Y213" s="20" t="str">
        <f>""</f>
        <v/>
      </c>
      <c r="Z213" s="20" t="str">
        <f>""</f>
        <v/>
      </c>
      <c r="AA213" s="20" t="str">
        <f>""</f>
        <v/>
      </c>
      <c r="AB213" s="20" t="str">
        <f>""</f>
        <v/>
      </c>
      <c r="AC213" s="20" t="str">
        <f>""</f>
        <v/>
      </c>
      <c r="AD213" s="20" t="str">
        <f>""</f>
        <v/>
      </c>
      <c r="AE213" s="20" t="str">
        <f>""</f>
        <v/>
      </c>
      <c r="AF213" s="20" t="str">
        <f>""</f>
        <v/>
      </c>
      <c r="AG213" s="20" t="str">
        <f>""</f>
        <v/>
      </c>
      <c r="AH213" s="20" t="str">
        <f>""</f>
        <v/>
      </c>
      <c r="AI213" s="20" t="str">
        <f>""</f>
        <v/>
      </c>
      <c r="AJ213" s="20" t="str">
        <f>""</f>
        <v/>
      </c>
      <c r="AK213" s="20" t="str">
        <f>""</f>
        <v/>
      </c>
      <c r="AL213" s="20" t="str">
        <f>""</f>
        <v/>
      </c>
      <c r="AM213" s="20" t="str">
        <f>""</f>
        <v/>
      </c>
    </row>
    <row r="214" spans="1:39" ht="15.75" customHeight="1" x14ac:dyDescent="0.25">
      <c r="A214" s="17" t="str">
        <f>IF('Step 5 - President'!B11="","","Active")</f>
        <v/>
      </c>
      <c r="B214" s="18" t="str">
        <f>IF('Step 5 - President'!B11="","",'Step 5 - President'!B11)</f>
        <v/>
      </c>
      <c r="C214" s="18" t="str">
        <f>IF('Step 5 - President'!B11="","",'Step 5 - President'!B11)</f>
        <v/>
      </c>
      <c r="D214" s="17" t="str">
        <f>IF('Step 5 - President'!B11="","",'Step 5 - President'!G11)</f>
        <v/>
      </c>
      <c r="E214" s="17" t="str">
        <f>IF('Step 5 - President'!B11="","",'Step 5 - President'!H11)</f>
        <v/>
      </c>
      <c r="F214" s="18" t="str">
        <f>IF('Step 5 - President'!B11="","",IF('Step 5 - President'!C11="","","Fund Code"))</f>
        <v/>
      </c>
      <c r="G214" s="17" t="str">
        <f>IF('Step 5 - President'!B11="","",IF('Step 5 - President'!C11="","","Equals"))</f>
        <v/>
      </c>
      <c r="H214" s="18" t="str">
        <f>IF('Step 5 - President'!B11="","",IF('Step 5 - President'!C11="","",'Step 5 - President'!C11))</f>
        <v/>
      </c>
      <c r="I214" s="18" t="str">
        <f>IF('Step 5 - President'!B11="","","Organization Code")</f>
        <v/>
      </c>
      <c r="J214" s="17" t="str">
        <f>IF('Step 5 - President'!B11="","","Equals")</f>
        <v/>
      </c>
      <c r="K214" s="18" t="str">
        <f>IF('Step 5 - President'!B11="","",'Step 5 - President'!D11)</f>
        <v/>
      </c>
      <c r="L214" s="18" t="str">
        <f>IF('Step 5 - President'!B11="","","Other Criteria")</f>
        <v/>
      </c>
      <c r="M214" s="17" t="str">
        <f>IF('Step 5 - President'!B11="","","Equals")</f>
        <v/>
      </c>
      <c r="N214" s="18" t="str">
        <f>IF('Step 5 - President'!B11="","",'Step 5 - President'!E11)</f>
        <v/>
      </c>
      <c r="O214" s="18" t="str">
        <f>IF('Step 5 - President'!B11="","",IF('Step 5 - President'!F11="","","Total"))</f>
        <v/>
      </c>
      <c r="P214" s="17" t="str">
        <f>IF('Step 5 - President'!B11="","",IF('Step 5 - President'!F11="","","&gt;="))</f>
        <v/>
      </c>
      <c r="Q214" s="18" t="str">
        <f>IF('Step 5 - President'!B11="","",IF('Step 5 - President'!F11="","",'Step 5 - President'!F11))</f>
        <v/>
      </c>
      <c r="R214" s="18" t="str">
        <f>""</f>
        <v/>
      </c>
      <c r="S214" s="18" t="str">
        <f>""</f>
        <v/>
      </c>
      <c r="T214" s="18" t="str">
        <f>""</f>
        <v/>
      </c>
      <c r="U214" s="18" t="str">
        <f>IF('Step 5 - President'!B11="","",'Step 5 - President'!I11)</f>
        <v/>
      </c>
      <c r="V214" s="17" t="str">
        <f>IF('Step 5 - President'!B11="","",'Step 5 - President'!K11)</f>
        <v/>
      </c>
      <c r="W214" s="18" t="str">
        <f>IF('Step 5 - President'!B11="","",'Step 5 - President'!L11)</f>
        <v/>
      </c>
      <c r="X214" s="17" t="str">
        <f>IF('Step 5 - President'!B11="","",'Step 5 - President'!N11)</f>
        <v/>
      </c>
      <c r="Y214" s="18" t="str">
        <f>""</f>
        <v/>
      </c>
      <c r="Z214" s="18" t="str">
        <f>""</f>
        <v/>
      </c>
      <c r="AA214" s="18" t="str">
        <f>""</f>
        <v/>
      </c>
      <c r="AB214" s="18" t="str">
        <f>""</f>
        <v/>
      </c>
      <c r="AC214" s="18" t="str">
        <f>""</f>
        <v/>
      </c>
      <c r="AD214" s="18" t="str">
        <f>""</f>
        <v/>
      </c>
      <c r="AE214" s="18" t="str">
        <f>""</f>
        <v/>
      </c>
      <c r="AF214" s="18" t="str">
        <f>""</f>
        <v/>
      </c>
      <c r="AG214" s="18" t="str">
        <f>""</f>
        <v/>
      </c>
      <c r="AH214" s="18" t="str">
        <f>""</f>
        <v/>
      </c>
      <c r="AI214" s="18" t="str">
        <f>""</f>
        <v/>
      </c>
      <c r="AJ214" s="18" t="str">
        <f>""</f>
        <v/>
      </c>
      <c r="AK214" s="18" t="str">
        <f>""</f>
        <v/>
      </c>
      <c r="AL214" s="18" t="str">
        <f>""</f>
        <v/>
      </c>
      <c r="AM214" s="18" t="str">
        <f>""</f>
        <v/>
      </c>
    </row>
    <row r="215" spans="1:39" ht="15.75" customHeight="1" x14ac:dyDescent="0.25">
      <c r="A215" s="19" t="str">
        <f>IF('Step 5 - President'!B12="","","Active")</f>
        <v/>
      </c>
      <c r="B215" s="20" t="str">
        <f>IF('Step 5 - President'!B12="","",'Step 5 - President'!B12)</f>
        <v/>
      </c>
      <c r="C215" s="20" t="str">
        <f>IF('Step 5 - President'!B12="","",'Step 5 - President'!B12)</f>
        <v/>
      </c>
      <c r="D215" s="19" t="str">
        <f>IF('Step 5 - President'!B12="","",'Step 5 - President'!G12)</f>
        <v/>
      </c>
      <c r="E215" s="19" t="str">
        <f>IF('Step 5 - President'!B12="","",'Step 5 - President'!H12)</f>
        <v/>
      </c>
      <c r="F215" s="20" t="str">
        <f>IF('Step 5 - President'!B12="","",IF('Step 5 - President'!C12="","","Fund Code"))</f>
        <v/>
      </c>
      <c r="G215" s="19" t="str">
        <f>IF('Step 5 - President'!B12="","",IF('Step 5 - President'!C12="","","Equals"))</f>
        <v/>
      </c>
      <c r="H215" s="20" t="str">
        <f>IF('Step 5 - President'!B12="","",IF('Step 5 - President'!C12="","",'Step 5 - President'!C12))</f>
        <v/>
      </c>
      <c r="I215" s="20" t="str">
        <f>IF('Step 5 - President'!B12="","","Organization Code")</f>
        <v/>
      </c>
      <c r="J215" s="19" t="str">
        <f>IF('Step 5 - President'!B12="","","Equals")</f>
        <v/>
      </c>
      <c r="K215" s="20" t="str">
        <f>IF('Step 5 - President'!B12="","",'Step 5 - President'!D12)</f>
        <v/>
      </c>
      <c r="L215" s="20" t="str">
        <f>IF('Step 5 - President'!B12="","","Other Criteria")</f>
        <v/>
      </c>
      <c r="M215" s="19" t="str">
        <f>IF('Step 5 - President'!B12="","","Equals")</f>
        <v/>
      </c>
      <c r="N215" s="20" t="str">
        <f>IF('Step 5 - President'!B12="","",'Step 5 - President'!E12)</f>
        <v/>
      </c>
      <c r="O215" s="20" t="str">
        <f>IF('Step 5 - President'!B12="","",IF('Step 5 - President'!F12="","","Total"))</f>
        <v/>
      </c>
      <c r="P215" s="19" t="str">
        <f>IF('Step 5 - President'!B12="","",IF('Step 5 - President'!F12="","","&gt;="))</f>
        <v/>
      </c>
      <c r="Q215" s="20" t="str">
        <f>IF('Step 5 - President'!B12="","",IF('Step 5 - President'!F12="","",'Step 5 - President'!F12))</f>
        <v/>
      </c>
      <c r="R215" s="20" t="str">
        <f>""</f>
        <v/>
      </c>
      <c r="S215" s="20" t="str">
        <f>""</f>
        <v/>
      </c>
      <c r="T215" s="20" t="str">
        <f>""</f>
        <v/>
      </c>
      <c r="U215" s="20" t="str">
        <f>IF('Step 5 - President'!B12="","",'Step 5 - President'!I12)</f>
        <v/>
      </c>
      <c r="V215" s="19" t="str">
        <f>IF('Step 5 - President'!B12="","",'Step 5 - President'!K12)</f>
        <v/>
      </c>
      <c r="W215" s="20" t="str">
        <f>IF('Step 5 - President'!B12="","",'Step 5 - President'!L12)</f>
        <v/>
      </c>
      <c r="X215" s="19" t="str">
        <f>IF('Step 5 - President'!B12="","",'Step 5 - President'!N12)</f>
        <v/>
      </c>
      <c r="Y215" s="20" t="str">
        <f>""</f>
        <v/>
      </c>
      <c r="Z215" s="20" t="str">
        <f>""</f>
        <v/>
      </c>
      <c r="AA215" s="20" t="str">
        <f>""</f>
        <v/>
      </c>
      <c r="AB215" s="20" t="str">
        <f>""</f>
        <v/>
      </c>
      <c r="AC215" s="20" t="str">
        <f>""</f>
        <v/>
      </c>
      <c r="AD215" s="20" t="str">
        <f>""</f>
        <v/>
      </c>
      <c r="AE215" s="20" t="str">
        <f>""</f>
        <v/>
      </c>
      <c r="AF215" s="20" t="str">
        <f>""</f>
        <v/>
      </c>
      <c r="AG215" s="20" t="str">
        <f>""</f>
        <v/>
      </c>
      <c r="AH215" s="20" t="str">
        <f>""</f>
        <v/>
      </c>
      <c r="AI215" s="20" t="str">
        <f>""</f>
        <v/>
      </c>
      <c r="AJ215" s="20" t="str">
        <f>""</f>
        <v/>
      </c>
      <c r="AK215" s="20" t="str">
        <f>""</f>
        <v/>
      </c>
      <c r="AL215" s="20" t="str">
        <f>""</f>
        <v/>
      </c>
      <c r="AM215" s="20" t="str">
        <f>""</f>
        <v/>
      </c>
    </row>
    <row r="216" spans="1:39" ht="15.75" customHeight="1" x14ac:dyDescent="0.25">
      <c r="A216" s="17" t="str">
        <f>IF('Step 5 - President'!B13="","","Active")</f>
        <v/>
      </c>
      <c r="B216" s="18" t="str">
        <f>IF('Step 5 - President'!B13="","",'Step 5 - President'!B13)</f>
        <v/>
      </c>
      <c r="C216" s="18" t="str">
        <f>IF('Step 5 - President'!B13="","",'Step 5 - President'!B13)</f>
        <v/>
      </c>
      <c r="D216" s="17" t="str">
        <f>IF('Step 5 - President'!B13="","",'Step 5 - President'!G13)</f>
        <v/>
      </c>
      <c r="E216" s="17" t="str">
        <f>IF('Step 5 - President'!B13="","",'Step 5 - President'!H13)</f>
        <v/>
      </c>
      <c r="F216" s="18" t="str">
        <f>IF('Step 5 - President'!B13="","",IF('Step 5 - President'!C13="","","Fund Code"))</f>
        <v/>
      </c>
      <c r="G216" s="17" t="str">
        <f>IF('Step 5 - President'!B13="","",IF('Step 5 - President'!C13="","","Equals"))</f>
        <v/>
      </c>
      <c r="H216" s="18" t="str">
        <f>IF('Step 5 - President'!B13="","",IF('Step 5 - President'!C13="","",'Step 5 - President'!C13))</f>
        <v/>
      </c>
      <c r="I216" s="18" t="str">
        <f>IF('Step 5 - President'!B13="","","Organization Code")</f>
        <v/>
      </c>
      <c r="J216" s="17" t="str">
        <f>IF('Step 5 - President'!B13="","","Equals")</f>
        <v/>
      </c>
      <c r="K216" s="18" t="str">
        <f>IF('Step 5 - President'!B13="","",'Step 5 - President'!D13)</f>
        <v/>
      </c>
      <c r="L216" s="18" t="str">
        <f>IF('Step 5 - President'!B13="","","Other Criteria")</f>
        <v/>
      </c>
      <c r="M216" s="17" t="str">
        <f>IF('Step 5 - President'!B13="","","Equals")</f>
        <v/>
      </c>
      <c r="N216" s="18" t="str">
        <f>IF('Step 5 - President'!B13="","",'Step 5 - President'!E13)</f>
        <v/>
      </c>
      <c r="O216" s="18" t="str">
        <f>IF('Step 5 - President'!B13="","",IF('Step 5 - President'!F13="","","Total"))</f>
        <v/>
      </c>
      <c r="P216" s="17" t="str">
        <f>IF('Step 5 - President'!B13="","",IF('Step 5 - President'!F13="","","&gt;="))</f>
        <v/>
      </c>
      <c r="Q216" s="18" t="str">
        <f>IF('Step 5 - President'!B13="","",IF('Step 5 - President'!F13="","",'Step 5 - President'!F13))</f>
        <v/>
      </c>
      <c r="R216" s="18" t="str">
        <f>""</f>
        <v/>
      </c>
      <c r="S216" s="18" t="str">
        <f>""</f>
        <v/>
      </c>
      <c r="T216" s="18" t="str">
        <f>""</f>
        <v/>
      </c>
      <c r="U216" s="18" t="str">
        <f>IF('Step 5 - President'!B13="","",'Step 5 - President'!I13)</f>
        <v/>
      </c>
      <c r="V216" s="17" t="str">
        <f>IF('Step 5 - President'!B13="","",'Step 5 - President'!K13)</f>
        <v/>
      </c>
      <c r="W216" s="18" t="str">
        <f>IF('Step 5 - President'!B13="","",'Step 5 - President'!L13)</f>
        <v/>
      </c>
      <c r="X216" s="17" t="str">
        <f>IF('Step 5 - President'!B13="","",'Step 5 - President'!N13)</f>
        <v/>
      </c>
      <c r="Y216" s="18" t="str">
        <f>""</f>
        <v/>
      </c>
      <c r="Z216" s="18" t="str">
        <f>""</f>
        <v/>
      </c>
      <c r="AA216" s="18" t="str">
        <f>""</f>
        <v/>
      </c>
      <c r="AB216" s="18" t="str">
        <f>""</f>
        <v/>
      </c>
      <c r="AC216" s="18" t="str">
        <f>""</f>
        <v/>
      </c>
      <c r="AD216" s="18" t="str">
        <f>""</f>
        <v/>
      </c>
      <c r="AE216" s="18" t="str">
        <f>""</f>
        <v/>
      </c>
      <c r="AF216" s="18" t="str">
        <f>""</f>
        <v/>
      </c>
      <c r="AG216" s="18" t="str">
        <f>""</f>
        <v/>
      </c>
      <c r="AH216" s="18" t="str">
        <f>""</f>
        <v/>
      </c>
      <c r="AI216" s="18" t="str">
        <f>""</f>
        <v/>
      </c>
      <c r="AJ216" s="18" t="str">
        <f>""</f>
        <v/>
      </c>
      <c r="AK216" s="18" t="str">
        <f>""</f>
        <v/>
      </c>
      <c r="AL216" s="18" t="str">
        <f>""</f>
        <v/>
      </c>
      <c r="AM216" s="18" t="str">
        <f>""</f>
        <v/>
      </c>
    </row>
    <row r="217" spans="1:39" ht="15.75" customHeight="1" x14ac:dyDescent="0.25">
      <c r="A217" s="19" t="str">
        <f>IF('Step 5 - President'!B14="","","Active")</f>
        <v/>
      </c>
      <c r="B217" s="20" t="str">
        <f>IF('Step 5 - President'!B14="","",'Step 5 - President'!B14)</f>
        <v/>
      </c>
      <c r="C217" s="20" t="str">
        <f>IF('Step 5 - President'!B14="","",'Step 5 - President'!B14)</f>
        <v/>
      </c>
      <c r="D217" s="19" t="str">
        <f>IF('Step 5 - President'!B14="","",'Step 5 - President'!G14)</f>
        <v/>
      </c>
      <c r="E217" s="19" t="str">
        <f>IF('Step 5 - President'!B14="","",'Step 5 - President'!H14)</f>
        <v/>
      </c>
      <c r="F217" s="20" t="str">
        <f>IF('Step 5 - President'!B14="","",IF('Step 5 - President'!C14="","","Fund Code"))</f>
        <v/>
      </c>
      <c r="G217" s="19" t="str">
        <f>IF('Step 5 - President'!B14="","",IF('Step 5 - President'!C14="","","Equals"))</f>
        <v/>
      </c>
      <c r="H217" s="20" t="str">
        <f>IF('Step 5 - President'!B14="","",IF('Step 5 - President'!C14="","",'Step 5 - President'!C14))</f>
        <v/>
      </c>
      <c r="I217" s="20" t="str">
        <f>IF('Step 5 - President'!B14="","","Organization Code")</f>
        <v/>
      </c>
      <c r="J217" s="19" t="str">
        <f>IF('Step 5 - President'!B14="","","Equals")</f>
        <v/>
      </c>
      <c r="K217" s="20" t="str">
        <f>IF('Step 5 - President'!B14="","",'Step 5 - President'!D14)</f>
        <v/>
      </c>
      <c r="L217" s="20" t="str">
        <f>IF('Step 5 - President'!B14="","","Other Criteria")</f>
        <v/>
      </c>
      <c r="M217" s="19" t="str">
        <f>IF('Step 5 - President'!B14="","","Equals")</f>
        <v/>
      </c>
      <c r="N217" s="20" t="str">
        <f>IF('Step 5 - President'!B14="","",'Step 5 - President'!E14)</f>
        <v/>
      </c>
      <c r="O217" s="20" t="str">
        <f>IF('Step 5 - President'!B14="","",IF('Step 5 - President'!F14="","","Total"))</f>
        <v/>
      </c>
      <c r="P217" s="19" t="str">
        <f>IF('Step 5 - President'!B14="","",IF('Step 5 - President'!F14="","","&gt;="))</f>
        <v/>
      </c>
      <c r="Q217" s="20" t="str">
        <f>IF('Step 5 - President'!B14="","",IF('Step 5 - President'!F14="","",'Step 5 - President'!F14))</f>
        <v/>
      </c>
      <c r="R217" s="20" t="str">
        <f>""</f>
        <v/>
      </c>
      <c r="S217" s="20" t="str">
        <f>""</f>
        <v/>
      </c>
      <c r="T217" s="20" t="str">
        <f>""</f>
        <v/>
      </c>
      <c r="U217" s="20" t="str">
        <f>IF('Step 5 - President'!B14="","",'Step 5 - President'!I14)</f>
        <v/>
      </c>
      <c r="V217" s="19" t="str">
        <f>IF('Step 5 - President'!B14="","",'Step 5 - President'!K14)</f>
        <v/>
      </c>
      <c r="W217" s="20" t="str">
        <f>IF('Step 5 - President'!B14="","",'Step 5 - President'!L14)</f>
        <v/>
      </c>
      <c r="X217" s="19" t="str">
        <f>IF('Step 5 - President'!B14="","",'Step 5 - President'!N14)</f>
        <v/>
      </c>
      <c r="Y217" s="20" t="str">
        <f>""</f>
        <v/>
      </c>
      <c r="Z217" s="20" t="str">
        <f>""</f>
        <v/>
      </c>
      <c r="AA217" s="20" t="str">
        <f>""</f>
        <v/>
      </c>
      <c r="AB217" s="20" t="str">
        <f>""</f>
        <v/>
      </c>
      <c r="AC217" s="20" t="str">
        <f>""</f>
        <v/>
      </c>
      <c r="AD217" s="20" t="str">
        <f>""</f>
        <v/>
      </c>
      <c r="AE217" s="20" t="str">
        <f>""</f>
        <v/>
      </c>
      <c r="AF217" s="20" t="str">
        <f>""</f>
        <v/>
      </c>
      <c r="AG217" s="20" t="str">
        <f>""</f>
        <v/>
      </c>
      <c r="AH217" s="20" t="str">
        <f>""</f>
        <v/>
      </c>
      <c r="AI217" s="20" t="str">
        <f>""</f>
        <v/>
      </c>
      <c r="AJ217" s="20" t="str">
        <f>""</f>
        <v/>
      </c>
      <c r="AK217" s="20" t="str">
        <f>""</f>
        <v/>
      </c>
      <c r="AL217" s="20" t="str">
        <f>""</f>
        <v/>
      </c>
      <c r="AM217" s="20" t="str">
        <f>""</f>
        <v/>
      </c>
    </row>
    <row r="218" spans="1:39" ht="15.75" customHeight="1" x14ac:dyDescent="0.25">
      <c r="A218" s="17" t="str">
        <f>IF('Step 5 - President'!B15="","","Active")</f>
        <v/>
      </c>
      <c r="B218" s="18" t="str">
        <f>IF('Step 5 - President'!B15="","",'Step 5 - President'!B15)</f>
        <v/>
      </c>
      <c r="C218" s="18" t="str">
        <f>IF('Step 5 - President'!B15="","",'Step 5 - President'!B15)</f>
        <v/>
      </c>
      <c r="D218" s="17" t="str">
        <f>IF('Step 5 - President'!B15="","",'Step 5 - President'!G15)</f>
        <v/>
      </c>
      <c r="E218" s="17" t="str">
        <f>IF('Step 5 - President'!B15="","",'Step 5 - President'!H15)</f>
        <v/>
      </c>
      <c r="F218" s="18" t="str">
        <f>IF('Step 5 - President'!B15="","",IF('Step 5 - President'!C15="","","Fund Code"))</f>
        <v/>
      </c>
      <c r="G218" s="17" t="str">
        <f>IF('Step 5 - President'!B15="","",IF('Step 5 - President'!C15="","","Equals"))</f>
        <v/>
      </c>
      <c r="H218" s="18" t="str">
        <f>IF('Step 5 - President'!B15="","",IF('Step 5 - President'!C15="","",'Step 5 - President'!C15))</f>
        <v/>
      </c>
      <c r="I218" s="18" t="str">
        <f>IF('Step 5 - President'!B15="","","Organization Code")</f>
        <v/>
      </c>
      <c r="J218" s="17" t="str">
        <f>IF('Step 5 - President'!B15="","","Equals")</f>
        <v/>
      </c>
      <c r="K218" s="18" t="str">
        <f>IF('Step 5 - President'!B15="","",'Step 5 - President'!D15)</f>
        <v/>
      </c>
      <c r="L218" s="18" t="str">
        <f>IF('Step 5 - President'!B15="","","Other Criteria")</f>
        <v/>
      </c>
      <c r="M218" s="17" t="str">
        <f>IF('Step 5 - President'!B15="","","Equals")</f>
        <v/>
      </c>
      <c r="N218" s="18" t="str">
        <f>IF('Step 5 - President'!B15="","",'Step 5 - President'!E15)</f>
        <v/>
      </c>
      <c r="O218" s="18" t="str">
        <f>IF('Step 5 - President'!B15="","",IF('Step 5 - President'!F15="","","Total"))</f>
        <v/>
      </c>
      <c r="P218" s="17" t="str">
        <f>IF('Step 5 - President'!B15="","",IF('Step 5 - President'!F15="","","&gt;="))</f>
        <v/>
      </c>
      <c r="Q218" s="18" t="str">
        <f>IF('Step 5 - President'!B15="","",IF('Step 5 - President'!F15="","",'Step 5 - President'!F15))</f>
        <v/>
      </c>
      <c r="R218" s="18" t="str">
        <f>""</f>
        <v/>
      </c>
      <c r="S218" s="18" t="str">
        <f>""</f>
        <v/>
      </c>
      <c r="T218" s="18" t="str">
        <f>""</f>
        <v/>
      </c>
      <c r="U218" s="18" t="str">
        <f>IF('Step 5 - President'!B15="","",'Step 5 - President'!I15)</f>
        <v/>
      </c>
      <c r="V218" s="17" t="str">
        <f>IF('Step 5 - President'!B15="","",'Step 5 - President'!K15)</f>
        <v/>
      </c>
      <c r="W218" s="18" t="str">
        <f>IF('Step 5 - President'!B15="","",'Step 5 - President'!L15)</f>
        <v/>
      </c>
      <c r="X218" s="17" t="str">
        <f>IF('Step 5 - President'!B15="","",'Step 5 - President'!N15)</f>
        <v/>
      </c>
      <c r="Y218" s="18" t="str">
        <f>""</f>
        <v/>
      </c>
      <c r="Z218" s="18" t="str">
        <f>""</f>
        <v/>
      </c>
      <c r="AA218" s="18" t="str">
        <f>""</f>
        <v/>
      </c>
      <c r="AB218" s="18" t="str">
        <f>""</f>
        <v/>
      </c>
      <c r="AC218" s="18" t="str">
        <f>""</f>
        <v/>
      </c>
      <c r="AD218" s="18" t="str">
        <f>""</f>
        <v/>
      </c>
      <c r="AE218" s="18" t="str">
        <f>""</f>
        <v/>
      </c>
      <c r="AF218" s="18" t="str">
        <f>""</f>
        <v/>
      </c>
      <c r="AG218" s="18" t="str">
        <f>""</f>
        <v/>
      </c>
      <c r="AH218" s="18" t="str">
        <f>""</f>
        <v/>
      </c>
      <c r="AI218" s="18" t="str">
        <f>""</f>
        <v/>
      </c>
      <c r="AJ218" s="18" t="str">
        <f>""</f>
        <v/>
      </c>
      <c r="AK218" s="18" t="str">
        <f>""</f>
        <v/>
      </c>
      <c r="AL218" s="18" t="str">
        <f>""</f>
        <v/>
      </c>
      <c r="AM218" s="18" t="str">
        <f>""</f>
        <v/>
      </c>
    </row>
    <row r="219" spans="1:39" ht="15.75" customHeight="1" x14ac:dyDescent="0.25">
      <c r="A219" s="19" t="str">
        <f>IF('Step 5 - President'!B16="","","Active")</f>
        <v/>
      </c>
      <c r="B219" s="20" t="str">
        <f>IF('Step 5 - President'!B16="","",'Step 5 - President'!B16)</f>
        <v/>
      </c>
      <c r="C219" s="20" t="str">
        <f>IF('Step 5 - President'!B16="","",'Step 5 - President'!B16)</f>
        <v/>
      </c>
      <c r="D219" s="19" t="str">
        <f>IF('Step 5 - President'!B16="","",'Step 5 - President'!G16)</f>
        <v/>
      </c>
      <c r="E219" s="19" t="str">
        <f>IF('Step 5 - President'!B16="","",'Step 5 - President'!H16)</f>
        <v/>
      </c>
      <c r="F219" s="20" t="str">
        <f>IF('Step 5 - President'!B16="","",IF('Step 5 - President'!C16="","","Fund Code"))</f>
        <v/>
      </c>
      <c r="G219" s="19" t="str">
        <f>IF('Step 5 - President'!B16="","",IF('Step 5 - President'!C16="","","Equals"))</f>
        <v/>
      </c>
      <c r="H219" s="20" t="str">
        <f>IF('Step 5 - President'!B16="","",IF('Step 5 - President'!C16="","",'Step 5 - President'!C16))</f>
        <v/>
      </c>
      <c r="I219" s="20" t="str">
        <f>IF('Step 5 - President'!B16="","","Organization Code")</f>
        <v/>
      </c>
      <c r="J219" s="19" t="str">
        <f>IF('Step 5 - President'!B16="","","Equals")</f>
        <v/>
      </c>
      <c r="K219" s="20" t="str">
        <f>IF('Step 5 - President'!B16="","",'Step 5 - President'!D16)</f>
        <v/>
      </c>
      <c r="L219" s="20" t="str">
        <f>IF('Step 5 - President'!B16="","","Other Criteria")</f>
        <v/>
      </c>
      <c r="M219" s="19" t="str">
        <f>IF('Step 5 - President'!B16="","","Equals")</f>
        <v/>
      </c>
      <c r="N219" s="20" t="str">
        <f>IF('Step 5 - President'!B16="","",'Step 5 - President'!E16)</f>
        <v/>
      </c>
      <c r="O219" s="20" t="str">
        <f>IF('Step 5 - President'!B16="","",IF('Step 5 - President'!F16="","","Total"))</f>
        <v/>
      </c>
      <c r="P219" s="19" t="str">
        <f>IF('Step 5 - President'!B16="","",IF('Step 5 - President'!F16="","","&gt;="))</f>
        <v/>
      </c>
      <c r="Q219" s="20" t="str">
        <f>IF('Step 5 - President'!B16="","",IF('Step 5 - President'!F16="","",'Step 5 - President'!F16))</f>
        <v/>
      </c>
      <c r="R219" s="20" t="str">
        <f>""</f>
        <v/>
      </c>
      <c r="S219" s="20" t="str">
        <f>""</f>
        <v/>
      </c>
      <c r="T219" s="20" t="str">
        <f>""</f>
        <v/>
      </c>
      <c r="U219" s="20" t="str">
        <f>IF('Step 5 - President'!B16="","",'Step 5 - President'!I16)</f>
        <v/>
      </c>
      <c r="V219" s="19" t="str">
        <f>IF('Step 5 - President'!B16="","",'Step 5 - President'!K16)</f>
        <v/>
      </c>
      <c r="W219" s="20" t="str">
        <f>IF('Step 5 - President'!B16="","",'Step 5 - President'!L16)</f>
        <v/>
      </c>
      <c r="X219" s="19" t="str">
        <f>IF('Step 5 - President'!B16="","",'Step 5 - President'!N16)</f>
        <v/>
      </c>
      <c r="Y219" s="20" t="str">
        <f>""</f>
        <v/>
      </c>
      <c r="Z219" s="20" t="str">
        <f>""</f>
        <v/>
      </c>
      <c r="AA219" s="20" t="str">
        <f>""</f>
        <v/>
      </c>
      <c r="AB219" s="20" t="str">
        <f>""</f>
        <v/>
      </c>
      <c r="AC219" s="20" t="str">
        <f>""</f>
        <v/>
      </c>
      <c r="AD219" s="20" t="str">
        <f>""</f>
        <v/>
      </c>
      <c r="AE219" s="20" t="str">
        <f>""</f>
        <v/>
      </c>
      <c r="AF219" s="20" t="str">
        <f>""</f>
        <v/>
      </c>
      <c r="AG219" s="20" t="str">
        <f>""</f>
        <v/>
      </c>
      <c r="AH219" s="20" t="str">
        <f>""</f>
        <v/>
      </c>
      <c r="AI219" s="20" t="str">
        <f>""</f>
        <v/>
      </c>
      <c r="AJ219" s="20" t="str">
        <f>""</f>
        <v/>
      </c>
      <c r="AK219" s="20" t="str">
        <f>""</f>
        <v/>
      </c>
      <c r="AL219" s="20" t="str">
        <f>""</f>
        <v/>
      </c>
      <c r="AM219" s="20" t="str">
        <f>""</f>
        <v/>
      </c>
    </row>
    <row r="220" spans="1:39" ht="15.75" customHeight="1" x14ac:dyDescent="0.25">
      <c r="A220" s="17" t="str">
        <f>IF('Step 5 - President'!B17="","","Active")</f>
        <v/>
      </c>
      <c r="B220" s="18" t="str">
        <f>IF('Step 5 - President'!B17="","",'Step 5 - President'!B17)</f>
        <v/>
      </c>
      <c r="C220" s="18" t="str">
        <f>IF('Step 5 - President'!B17="","",'Step 5 - President'!B17)</f>
        <v/>
      </c>
      <c r="D220" s="17" t="str">
        <f>IF('Step 5 - President'!B17="","",'Step 5 - President'!G17)</f>
        <v/>
      </c>
      <c r="E220" s="17" t="str">
        <f>IF('Step 5 - President'!B17="","",'Step 5 - President'!H17)</f>
        <v/>
      </c>
      <c r="F220" s="18" t="str">
        <f>IF('Step 5 - President'!B17="","",IF('Step 5 - President'!C17="","","Fund Code"))</f>
        <v/>
      </c>
      <c r="G220" s="17" t="str">
        <f>IF('Step 5 - President'!B17="","",IF('Step 5 - President'!C17="","","Equals"))</f>
        <v/>
      </c>
      <c r="H220" s="18" t="str">
        <f>IF('Step 5 - President'!B17="","",IF('Step 5 - President'!C17="","",'Step 5 - President'!C17))</f>
        <v/>
      </c>
      <c r="I220" s="18" t="str">
        <f>IF('Step 5 - President'!B17="","","Organization Code")</f>
        <v/>
      </c>
      <c r="J220" s="17" t="str">
        <f>IF('Step 5 - President'!B17="","","Equals")</f>
        <v/>
      </c>
      <c r="K220" s="18" t="str">
        <f>IF('Step 5 - President'!B17="","",'Step 5 - President'!D17)</f>
        <v/>
      </c>
      <c r="L220" s="18" t="str">
        <f>IF('Step 5 - President'!B17="","","Other Criteria")</f>
        <v/>
      </c>
      <c r="M220" s="17" t="str">
        <f>IF('Step 5 - President'!B17="","","Equals")</f>
        <v/>
      </c>
      <c r="N220" s="18" t="str">
        <f>IF('Step 5 - President'!B17="","",'Step 5 - President'!E17)</f>
        <v/>
      </c>
      <c r="O220" s="18" t="str">
        <f>IF('Step 5 - President'!B17="","",IF('Step 5 - President'!F17="","","Total"))</f>
        <v/>
      </c>
      <c r="P220" s="17" t="str">
        <f>IF('Step 5 - President'!B17="","",IF('Step 5 - President'!F17="","","&gt;="))</f>
        <v/>
      </c>
      <c r="Q220" s="18" t="str">
        <f>IF('Step 5 - President'!B17="","",IF('Step 5 - President'!F17="","",'Step 5 - President'!F17))</f>
        <v/>
      </c>
      <c r="R220" s="18" t="str">
        <f>""</f>
        <v/>
      </c>
      <c r="S220" s="18" t="str">
        <f>""</f>
        <v/>
      </c>
      <c r="T220" s="18" t="str">
        <f>""</f>
        <v/>
      </c>
      <c r="U220" s="18" t="str">
        <f>IF('Step 5 - President'!B17="","",'Step 5 - President'!I17)</f>
        <v/>
      </c>
      <c r="V220" s="17" t="str">
        <f>IF('Step 5 - President'!B17="","",'Step 5 - President'!K17)</f>
        <v/>
      </c>
      <c r="W220" s="18" t="str">
        <f>IF('Step 5 - President'!B17="","",'Step 5 - President'!L17)</f>
        <v/>
      </c>
      <c r="X220" s="17" t="str">
        <f>IF('Step 5 - President'!B17="","",'Step 5 - President'!N17)</f>
        <v/>
      </c>
      <c r="Y220" s="18" t="str">
        <f>""</f>
        <v/>
      </c>
      <c r="Z220" s="18" t="str">
        <f>""</f>
        <v/>
      </c>
      <c r="AA220" s="18" t="str">
        <f>""</f>
        <v/>
      </c>
      <c r="AB220" s="18" t="str">
        <f>""</f>
        <v/>
      </c>
      <c r="AC220" s="18" t="str">
        <f>""</f>
        <v/>
      </c>
      <c r="AD220" s="18" t="str">
        <f>""</f>
        <v/>
      </c>
      <c r="AE220" s="18" t="str">
        <f>""</f>
        <v/>
      </c>
      <c r="AF220" s="18" t="str">
        <f>""</f>
        <v/>
      </c>
      <c r="AG220" s="18" t="str">
        <f>""</f>
        <v/>
      </c>
      <c r="AH220" s="18" t="str">
        <f>""</f>
        <v/>
      </c>
      <c r="AI220" s="18" t="str">
        <f>""</f>
        <v/>
      </c>
      <c r="AJ220" s="18" t="str">
        <f>""</f>
        <v/>
      </c>
      <c r="AK220" s="18" t="str">
        <f>""</f>
        <v/>
      </c>
      <c r="AL220" s="18" t="str">
        <f>""</f>
        <v/>
      </c>
      <c r="AM220" s="18" t="str">
        <f>""</f>
        <v/>
      </c>
    </row>
    <row r="221" spans="1:39" ht="15.75" customHeight="1" x14ac:dyDescent="0.25">
      <c r="A221" s="19" t="str">
        <f>IF('Step 5 - President'!B18="","","Active")</f>
        <v/>
      </c>
      <c r="B221" s="20" t="str">
        <f>IF('Step 5 - President'!B18="","",'Step 5 - President'!B18)</f>
        <v/>
      </c>
      <c r="C221" s="20" t="str">
        <f>IF('Step 5 - President'!B18="","",'Step 5 - President'!B18)</f>
        <v/>
      </c>
      <c r="D221" s="19" t="str">
        <f>IF('Step 5 - President'!B18="","",'Step 5 - President'!G18)</f>
        <v/>
      </c>
      <c r="E221" s="19" t="str">
        <f>IF('Step 5 - President'!B18="","",'Step 5 - President'!H18)</f>
        <v/>
      </c>
      <c r="F221" s="20" t="str">
        <f>IF('Step 5 - President'!B18="","",IF('Step 5 - President'!C18="","","Fund Code"))</f>
        <v/>
      </c>
      <c r="G221" s="19" t="str">
        <f>IF('Step 5 - President'!B18="","",IF('Step 5 - President'!C18="","","Equals"))</f>
        <v/>
      </c>
      <c r="H221" s="20" t="str">
        <f>IF('Step 5 - President'!B18="","",IF('Step 5 - President'!C18="","",'Step 5 - President'!C18))</f>
        <v/>
      </c>
      <c r="I221" s="20" t="str">
        <f>IF('Step 5 - President'!B18="","","Organization Code")</f>
        <v/>
      </c>
      <c r="J221" s="19" t="str">
        <f>IF('Step 5 - President'!B18="","","Equals")</f>
        <v/>
      </c>
      <c r="K221" s="20" t="str">
        <f>IF('Step 5 - President'!B18="","",'Step 5 - President'!D18)</f>
        <v/>
      </c>
      <c r="L221" s="20" t="str">
        <f>IF('Step 5 - President'!B18="","","Other Criteria")</f>
        <v/>
      </c>
      <c r="M221" s="19" t="str">
        <f>IF('Step 5 - President'!B18="","","Equals")</f>
        <v/>
      </c>
      <c r="N221" s="20" t="str">
        <f>IF('Step 5 - President'!B18="","",'Step 5 - President'!E18)</f>
        <v/>
      </c>
      <c r="O221" s="20" t="str">
        <f>IF('Step 5 - President'!B18="","",IF('Step 5 - President'!F18="","","Total"))</f>
        <v/>
      </c>
      <c r="P221" s="19" t="str">
        <f>IF('Step 5 - President'!B18="","",IF('Step 5 - President'!F18="","","&gt;="))</f>
        <v/>
      </c>
      <c r="Q221" s="20" t="str">
        <f>IF('Step 5 - President'!B18="","",IF('Step 5 - President'!F18="","",'Step 5 - President'!F18))</f>
        <v/>
      </c>
      <c r="R221" s="20" t="str">
        <f>""</f>
        <v/>
      </c>
      <c r="S221" s="20" t="str">
        <f>""</f>
        <v/>
      </c>
      <c r="T221" s="20" t="str">
        <f>""</f>
        <v/>
      </c>
      <c r="U221" s="20" t="str">
        <f>IF('Step 5 - President'!B18="","",'Step 5 - President'!I18)</f>
        <v/>
      </c>
      <c r="V221" s="19" t="str">
        <f>IF('Step 5 - President'!B18="","",'Step 5 - President'!K18)</f>
        <v/>
      </c>
      <c r="W221" s="20" t="str">
        <f>IF('Step 5 - President'!B18="","",'Step 5 - President'!L18)</f>
        <v/>
      </c>
      <c r="X221" s="19" t="str">
        <f>IF('Step 5 - President'!B18="","",'Step 5 - President'!N18)</f>
        <v/>
      </c>
      <c r="Y221" s="20" t="str">
        <f>""</f>
        <v/>
      </c>
      <c r="Z221" s="20" t="str">
        <f>""</f>
        <v/>
      </c>
      <c r="AA221" s="20" t="str">
        <f>""</f>
        <v/>
      </c>
      <c r="AB221" s="20" t="str">
        <f>""</f>
        <v/>
      </c>
      <c r="AC221" s="20" t="str">
        <f>""</f>
        <v/>
      </c>
      <c r="AD221" s="20" t="str">
        <f>""</f>
        <v/>
      </c>
      <c r="AE221" s="20" t="str">
        <f>""</f>
        <v/>
      </c>
      <c r="AF221" s="20" t="str">
        <f>""</f>
        <v/>
      </c>
      <c r="AG221" s="20" t="str">
        <f>""</f>
        <v/>
      </c>
      <c r="AH221" s="20" t="str">
        <f>""</f>
        <v/>
      </c>
      <c r="AI221" s="20" t="str">
        <f>""</f>
        <v/>
      </c>
      <c r="AJ221" s="20" t="str">
        <f>""</f>
        <v/>
      </c>
      <c r="AK221" s="20" t="str">
        <f>""</f>
        <v/>
      </c>
      <c r="AL221" s="20" t="str">
        <f>""</f>
        <v/>
      </c>
      <c r="AM221" s="20" t="str">
        <f>""</f>
        <v/>
      </c>
    </row>
    <row r="222" spans="1:39" ht="15.75" customHeight="1" x14ac:dyDescent="0.25">
      <c r="A222" s="17" t="str">
        <f>IF('Step 5 - President'!B19="","","Active")</f>
        <v/>
      </c>
      <c r="B222" s="18" t="str">
        <f>IF('Step 5 - President'!B19="","",'Step 5 - President'!B19)</f>
        <v/>
      </c>
      <c r="C222" s="18" t="str">
        <f>IF('Step 5 - President'!B19="","",'Step 5 - President'!B19)</f>
        <v/>
      </c>
      <c r="D222" s="17" t="str">
        <f>IF('Step 5 - President'!B19="","",'Step 5 - President'!G19)</f>
        <v/>
      </c>
      <c r="E222" s="17" t="str">
        <f>IF('Step 5 - President'!B19="","",'Step 5 - President'!H19)</f>
        <v/>
      </c>
      <c r="F222" s="18" t="str">
        <f>IF('Step 5 - President'!B19="","",IF('Step 5 - President'!C19="","","Fund Code"))</f>
        <v/>
      </c>
      <c r="G222" s="17" t="str">
        <f>IF('Step 5 - President'!B19="","",IF('Step 5 - President'!C19="","","Equals"))</f>
        <v/>
      </c>
      <c r="H222" s="18" t="str">
        <f>IF('Step 5 - President'!B19="","",IF('Step 5 - President'!C19="","",'Step 5 - President'!C19))</f>
        <v/>
      </c>
      <c r="I222" s="18" t="str">
        <f>IF('Step 5 - President'!B19="","","Organization Code")</f>
        <v/>
      </c>
      <c r="J222" s="17" t="str">
        <f>IF('Step 5 - President'!B19="","","Equals")</f>
        <v/>
      </c>
      <c r="K222" s="18" t="str">
        <f>IF('Step 5 - President'!B19="","",'Step 5 - President'!D19)</f>
        <v/>
      </c>
      <c r="L222" s="18" t="str">
        <f>IF('Step 5 - President'!B19="","","Other Criteria")</f>
        <v/>
      </c>
      <c r="M222" s="17" t="str">
        <f>IF('Step 5 - President'!B19="","","Equals")</f>
        <v/>
      </c>
      <c r="N222" s="18" t="str">
        <f>IF('Step 5 - President'!B19="","",'Step 5 - President'!E19)</f>
        <v/>
      </c>
      <c r="O222" s="18" t="str">
        <f>IF('Step 5 - President'!B19="","",IF('Step 5 - President'!F19="","","Total"))</f>
        <v/>
      </c>
      <c r="P222" s="17" t="str">
        <f>IF('Step 5 - President'!B19="","",IF('Step 5 - President'!F19="","","&gt;="))</f>
        <v/>
      </c>
      <c r="Q222" s="18" t="str">
        <f>IF('Step 5 - President'!B19="","",IF('Step 5 - President'!F19="","",'Step 5 - President'!F19))</f>
        <v/>
      </c>
      <c r="R222" s="18" t="str">
        <f>""</f>
        <v/>
      </c>
      <c r="S222" s="18" t="str">
        <f>""</f>
        <v/>
      </c>
      <c r="T222" s="18" t="str">
        <f>""</f>
        <v/>
      </c>
      <c r="U222" s="18" t="str">
        <f>IF('Step 5 - President'!B19="","",'Step 5 - President'!I19)</f>
        <v/>
      </c>
      <c r="V222" s="17" t="str">
        <f>IF('Step 5 - President'!B19="","",'Step 5 - President'!K19)</f>
        <v/>
      </c>
      <c r="W222" s="18" t="str">
        <f>IF('Step 5 - President'!B19="","",'Step 5 - President'!L19)</f>
        <v/>
      </c>
      <c r="X222" s="17" t="str">
        <f>IF('Step 5 - President'!B19="","",'Step 5 - President'!N19)</f>
        <v/>
      </c>
      <c r="Y222" s="18" t="str">
        <f>""</f>
        <v/>
      </c>
      <c r="Z222" s="18" t="str">
        <f>""</f>
        <v/>
      </c>
      <c r="AA222" s="18" t="str">
        <f>""</f>
        <v/>
      </c>
      <c r="AB222" s="18" t="str">
        <f>""</f>
        <v/>
      </c>
      <c r="AC222" s="18" t="str">
        <f>""</f>
        <v/>
      </c>
      <c r="AD222" s="18" t="str">
        <f>""</f>
        <v/>
      </c>
      <c r="AE222" s="18" t="str">
        <f>""</f>
        <v/>
      </c>
      <c r="AF222" s="18" t="str">
        <f>""</f>
        <v/>
      </c>
      <c r="AG222" s="18" t="str">
        <f>""</f>
        <v/>
      </c>
      <c r="AH222" s="18" t="str">
        <f>""</f>
        <v/>
      </c>
      <c r="AI222" s="18" t="str">
        <f>""</f>
        <v/>
      </c>
      <c r="AJ222" s="18" t="str">
        <f>""</f>
        <v/>
      </c>
      <c r="AK222" s="18" t="str">
        <f>""</f>
        <v/>
      </c>
      <c r="AL222" s="18" t="str">
        <f>""</f>
        <v/>
      </c>
      <c r="AM222" s="18" t="str">
        <f>""</f>
        <v/>
      </c>
    </row>
    <row r="223" spans="1:39" ht="15.75" customHeight="1" x14ac:dyDescent="0.25">
      <c r="A223" s="19" t="str">
        <f>IF('Step 5 - President'!B20="","","Active")</f>
        <v/>
      </c>
      <c r="B223" s="20" t="str">
        <f>IF('Step 5 - President'!B20="","",'Step 5 - President'!B20)</f>
        <v/>
      </c>
      <c r="C223" s="20" t="str">
        <f>IF('Step 5 - President'!B20="","",'Step 5 - President'!B20)</f>
        <v/>
      </c>
      <c r="D223" s="19" t="str">
        <f>IF('Step 5 - President'!B20="","",'Step 5 - President'!G20)</f>
        <v/>
      </c>
      <c r="E223" s="19" t="str">
        <f>IF('Step 5 - President'!B20="","",'Step 5 - President'!H20)</f>
        <v/>
      </c>
      <c r="F223" s="20" t="str">
        <f>IF('Step 5 - President'!B20="","",IF('Step 5 - President'!C20="","","Fund Code"))</f>
        <v/>
      </c>
      <c r="G223" s="19" t="str">
        <f>IF('Step 5 - President'!B20="","",IF('Step 5 - President'!C20="","","Equals"))</f>
        <v/>
      </c>
      <c r="H223" s="20" t="str">
        <f>IF('Step 5 - President'!B20="","",IF('Step 5 - President'!C20="","",'Step 5 - President'!C20))</f>
        <v/>
      </c>
      <c r="I223" s="20" t="str">
        <f>IF('Step 5 - President'!B20="","","Organization Code")</f>
        <v/>
      </c>
      <c r="J223" s="19" t="str">
        <f>IF('Step 5 - President'!B20="","","Equals")</f>
        <v/>
      </c>
      <c r="K223" s="20" t="str">
        <f>IF('Step 5 - President'!B20="","",'Step 5 - President'!D20)</f>
        <v/>
      </c>
      <c r="L223" s="20" t="str">
        <f>IF('Step 5 - President'!B20="","","Other Criteria")</f>
        <v/>
      </c>
      <c r="M223" s="19" t="str">
        <f>IF('Step 5 - President'!B20="","","Equals")</f>
        <v/>
      </c>
      <c r="N223" s="20" t="str">
        <f>IF('Step 5 - President'!B20="","",'Step 5 - President'!E20)</f>
        <v/>
      </c>
      <c r="O223" s="20" t="str">
        <f>IF('Step 5 - President'!B20="","",IF('Step 5 - President'!F20="","","Total"))</f>
        <v/>
      </c>
      <c r="P223" s="19" t="str">
        <f>IF('Step 5 - President'!B20="","",IF('Step 5 - President'!F20="","","&gt;="))</f>
        <v/>
      </c>
      <c r="Q223" s="20" t="str">
        <f>IF('Step 5 - President'!B20="","",IF('Step 5 - President'!F20="","",'Step 5 - President'!F20))</f>
        <v/>
      </c>
      <c r="R223" s="20" t="str">
        <f>""</f>
        <v/>
      </c>
      <c r="S223" s="20" t="str">
        <f>""</f>
        <v/>
      </c>
      <c r="T223" s="20" t="str">
        <f>""</f>
        <v/>
      </c>
      <c r="U223" s="20" t="str">
        <f>IF('Step 5 - President'!B20="","",'Step 5 - President'!I20)</f>
        <v/>
      </c>
      <c r="V223" s="19" t="str">
        <f>IF('Step 5 - President'!B20="","",'Step 5 - President'!K20)</f>
        <v/>
      </c>
      <c r="W223" s="20" t="str">
        <f>IF('Step 5 - President'!B20="","",'Step 5 - President'!L20)</f>
        <v/>
      </c>
      <c r="X223" s="19" t="str">
        <f>IF('Step 5 - President'!B20="","",'Step 5 - President'!N20)</f>
        <v/>
      </c>
      <c r="Y223" s="20" t="str">
        <f>""</f>
        <v/>
      </c>
      <c r="Z223" s="20" t="str">
        <f>""</f>
        <v/>
      </c>
      <c r="AA223" s="20" t="str">
        <f>""</f>
        <v/>
      </c>
      <c r="AB223" s="20" t="str">
        <f>""</f>
        <v/>
      </c>
      <c r="AC223" s="20" t="str">
        <f>""</f>
        <v/>
      </c>
      <c r="AD223" s="20" t="str">
        <f>""</f>
        <v/>
      </c>
      <c r="AE223" s="20" t="str">
        <f>""</f>
        <v/>
      </c>
      <c r="AF223" s="20" t="str">
        <f>""</f>
        <v/>
      </c>
      <c r="AG223" s="20" t="str">
        <f>""</f>
        <v/>
      </c>
      <c r="AH223" s="20" t="str">
        <f>""</f>
        <v/>
      </c>
      <c r="AI223" s="20" t="str">
        <f>""</f>
        <v/>
      </c>
      <c r="AJ223" s="20" t="str">
        <f>""</f>
        <v/>
      </c>
      <c r="AK223" s="20" t="str">
        <f>""</f>
        <v/>
      </c>
      <c r="AL223" s="20" t="str">
        <f>""</f>
        <v/>
      </c>
      <c r="AM223" s="20" t="str">
        <f>""</f>
        <v/>
      </c>
    </row>
    <row r="224" spans="1:39" ht="15.75" customHeight="1" x14ac:dyDescent="0.25">
      <c r="A224" s="17" t="str">
        <f>IF('Step 5 - President'!B21="","","Active")</f>
        <v/>
      </c>
      <c r="B224" s="18" t="str">
        <f>IF('Step 5 - President'!B21="","",'Step 5 - President'!B21)</f>
        <v/>
      </c>
      <c r="C224" s="18" t="str">
        <f>IF('Step 5 - President'!B21="","",'Step 5 - President'!B21)</f>
        <v/>
      </c>
      <c r="D224" s="17" t="str">
        <f>IF('Step 5 - President'!B21="","",'Step 5 - President'!G21)</f>
        <v/>
      </c>
      <c r="E224" s="17" t="str">
        <f>IF('Step 5 - President'!B21="","",'Step 5 - President'!H21)</f>
        <v/>
      </c>
      <c r="F224" s="18" t="str">
        <f>IF('Step 5 - President'!B21="","",IF('Step 5 - President'!C21="","","Fund Code"))</f>
        <v/>
      </c>
      <c r="G224" s="17" t="str">
        <f>IF('Step 5 - President'!B21="","",IF('Step 5 - President'!C21="","","Equals"))</f>
        <v/>
      </c>
      <c r="H224" s="18" t="str">
        <f>IF('Step 5 - President'!B21="","",IF('Step 5 - President'!C21="","",'Step 5 - President'!C21))</f>
        <v/>
      </c>
      <c r="I224" s="18" t="str">
        <f>IF('Step 5 - President'!B21="","","Organization Code")</f>
        <v/>
      </c>
      <c r="J224" s="17" t="str">
        <f>IF('Step 5 - President'!B21="","","Equals")</f>
        <v/>
      </c>
      <c r="K224" s="18" t="str">
        <f>IF('Step 5 - President'!B21="","",'Step 5 - President'!D21)</f>
        <v/>
      </c>
      <c r="L224" s="18" t="str">
        <f>IF('Step 5 - President'!B21="","","Other Criteria")</f>
        <v/>
      </c>
      <c r="M224" s="17" t="str">
        <f>IF('Step 5 - President'!B21="","","Equals")</f>
        <v/>
      </c>
      <c r="N224" s="18" t="str">
        <f>IF('Step 5 - President'!B21="","",'Step 5 - President'!E21)</f>
        <v/>
      </c>
      <c r="O224" s="18" t="str">
        <f>IF('Step 5 - President'!B21="","",IF('Step 5 - President'!F21="","","Total"))</f>
        <v/>
      </c>
      <c r="P224" s="17" t="str">
        <f>IF('Step 5 - President'!B21="","",IF('Step 5 - President'!F21="","","&gt;="))</f>
        <v/>
      </c>
      <c r="Q224" s="18" t="str">
        <f>IF('Step 5 - President'!B21="","",IF('Step 5 - President'!F21="","",'Step 5 - President'!F21))</f>
        <v/>
      </c>
      <c r="R224" s="18" t="str">
        <f>""</f>
        <v/>
      </c>
      <c r="S224" s="18" t="str">
        <f>""</f>
        <v/>
      </c>
      <c r="T224" s="18" t="str">
        <f>""</f>
        <v/>
      </c>
      <c r="U224" s="18" t="str">
        <f>IF('Step 5 - President'!B21="","",'Step 5 - President'!I21)</f>
        <v/>
      </c>
      <c r="V224" s="17" t="str">
        <f>IF('Step 5 - President'!B21="","",'Step 5 - President'!K21)</f>
        <v/>
      </c>
      <c r="W224" s="18" t="str">
        <f>IF('Step 5 - President'!B21="","",'Step 5 - President'!L21)</f>
        <v/>
      </c>
      <c r="X224" s="17" t="str">
        <f>IF('Step 5 - President'!B21="","",'Step 5 - President'!N21)</f>
        <v/>
      </c>
      <c r="Y224" s="18" t="str">
        <f>""</f>
        <v/>
      </c>
      <c r="Z224" s="18" t="str">
        <f>""</f>
        <v/>
      </c>
      <c r="AA224" s="18" t="str">
        <f>""</f>
        <v/>
      </c>
      <c r="AB224" s="18" t="str">
        <f>""</f>
        <v/>
      </c>
      <c r="AC224" s="18" t="str">
        <f>""</f>
        <v/>
      </c>
      <c r="AD224" s="18" t="str">
        <f>""</f>
        <v/>
      </c>
      <c r="AE224" s="18" t="str">
        <f>""</f>
        <v/>
      </c>
      <c r="AF224" s="18" t="str">
        <f>""</f>
        <v/>
      </c>
      <c r="AG224" s="18" t="str">
        <f>""</f>
        <v/>
      </c>
      <c r="AH224" s="18" t="str">
        <f>""</f>
        <v/>
      </c>
      <c r="AI224" s="18" t="str">
        <f>""</f>
        <v/>
      </c>
      <c r="AJ224" s="18" t="str">
        <f>""</f>
        <v/>
      </c>
      <c r="AK224" s="18" t="str">
        <f>""</f>
        <v/>
      </c>
      <c r="AL224" s="18" t="str">
        <f>""</f>
        <v/>
      </c>
      <c r="AM224" s="18" t="str">
        <f>""</f>
        <v/>
      </c>
    </row>
    <row r="225" spans="1:39" ht="15.75" customHeight="1" x14ac:dyDescent="0.25">
      <c r="A225" s="19" t="str">
        <f>IF('Step 5 - President'!B22="","","Active")</f>
        <v/>
      </c>
      <c r="B225" s="20" t="str">
        <f>IF('Step 5 - President'!B22="","",'Step 5 - President'!B22)</f>
        <v/>
      </c>
      <c r="C225" s="20" t="str">
        <f>IF('Step 5 - President'!B22="","",'Step 5 - President'!B22)</f>
        <v/>
      </c>
      <c r="D225" s="19" t="str">
        <f>IF('Step 5 - President'!B22="","",'Step 5 - President'!G22)</f>
        <v/>
      </c>
      <c r="E225" s="19" t="str">
        <f>IF('Step 5 - President'!B22="","",'Step 5 - President'!H22)</f>
        <v/>
      </c>
      <c r="F225" s="20" t="str">
        <f>IF('Step 5 - President'!B22="","",IF('Step 5 - President'!C22="","","Fund Code"))</f>
        <v/>
      </c>
      <c r="G225" s="19" t="str">
        <f>IF('Step 5 - President'!B22="","",IF('Step 5 - President'!C22="","","Equals"))</f>
        <v/>
      </c>
      <c r="H225" s="20" t="str">
        <f>IF('Step 5 - President'!B22="","",IF('Step 5 - President'!C22="","",'Step 5 - President'!C22))</f>
        <v/>
      </c>
      <c r="I225" s="20" t="str">
        <f>IF('Step 5 - President'!B22="","","Organization Code")</f>
        <v/>
      </c>
      <c r="J225" s="19" t="str">
        <f>IF('Step 5 - President'!B22="","","Equals")</f>
        <v/>
      </c>
      <c r="K225" s="20" t="str">
        <f>IF('Step 5 - President'!B22="","",'Step 5 - President'!D22)</f>
        <v/>
      </c>
      <c r="L225" s="20" t="str">
        <f>IF('Step 5 - President'!B22="","","Other Criteria")</f>
        <v/>
      </c>
      <c r="M225" s="19" t="str">
        <f>IF('Step 5 - President'!B22="","","Equals")</f>
        <v/>
      </c>
      <c r="N225" s="20" t="str">
        <f>IF('Step 5 - President'!B22="","",'Step 5 - President'!E22)</f>
        <v/>
      </c>
      <c r="O225" s="20" t="str">
        <f>IF('Step 5 - President'!B22="","",IF('Step 5 - President'!F22="","","Total"))</f>
        <v/>
      </c>
      <c r="P225" s="19" t="str">
        <f>IF('Step 5 - President'!B22="","",IF('Step 5 - President'!F22="","","&gt;="))</f>
        <v/>
      </c>
      <c r="Q225" s="20" t="str">
        <f>IF('Step 5 - President'!B22="","",IF('Step 5 - President'!F22="","",'Step 5 - President'!F22))</f>
        <v/>
      </c>
      <c r="R225" s="20" t="str">
        <f>""</f>
        <v/>
      </c>
      <c r="S225" s="20" t="str">
        <f>""</f>
        <v/>
      </c>
      <c r="T225" s="20" t="str">
        <f>""</f>
        <v/>
      </c>
      <c r="U225" s="20" t="str">
        <f>IF('Step 5 - President'!B22="","",'Step 5 - President'!I22)</f>
        <v/>
      </c>
      <c r="V225" s="19" t="str">
        <f>IF('Step 5 - President'!B22="","",'Step 5 - President'!K22)</f>
        <v/>
      </c>
      <c r="W225" s="20" t="str">
        <f>IF('Step 5 - President'!B22="","",'Step 5 - President'!L22)</f>
        <v/>
      </c>
      <c r="X225" s="19" t="str">
        <f>IF('Step 5 - President'!B22="","",'Step 5 - President'!N22)</f>
        <v/>
      </c>
      <c r="Y225" s="20" t="str">
        <f>""</f>
        <v/>
      </c>
      <c r="Z225" s="20" t="str">
        <f>""</f>
        <v/>
      </c>
      <c r="AA225" s="20" t="str">
        <f>""</f>
        <v/>
      </c>
      <c r="AB225" s="20" t="str">
        <f>""</f>
        <v/>
      </c>
      <c r="AC225" s="20" t="str">
        <f>""</f>
        <v/>
      </c>
      <c r="AD225" s="20" t="str">
        <f>""</f>
        <v/>
      </c>
      <c r="AE225" s="20" t="str">
        <f>""</f>
        <v/>
      </c>
      <c r="AF225" s="20" t="str">
        <f>""</f>
        <v/>
      </c>
      <c r="AG225" s="20" t="str">
        <f>""</f>
        <v/>
      </c>
      <c r="AH225" s="20" t="str">
        <f>""</f>
        <v/>
      </c>
      <c r="AI225" s="20" t="str">
        <f>""</f>
        <v/>
      </c>
      <c r="AJ225" s="20" t="str">
        <f>""</f>
        <v/>
      </c>
      <c r="AK225" s="20" t="str">
        <f>""</f>
        <v/>
      </c>
      <c r="AL225" s="20" t="str">
        <f>""</f>
        <v/>
      </c>
      <c r="AM225" s="20" t="str">
        <f>""</f>
        <v/>
      </c>
    </row>
    <row r="226" spans="1:39" ht="15.75" customHeight="1" x14ac:dyDescent="0.25">
      <c r="A226" s="17" t="str">
        <f>IF('Step 5 - President'!B23="","","Active")</f>
        <v/>
      </c>
      <c r="B226" s="18" t="str">
        <f>IF('Step 5 - President'!B23="","",'Step 5 - President'!B23)</f>
        <v/>
      </c>
      <c r="C226" s="18" t="str">
        <f>IF('Step 5 - President'!B23="","",'Step 5 - President'!B23)</f>
        <v/>
      </c>
      <c r="D226" s="17" t="str">
        <f>IF('Step 5 - President'!B23="","",'Step 5 - President'!G23)</f>
        <v/>
      </c>
      <c r="E226" s="17" t="str">
        <f>IF('Step 5 - President'!B23="","",'Step 5 - President'!H23)</f>
        <v/>
      </c>
      <c r="F226" s="18" t="str">
        <f>IF('Step 5 - President'!B23="","",IF('Step 5 - President'!C23="","","Fund Code"))</f>
        <v/>
      </c>
      <c r="G226" s="17" t="str">
        <f>IF('Step 5 - President'!B23="","",IF('Step 5 - President'!C23="","","Equals"))</f>
        <v/>
      </c>
      <c r="H226" s="18" t="str">
        <f>IF('Step 5 - President'!B23="","",IF('Step 5 - President'!C23="","",'Step 5 - President'!C23))</f>
        <v/>
      </c>
      <c r="I226" s="18" t="str">
        <f>IF('Step 5 - President'!B23="","","Organization Code")</f>
        <v/>
      </c>
      <c r="J226" s="17" t="str">
        <f>IF('Step 5 - President'!B23="","","Equals")</f>
        <v/>
      </c>
      <c r="K226" s="18" t="str">
        <f>IF('Step 5 - President'!B23="","",'Step 5 - President'!D23)</f>
        <v/>
      </c>
      <c r="L226" s="18" t="str">
        <f>IF('Step 5 - President'!B23="","","Other Criteria")</f>
        <v/>
      </c>
      <c r="M226" s="17" t="str">
        <f>IF('Step 5 - President'!B23="","","Equals")</f>
        <v/>
      </c>
      <c r="N226" s="18" t="str">
        <f>IF('Step 5 - President'!B23="","",'Step 5 - President'!E23)</f>
        <v/>
      </c>
      <c r="O226" s="18" t="str">
        <f>IF('Step 5 - President'!B23="","",IF('Step 5 - President'!F23="","","Total"))</f>
        <v/>
      </c>
      <c r="P226" s="17" t="str">
        <f>IF('Step 5 - President'!B23="","",IF('Step 5 - President'!F23="","","&gt;="))</f>
        <v/>
      </c>
      <c r="Q226" s="18" t="str">
        <f>IF('Step 5 - President'!B23="","",IF('Step 5 - President'!F23="","",'Step 5 - President'!F23))</f>
        <v/>
      </c>
      <c r="R226" s="18" t="str">
        <f>""</f>
        <v/>
      </c>
      <c r="S226" s="18" t="str">
        <f>""</f>
        <v/>
      </c>
      <c r="T226" s="18" t="str">
        <f>""</f>
        <v/>
      </c>
      <c r="U226" s="18" t="str">
        <f>IF('Step 5 - President'!B23="","",'Step 5 - President'!I23)</f>
        <v/>
      </c>
      <c r="V226" s="17" t="str">
        <f>IF('Step 5 - President'!B23="","",'Step 5 - President'!K23)</f>
        <v/>
      </c>
      <c r="W226" s="18" t="str">
        <f>IF('Step 5 - President'!B23="","",'Step 5 - President'!L23)</f>
        <v/>
      </c>
      <c r="X226" s="17" t="str">
        <f>IF('Step 5 - President'!B23="","",'Step 5 - President'!N23)</f>
        <v/>
      </c>
      <c r="Y226" s="18" t="str">
        <f>""</f>
        <v/>
      </c>
      <c r="Z226" s="18" t="str">
        <f>""</f>
        <v/>
      </c>
      <c r="AA226" s="18" t="str">
        <f>""</f>
        <v/>
      </c>
      <c r="AB226" s="18" t="str">
        <f>""</f>
        <v/>
      </c>
      <c r="AC226" s="18" t="str">
        <f>""</f>
        <v/>
      </c>
      <c r="AD226" s="18" t="str">
        <f>""</f>
        <v/>
      </c>
      <c r="AE226" s="18" t="str">
        <f>""</f>
        <v/>
      </c>
      <c r="AF226" s="18" t="str">
        <f>""</f>
        <v/>
      </c>
      <c r="AG226" s="18" t="str">
        <f>""</f>
        <v/>
      </c>
      <c r="AH226" s="18" t="str">
        <f>""</f>
        <v/>
      </c>
      <c r="AI226" s="18" t="str">
        <f>""</f>
        <v/>
      </c>
      <c r="AJ226" s="18" t="str">
        <f>""</f>
        <v/>
      </c>
      <c r="AK226" s="18" t="str">
        <f>""</f>
        <v/>
      </c>
      <c r="AL226" s="18" t="str">
        <f>""</f>
        <v/>
      </c>
      <c r="AM226" s="18" t="str">
        <f>""</f>
        <v/>
      </c>
    </row>
    <row r="227" spans="1:39" ht="15.75" customHeight="1" x14ac:dyDescent="0.25">
      <c r="A227" s="19" t="str">
        <f>IF('Step 5 - President'!B24="","","Active")</f>
        <v/>
      </c>
      <c r="B227" s="20" t="str">
        <f>IF('Step 5 - President'!B24="","",'Step 5 - President'!B24)</f>
        <v/>
      </c>
      <c r="C227" s="20" t="str">
        <f>IF('Step 5 - President'!B24="","",'Step 5 - President'!B24)</f>
        <v/>
      </c>
      <c r="D227" s="19" t="str">
        <f>IF('Step 5 - President'!B24="","",'Step 5 - President'!G24)</f>
        <v/>
      </c>
      <c r="E227" s="19" t="str">
        <f>IF('Step 5 - President'!B24="","",'Step 5 - President'!H24)</f>
        <v/>
      </c>
      <c r="F227" s="20" t="str">
        <f>IF('Step 5 - President'!B24="","",IF('Step 5 - President'!C24="","","Fund Code"))</f>
        <v/>
      </c>
      <c r="G227" s="19" t="str">
        <f>IF('Step 5 - President'!B24="","",IF('Step 5 - President'!C24="","","Equals"))</f>
        <v/>
      </c>
      <c r="H227" s="20" t="str">
        <f>IF('Step 5 - President'!B24="","",IF('Step 5 - President'!C24="","",'Step 5 - President'!C24))</f>
        <v/>
      </c>
      <c r="I227" s="20" t="str">
        <f>IF('Step 5 - President'!B24="","","Organization Code")</f>
        <v/>
      </c>
      <c r="J227" s="19" t="str">
        <f>IF('Step 5 - President'!B24="","","Equals")</f>
        <v/>
      </c>
      <c r="K227" s="20" t="str">
        <f>IF('Step 5 - President'!B24="","",'Step 5 - President'!D24)</f>
        <v/>
      </c>
      <c r="L227" s="20" t="str">
        <f>IF('Step 5 - President'!B24="","","Other Criteria")</f>
        <v/>
      </c>
      <c r="M227" s="19" t="str">
        <f>IF('Step 5 - President'!B24="","","Equals")</f>
        <v/>
      </c>
      <c r="N227" s="20" t="str">
        <f>IF('Step 5 - President'!B24="","",'Step 5 - President'!E24)</f>
        <v/>
      </c>
      <c r="O227" s="20" t="str">
        <f>IF('Step 5 - President'!B24="","",IF('Step 5 - President'!F24="","","Total"))</f>
        <v/>
      </c>
      <c r="P227" s="19" t="str">
        <f>IF('Step 5 - President'!B24="","",IF('Step 5 - President'!F24="","","&gt;="))</f>
        <v/>
      </c>
      <c r="Q227" s="20" t="str">
        <f>IF('Step 5 - President'!B24="","",IF('Step 5 - President'!F24="","",'Step 5 - President'!F24))</f>
        <v/>
      </c>
      <c r="R227" s="20" t="str">
        <f>""</f>
        <v/>
      </c>
      <c r="S227" s="20" t="str">
        <f>""</f>
        <v/>
      </c>
      <c r="T227" s="20" t="str">
        <f>""</f>
        <v/>
      </c>
      <c r="U227" s="20" t="str">
        <f>IF('Step 5 - President'!B24="","",'Step 5 - President'!I24)</f>
        <v/>
      </c>
      <c r="V227" s="19" t="str">
        <f>IF('Step 5 - President'!B24="","",'Step 5 - President'!K24)</f>
        <v/>
      </c>
      <c r="W227" s="20" t="str">
        <f>IF('Step 5 - President'!B24="","",'Step 5 - President'!L24)</f>
        <v/>
      </c>
      <c r="X227" s="19" t="str">
        <f>IF('Step 5 - President'!B24="","",'Step 5 - President'!N24)</f>
        <v/>
      </c>
      <c r="Y227" s="20" t="str">
        <f>""</f>
        <v/>
      </c>
      <c r="Z227" s="20" t="str">
        <f>""</f>
        <v/>
      </c>
      <c r="AA227" s="20" t="str">
        <f>""</f>
        <v/>
      </c>
      <c r="AB227" s="20" t="str">
        <f>""</f>
        <v/>
      </c>
      <c r="AC227" s="20" t="str">
        <f>""</f>
        <v/>
      </c>
      <c r="AD227" s="20" t="str">
        <f>""</f>
        <v/>
      </c>
      <c r="AE227" s="20" t="str">
        <f>""</f>
        <v/>
      </c>
      <c r="AF227" s="20" t="str">
        <f>""</f>
        <v/>
      </c>
      <c r="AG227" s="20" t="str">
        <f>""</f>
        <v/>
      </c>
      <c r="AH227" s="20" t="str">
        <f>""</f>
        <v/>
      </c>
      <c r="AI227" s="20" t="str">
        <f>""</f>
        <v/>
      </c>
      <c r="AJ227" s="20" t="str">
        <f>""</f>
        <v/>
      </c>
      <c r="AK227" s="20" t="str">
        <f>""</f>
        <v/>
      </c>
      <c r="AL227" s="20" t="str">
        <f>""</f>
        <v/>
      </c>
      <c r="AM227" s="20" t="str">
        <f>""</f>
        <v/>
      </c>
    </row>
    <row r="228" spans="1:39" ht="15.75" customHeight="1" x14ac:dyDescent="0.25">
      <c r="A228" s="17" t="str">
        <f>IF('Step 5 - President'!B25="","","Active")</f>
        <v/>
      </c>
      <c r="B228" s="18" t="str">
        <f>IF('Step 5 - President'!B25="","",'Step 5 - President'!B25)</f>
        <v/>
      </c>
      <c r="C228" s="18" t="str">
        <f>IF('Step 5 - President'!B25="","",'Step 5 - President'!B25)</f>
        <v/>
      </c>
      <c r="D228" s="17" t="str">
        <f>IF('Step 5 - President'!B25="","",'Step 5 - President'!G25)</f>
        <v/>
      </c>
      <c r="E228" s="17" t="str">
        <f>IF('Step 5 - President'!B25="","",'Step 5 - President'!H25)</f>
        <v/>
      </c>
      <c r="F228" s="18" t="str">
        <f>IF('Step 5 - President'!B25="","",IF('Step 5 - President'!C25="","","Fund Code"))</f>
        <v/>
      </c>
      <c r="G228" s="17" t="str">
        <f>IF('Step 5 - President'!B25="","",IF('Step 5 - President'!C25="","","Equals"))</f>
        <v/>
      </c>
      <c r="H228" s="18" t="str">
        <f>IF('Step 5 - President'!B25="","",IF('Step 5 - President'!C25="","",'Step 5 - President'!C25))</f>
        <v/>
      </c>
      <c r="I228" s="18" t="str">
        <f>IF('Step 5 - President'!B25="","","Organization Code")</f>
        <v/>
      </c>
      <c r="J228" s="17" t="str">
        <f>IF('Step 5 - President'!B25="","","Equals")</f>
        <v/>
      </c>
      <c r="K228" s="18" t="str">
        <f>IF('Step 5 - President'!B25="","",'Step 5 - President'!D25)</f>
        <v/>
      </c>
      <c r="L228" s="18" t="str">
        <f>IF('Step 5 - President'!B25="","","Other Criteria")</f>
        <v/>
      </c>
      <c r="M228" s="17" t="str">
        <f>IF('Step 5 - President'!B25="","","Equals")</f>
        <v/>
      </c>
      <c r="N228" s="18" t="str">
        <f>IF('Step 5 - President'!B25="","",'Step 5 - President'!E25)</f>
        <v/>
      </c>
      <c r="O228" s="18" t="str">
        <f>IF('Step 5 - President'!B25="","",IF('Step 5 - President'!F25="","","Total"))</f>
        <v/>
      </c>
      <c r="P228" s="17" t="str">
        <f>IF('Step 5 - President'!B25="","",IF('Step 5 - President'!F25="","","&gt;="))</f>
        <v/>
      </c>
      <c r="Q228" s="18" t="str">
        <f>IF('Step 5 - President'!B25="","",IF('Step 5 - President'!F25="","",'Step 5 - President'!F25))</f>
        <v/>
      </c>
      <c r="R228" s="18" t="str">
        <f>""</f>
        <v/>
      </c>
      <c r="S228" s="18" t="str">
        <f>""</f>
        <v/>
      </c>
      <c r="T228" s="18" t="str">
        <f>""</f>
        <v/>
      </c>
      <c r="U228" s="18" t="str">
        <f>IF('Step 5 - President'!B25="","",'Step 5 - President'!I25)</f>
        <v/>
      </c>
      <c r="V228" s="17" t="str">
        <f>IF('Step 5 - President'!B25="","",'Step 5 - President'!K25)</f>
        <v/>
      </c>
      <c r="W228" s="18" t="str">
        <f>IF('Step 5 - President'!B25="","",'Step 5 - President'!L25)</f>
        <v/>
      </c>
      <c r="X228" s="17" t="str">
        <f>IF('Step 5 - President'!B25="","",'Step 5 - President'!N25)</f>
        <v/>
      </c>
      <c r="Y228" s="18" t="str">
        <f>""</f>
        <v/>
      </c>
      <c r="Z228" s="18" t="str">
        <f>""</f>
        <v/>
      </c>
      <c r="AA228" s="18" t="str">
        <f>""</f>
        <v/>
      </c>
      <c r="AB228" s="18" t="str">
        <f>""</f>
        <v/>
      </c>
      <c r="AC228" s="18" t="str">
        <f>""</f>
        <v/>
      </c>
      <c r="AD228" s="18" t="str">
        <f>""</f>
        <v/>
      </c>
      <c r="AE228" s="18" t="str">
        <f>""</f>
        <v/>
      </c>
      <c r="AF228" s="18" t="str">
        <f>""</f>
        <v/>
      </c>
      <c r="AG228" s="18" t="str">
        <f>""</f>
        <v/>
      </c>
      <c r="AH228" s="18" t="str">
        <f>""</f>
        <v/>
      </c>
      <c r="AI228" s="18" t="str">
        <f>""</f>
        <v/>
      </c>
      <c r="AJ228" s="18" t="str">
        <f>""</f>
        <v/>
      </c>
      <c r="AK228" s="18" t="str">
        <f>""</f>
        <v/>
      </c>
      <c r="AL228" s="18" t="str">
        <f>""</f>
        <v/>
      </c>
      <c r="AM228" s="18" t="str">
        <f>""</f>
        <v/>
      </c>
    </row>
    <row r="229" spans="1:39" ht="15.75" customHeight="1" x14ac:dyDescent="0.25">
      <c r="A229" s="19" t="str">
        <f>IF('Step 5 - President'!B26="","","Active")</f>
        <v/>
      </c>
      <c r="B229" s="20" t="str">
        <f>IF('Step 5 - President'!B26="","",'Step 5 - President'!B26)</f>
        <v/>
      </c>
      <c r="C229" s="20" t="str">
        <f>IF('Step 5 - President'!B26="","",'Step 5 - President'!B26)</f>
        <v/>
      </c>
      <c r="D229" s="19" t="str">
        <f>IF('Step 5 - President'!B26="","",'Step 5 - President'!G26)</f>
        <v/>
      </c>
      <c r="E229" s="19" t="str">
        <f>IF('Step 5 - President'!B26="","",'Step 5 - President'!H26)</f>
        <v/>
      </c>
      <c r="F229" s="20" t="str">
        <f>IF('Step 5 - President'!B26="","",IF('Step 5 - President'!C26="","","Fund Code"))</f>
        <v/>
      </c>
      <c r="G229" s="19" t="str">
        <f>IF('Step 5 - President'!B26="","",IF('Step 5 - President'!C26="","","Equals"))</f>
        <v/>
      </c>
      <c r="H229" s="20" t="str">
        <f>IF('Step 5 - President'!B26="","",IF('Step 5 - President'!C26="","",'Step 5 - President'!C26))</f>
        <v/>
      </c>
      <c r="I229" s="20" t="str">
        <f>IF('Step 5 - President'!B26="","","Organization Code")</f>
        <v/>
      </c>
      <c r="J229" s="19" t="str">
        <f>IF('Step 5 - President'!B26="","","Equals")</f>
        <v/>
      </c>
      <c r="K229" s="20" t="str">
        <f>IF('Step 5 - President'!B26="","",'Step 5 - President'!D26)</f>
        <v/>
      </c>
      <c r="L229" s="20" t="str">
        <f>IF('Step 5 - President'!B26="","","Other Criteria")</f>
        <v/>
      </c>
      <c r="M229" s="19" t="str">
        <f>IF('Step 5 - President'!B26="","","Equals")</f>
        <v/>
      </c>
      <c r="N229" s="20" t="str">
        <f>IF('Step 5 - President'!B26="","",'Step 5 - President'!E26)</f>
        <v/>
      </c>
      <c r="O229" s="20" t="str">
        <f>IF('Step 5 - President'!B26="","",IF('Step 5 - President'!F26="","","Total"))</f>
        <v/>
      </c>
      <c r="P229" s="19" t="str">
        <f>IF('Step 5 - President'!B26="","",IF('Step 5 - President'!F26="","","&gt;="))</f>
        <v/>
      </c>
      <c r="Q229" s="20" t="str">
        <f>IF('Step 5 - President'!B26="","",IF('Step 5 - President'!F26="","",'Step 5 - President'!F26))</f>
        <v/>
      </c>
      <c r="R229" s="20" t="str">
        <f>""</f>
        <v/>
      </c>
      <c r="S229" s="20" t="str">
        <f>""</f>
        <v/>
      </c>
      <c r="T229" s="20" t="str">
        <f>""</f>
        <v/>
      </c>
      <c r="U229" s="20" t="str">
        <f>IF('Step 5 - President'!B26="","",'Step 5 - President'!I26)</f>
        <v/>
      </c>
      <c r="V229" s="19" t="str">
        <f>IF('Step 5 - President'!B26="","",'Step 5 - President'!K26)</f>
        <v/>
      </c>
      <c r="W229" s="20" t="str">
        <f>IF('Step 5 - President'!B26="","",'Step 5 - President'!L26)</f>
        <v/>
      </c>
      <c r="X229" s="19" t="str">
        <f>IF('Step 5 - President'!B26="","",'Step 5 - President'!N26)</f>
        <v/>
      </c>
      <c r="Y229" s="20" t="str">
        <f>""</f>
        <v/>
      </c>
      <c r="Z229" s="20" t="str">
        <f>""</f>
        <v/>
      </c>
      <c r="AA229" s="20" t="str">
        <f>""</f>
        <v/>
      </c>
      <c r="AB229" s="20" t="str">
        <f>""</f>
        <v/>
      </c>
      <c r="AC229" s="20" t="str">
        <f>""</f>
        <v/>
      </c>
      <c r="AD229" s="20" t="str">
        <f>""</f>
        <v/>
      </c>
      <c r="AE229" s="20" t="str">
        <f>""</f>
        <v/>
      </c>
      <c r="AF229" s="20" t="str">
        <f>""</f>
        <v/>
      </c>
      <c r="AG229" s="20" t="str">
        <f>""</f>
        <v/>
      </c>
      <c r="AH229" s="20" t="str">
        <f>""</f>
        <v/>
      </c>
      <c r="AI229" s="20" t="str">
        <f>""</f>
        <v/>
      </c>
      <c r="AJ229" s="20" t="str">
        <f>""</f>
        <v/>
      </c>
      <c r="AK229" s="20" t="str">
        <f>""</f>
        <v/>
      </c>
      <c r="AL229" s="20" t="str">
        <f>""</f>
        <v/>
      </c>
      <c r="AM229" s="20" t="str">
        <f>""</f>
        <v/>
      </c>
    </row>
    <row r="230" spans="1:39" ht="15.75" customHeight="1" x14ac:dyDescent="0.25">
      <c r="A230" s="17" t="str">
        <f>IF('Step 5 - President'!B27="","","Active")</f>
        <v/>
      </c>
      <c r="B230" s="18" t="str">
        <f>IF('Step 5 - President'!B27="","",'Step 5 - President'!B27)</f>
        <v/>
      </c>
      <c r="C230" s="18" t="str">
        <f>IF('Step 5 - President'!B27="","",'Step 5 - President'!B27)</f>
        <v/>
      </c>
      <c r="D230" s="17" t="str">
        <f>IF('Step 5 - President'!B27="","",'Step 5 - President'!G27)</f>
        <v/>
      </c>
      <c r="E230" s="17" t="str">
        <f>IF('Step 5 - President'!B27="","",'Step 5 - President'!H27)</f>
        <v/>
      </c>
      <c r="F230" s="18" t="str">
        <f>IF('Step 5 - President'!B27="","",IF('Step 5 - President'!C27="","","Fund Code"))</f>
        <v/>
      </c>
      <c r="G230" s="17" t="str">
        <f>IF('Step 5 - President'!B27="","",IF('Step 5 - President'!C27="","","Equals"))</f>
        <v/>
      </c>
      <c r="H230" s="18" t="str">
        <f>IF('Step 5 - President'!B27="","",IF('Step 5 - President'!C27="","",'Step 5 - President'!C27))</f>
        <v/>
      </c>
      <c r="I230" s="18" t="str">
        <f>IF('Step 5 - President'!B27="","","Organization Code")</f>
        <v/>
      </c>
      <c r="J230" s="17" t="str">
        <f>IF('Step 5 - President'!B27="","","Equals")</f>
        <v/>
      </c>
      <c r="K230" s="18" t="str">
        <f>IF('Step 5 - President'!B27="","",'Step 5 - President'!D27)</f>
        <v/>
      </c>
      <c r="L230" s="18" t="str">
        <f>IF('Step 5 - President'!B27="","","Other Criteria")</f>
        <v/>
      </c>
      <c r="M230" s="17" t="str">
        <f>IF('Step 5 - President'!B27="","","Equals")</f>
        <v/>
      </c>
      <c r="N230" s="18" t="str">
        <f>IF('Step 5 - President'!B27="","",'Step 5 - President'!E27)</f>
        <v/>
      </c>
      <c r="O230" s="18" t="str">
        <f>IF('Step 5 - President'!B27="","",IF('Step 5 - President'!F27="","","Total"))</f>
        <v/>
      </c>
      <c r="P230" s="17" t="str">
        <f>IF('Step 5 - President'!B27="","",IF('Step 5 - President'!F27="","","&gt;="))</f>
        <v/>
      </c>
      <c r="Q230" s="18" t="str">
        <f>IF('Step 5 - President'!B27="","",IF('Step 5 - President'!F27="","",'Step 5 - President'!F27))</f>
        <v/>
      </c>
      <c r="R230" s="18" t="str">
        <f>""</f>
        <v/>
      </c>
      <c r="S230" s="18" t="str">
        <f>""</f>
        <v/>
      </c>
      <c r="T230" s="18" t="str">
        <f>""</f>
        <v/>
      </c>
      <c r="U230" s="18" t="str">
        <f>IF('Step 5 - President'!B27="","",'Step 5 - President'!I27)</f>
        <v/>
      </c>
      <c r="V230" s="17" t="str">
        <f>IF('Step 5 - President'!B27="","",'Step 5 - President'!K27)</f>
        <v/>
      </c>
      <c r="W230" s="18" t="str">
        <f>IF('Step 5 - President'!B27="","",'Step 5 - President'!L27)</f>
        <v/>
      </c>
      <c r="X230" s="17" t="str">
        <f>IF('Step 5 - President'!B27="","",'Step 5 - President'!N27)</f>
        <v/>
      </c>
      <c r="Y230" s="18" t="str">
        <f>""</f>
        <v/>
      </c>
      <c r="Z230" s="18" t="str">
        <f>""</f>
        <v/>
      </c>
      <c r="AA230" s="18" t="str">
        <f>""</f>
        <v/>
      </c>
      <c r="AB230" s="18" t="str">
        <f>""</f>
        <v/>
      </c>
      <c r="AC230" s="18" t="str">
        <f>""</f>
        <v/>
      </c>
      <c r="AD230" s="18" t="str">
        <f>""</f>
        <v/>
      </c>
      <c r="AE230" s="18" t="str">
        <f>""</f>
        <v/>
      </c>
      <c r="AF230" s="18" t="str">
        <f>""</f>
        <v/>
      </c>
      <c r="AG230" s="18" t="str">
        <f>""</f>
        <v/>
      </c>
      <c r="AH230" s="18" t="str">
        <f>""</f>
        <v/>
      </c>
      <c r="AI230" s="18" t="str">
        <f>""</f>
        <v/>
      </c>
      <c r="AJ230" s="18" t="str">
        <f>""</f>
        <v/>
      </c>
      <c r="AK230" s="18" t="str">
        <f>""</f>
        <v/>
      </c>
      <c r="AL230" s="18" t="str">
        <f>""</f>
        <v/>
      </c>
      <c r="AM230" s="18" t="str">
        <f>""</f>
        <v/>
      </c>
    </row>
    <row r="231" spans="1:39" ht="15.75" customHeight="1" x14ac:dyDescent="0.25">
      <c r="A231" s="19" t="str">
        <f>IF('Step 5 - President'!B28="","","Active")</f>
        <v/>
      </c>
      <c r="B231" s="20" t="str">
        <f>IF('Step 5 - President'!B28="","",'Step 5 - President'!B28)</f>
        <v/>
      </c>
      <c r="C231" s="20" t="str">
        <f>IF('Step 5 - President'!B28="","",'Step 5 - President'!B28)</f>
        <v/>
      </c>
      <c r="D231" s="19" t="str">
        <f>IF('Step 5 - President'!B28="","",'Step 5 - President'!G28)</f>
        <v/>
      </c>
      <c r="E231" s="19" t="str">
        <f>IF('Step 5 - President'!B28="","",'Step 5 - President'!H28)</f>
        <v/>
      </c>
      <c r="F231" s="20" t="str">
        <f>IF('Step 5 - President'!B28="","",IF('Step 5 - President'!C28="","","Fund Code"))</f>
        <v/>
      </c>
      <c r="G231" s="19" t="str">
        <f>IF('Step 5 - President'!B28="","",IF('Step 5 - President'!C28="","","Equals"))</f>
        <v/>
      </c>
      <c r="H231" s="20" t="str">
        <f>IF('Step 5 - President'!B28="","",IF('Step 5 - President'!C28="","",'Step 5 - President'!C28))</f>
        <v/>
      </c>
      <c r="I231" s="20" t="str">
        <f>IF('Step 5 - President'!B28="","","Organization Code")</f>
        <v/>
      </c>
      <c r="J231" s="19" t="str">
        <f>IF('Step 5 - President'!B28="","","Equals")</f>
        <v/>
      </c>
      <c r="K231" s="20" t="str">
        <f>IF('Step 5 - President'!B28="","",'Step 5 - President'!D28)</f>
        <v/>
      </c>
      <c r="L231" s="20" t="str">
        <f>IF('Step 5 - President'!B28="","","Other Criteria")</f>
        <v/>
      </c>
      <c r="M231" s="19" t="str">
        <f>IF('Step 5 - President'!B28="","","Equals")</f>
        <v/>
      </c>
      <c r="N231" s="20" t="str">
        <f>IF('Step 5 - President'!B28="","",'Step 5 - President'!E28)</f>
        <v/>
      </c>
      <c r="O231" s="20" t="str">
        <f>IF('Step 5 - President'!B28="","",IF('Step 5 - President'!F28="","","Total"))</f>
        <v/>
      </c>
      <c r="P231" s="19" t="str">
        <f>IF('Step 5 - President'!B28="","",IF('Step 5 - President'!F28="","","&gt;="))</f>
        <v/>
      </c>
      <c r="Q231" s="20" t="str">
        <f>IF('Step 5 - President'!B28="","",IF('Step 5 - President'!F28="","",'Step 5 - President'!F28))</f>
        <v/>
      </c>
      <c r="R231" s="20" t="str">
        <f>""</f>
        <v/>
      </c>
      <c r="S231" s="20" t="str">
        <f>""</f>
        <v/>
      </c>
      <c r="T231" s="20" t="str">
        <f>""</f>
        <v/>
      </c>
      <c r="U231" s="20" t="str">
        <f>IF('Step 5 - President'!B28="","",'Step 5 - President'!I28)</f>
        <v/>
      </c>
      <c r="V231" s="19" t="str">
        <f>IF('Step 5 - President'!B28="","",'Step 5 - President'!K28)</f>
        <v/>
      </c>
      <c r="W231" s="20" t="str">
        <f>IF('Step 5 - President'!B28="","",'Step 5 - President'!L28)</f>
        <v/>
      </c>
      <c r="X231" s="19" t="str">
        <f>IF('Step 5 - President'!B28="","",'Step 5 - President'!N28)</f>
        <v/>
      </c>
      <c r="Y231" s="20" t="str">
        <f>""</f>
        <v/>
      </c>
      <c r="Z231" s="20" t="str">
        <f>""</f>
        <v/>
      </c>
      <c r="AA231" s="20" t="str">
        <f>""</f>
        <v/>
      </c>
      <c r="AB231" s="20" t="str">
        <f>""</f>
        <v/>
      </c>
      <c r="AC231" s="20" t="str">
        <f>""</f>
        <v/>
      </c>
      <c r="AD231" s="20" t="str">
        <f>""</f>
        <v/>
      </c>
      <c r="AE231" s="20" t="str">
        <f>""</f>
        <v/>
      </c>
      <c r="AF231" s="20" t="str">
        <f>""</f>
        <v/>
      </c>
      <c r="AG231" s="20" t="str">
        <f>""</f>
        <v/>
      </c>
      <c r="AH231" s="20" t="str">
        <f>""</f>
        <v/>
      </c>
      <c r="AI231" s="20" t="str">
        <f>""</f>
        <v/>
      </c>
      <c r="AJ231" s="20" t="str">
        <f>""</f>
        <v/>
      </c>
      <c r="AK231" s="20" t="str">
        <f>""</f>
        <v/>
      </c>
      <c r="AL231" s="20" t="str">
        <f>""</f>
        <v/>
      </c>
      <c r="AM231" s="20" t="str">
        <f>""</f>
        <v/>
      </c>
    </row>
    <row r="232" spans="1:39" ht="15.75" customHeight="1" x14ac:dyDescent="0.25">
      <c r="A232" s="17" t="str">
        <f>IF('Step 5 - President'!B29="","","Active")</f>
        <v/>
      </c>
      <c r="B232" s="18" t="str">
        <f>IF('Step 5 - President'!B29="","",'Step 5 - President'!B29)</f>
        <v/>
      </c>
      <c r="C232" s="18" t="str">
        <f>IF('Step 5 - President'!B29="","",'Step 5 - President'!B29)</f>
        <v/>
      </c>
      <c r="D232" s="17" t="str">
        <f>IF('Step 5 - President'!B29="","",'Step 5 - President'!G29)</f>
        <v/>
      </c>
      <c r="E232" s="17" t="str">
        <f>IF('Step 5 - President'!B29="","",'Step 5 - President'!H29)</f>
        <v/>
      </c>
      <c r="F232" s="18" t="str">
        <f>IF('Step 5 - President'!B29="","",IF('Step 5 - President'!C29="","","Fund Code"))</f>
        <v/>
      </c>
      <c r="G232" s="17" t="str">
        <f>IF('Step 5 - President'!B29="","",IF('Step 5 - President'!C29="","","Equals"))</f>
        <v/>
      </c>
      <c r="H232" s="18" t="str">
        <f>IF('Step 5 - President'!B29="","",IF('Step 5 - President'!C29="","",'Step 5 - President'!C29))</f>
        <v/>
      </c>
      <c r="I232" s="18" t="str">
        <f>IF('Step 5 - President'!B29="","","Organization Code")</f>
        <v/>
      </c>
      <c r="J232" s="17" t="str">
        <f>IF('Step 5 - President'!B29="","","Equals")</f>
        <v/>
      </c>
      <c r="K232" s="18" t="str">
        <f>IF('Step 5 - President'!B29="","",'Step 5 - President'!D29)</f>
        <v/>
      </c>
      <c r="L232" s="18" t="str">
        <f>IF('Step 5 - President'!B29="","","Other Criteria")</f>
        <v/>
      </c>
      <c r="M232" s="17" t="str">
        <f>IF('Step 5 - President'!B29="","","Equals")</f>
        <v/>
      </c>
      <c r="N232" s="18" t="str">
        <f>IF('Step 5 - President'!B29="","",'Step 5 - President'!E29)</f>
        <v/>
      </c>
      <c r="O232" s="18" t="str">
        <f>IF('Step 5 - President'!B29="","",IF('Step 5 - President'!F29="","","Total"))</f>
        <v/>
      </c>
      <c r="P232" s="17" t="str">
        <f>IF('Step 5 - President'!B29="","",IF('Step 5 - President'!F29="","","&gt;="))</f>
        <v/>
      </c>
      <c r="Q232" s="18" t="str">
        <f>IF('Step 5 - President'!B29="","",IF('Step 5 - President'!F29="","",'Step 5 - President'!F29))</f>
        <v/>
      </c>
      <c r="R232" s="18" t="str">
        <f>""</f>
        <v/>
      </c>
      <c r="S232" s="18" t="str">
        <f>""</f>
        <v/>
      </c>
      <c r="T232" s="18" t="str">
        <f>""</f>
        <v/>
      </c>
      <c r="U232" s="18" t="str">
        <f>IF('Step 5 - President'!B29="","",'Step 5 - President'!I29)</f>
        <v/>
      </c>
      <c r="V232" s="17" t="str">
        <f>IF('Step 5 - President'!B29="","",'Step 5 - President'!K29)</f>
        <v/>
      </c>
      <c r="W232" s="18" t="str">
        <f>IF('Step 5 - President'!B29="","",'Step 5 - President'!L29)</f>
        <v/>
      </c>
      <c r="X232" s="17" t="str">
        <f>IF('Step 5 - President'!B29="","",'Step 5 - President'!N29)</f>
        <v/>
      </c>
      <c r="Y232" s="18" t="str">
        <f>""</f>
        <v/>
      </c>
      <c r="Z232" s="18" t="str">
        <f>""</f>
        <v/>
      </c>
      <c r="AA232" s="18" t="str">
        <f>""</f>
        <v/>
      </c>
      <c r="AB232" s="18" t="str">
        <f>""</f>
        <v/>
      </c>
      <c r="AC232" s="18" t="str">
        <f>""</f>
        <v/>
      </c>
      <c r="AD232" s="18" t="str">
        <f>""</f>
        <v/>
      </c>
      <c r="AE232" s="18" t="str">
        <f>""</f>
        <v/>
      </c>
      <c r="AF232" s="18" t="str">
        <f>""</f>
        <v/>
      </c>
      <c r="AG232" s="18" t="str">
        <f>""</f>
        <v/>
      </c>
      <c r="AH232" s="18" t="str">
        <f>""</f>
        <v/>
      </c>
      <c r="AI232" s="18" t="str">
        <f>""</f>
        <v/>
      </c>
      <c r="AJ232" s="18" t="str">
        <f>""</f>
        <v/>
      </c>
      <c r="AK232" s="18" t="str">
        <f>""</f>
        <v/>
      </c>
      <c r="AL232" s="18" t="str">
        <f>""</f>
        <v/>
      </c>
      <c r="AM232" s="18" t="str">
        <f>""</f>
        <v/>
      </c>
    </row>
    <row r="233" spans="1:39" ht="15.75" customHeight="1" x14ac:dyDescent="0.25">
      <c r="A233" s="19" t="str">
        <f>IF('Step 5 - President'!B30="","","Active")</f>
        <v/>
      </c>
      <c r="B233" s="20" t="str">
        <f>IF('Step 5 - President'!B30="","",'Step 5 - President'!B30)</f>
        <v/>
      </c>
      <c r="C233" s="20" t="str">
        <f>IF('Step 5 - President'!B30="","",'Step 5 - President'!B30)</f>
        <v/>
      </c>
      <c r="D233" s="19" t="str">
        <f>IF('Step 5 - President'!B30="","",'Step 5 - President'!G30)</f>
        <v/>
      </c>
      <c r="E233" s="19" t="str">
        <f>IF('Step 5 - President'!B30="","",'Step 5 - President'!H30)</f>
        <v/>
      </c>
      <c r="F233" s="20" t="str">
        <f>IF('Step 5 - President'!B30="","",IF('Step 5 - President'!C30="","","Fund Code"))</f>
        <v/>
      </c>
      <c r="G233" s="19" t="str">
        <f>IF('Step 5 - President'!B30="","",IF('Step 5 - President'!C30="","","Equals"))</f>
        <v/>
      </c>
      <c r="H233" s="20" t="str">
        <f>IF('Step 5 - President'!B30="","",IF('Step 5 - President'!C30="","",'Step 5 - President'!C30))</f>
        <v/>
      </c>
      <c r="I233" s="20" t="str">
        <f>IF('Step 5 - President'!B30="","","Organization Code")</f>
        <v/>
      </c>
      <c r="J233" s="19" t="str">
        <f>IF('Step 5 - President'!B30="","","Equals")</f>
        <v/>
      </c>
      <c r="K233" s="20" t="str">
        <f>IF('Step 5 - President'!B30="","",'Step 5 - President'!D30)</f>
        <v/>
      </c>
      <c r="L233" s="20" t="str">
        <f>IF('Step 5 - President'!B30="","","Other Criteria")</f>
        <v/>
      </c>
      <c r="M233" s="19" t="str">
        <f>IF('Step 5 - President'!B30="","","Equals")</f>
        <v/>
      </c>
      <c r="N233" s="20" t="str">
        <f>IF('Step 5 - President'!B30="","",'Step 5 - President'!E30)</f>
        <v/>
      </c>
      <c r="O233" s="20" t="str">
        <f>IF('Step 5 - President'!B30="","",IF('Step 5 - President'!F30="","","Total"))</f>
        <v/>
      </c>
      <c r="P233" s="19" t="str">
        <f>IF('Step 5 - President'!B30="","",IF('Step 5 - President'!F30="","","&gt;="))</f>
        <v/>
      </c>
      <c r="Q233" s="20" t="str">
        <f>IF('Step 5 - President'!B30="","",IF('Step 5 - President'!F30="","",'Step 5 - President'!F30))</f>
        <v/>
      </c>
      <c r="R233" s="20" t="str">
        <f>""</f>
        <v/>
      </c>
      <c r="S233" s="20" t="str">
        <f>""</f>
        <v/>
      </c>
      <c r="T233" s="20" t="str">
        <f>""</f>
        <v/>
      </c>
      <c r="U233" s="20" t="str">
        <f>IF('Step 5 - President'!B30="","",'Step 5 - President'!I30)</f>
        <v/>
      </c>
      <c r="V233" s="19" t="str">
        <f>IF('Step 5 - President'!B30="","",'Step 5 - President'!K30)</f>
        <v/>
      </c>
      <c r="W233" s="20" t="str">
        <f>IF('Step 5 - President'!B30="","",'Step 5 - President'!L30)</f>
        <v/>
      </c>
      <c r="X233" s="19" t="str">
        <f>IF('Step 5 - President'!B30="","",'Step 5 - President'!N30)</f>
        <v/>
      </c>
      <c r="Y233" s="20" t="str">
        <f>""</f>
        <v/>
      </c>
      <c r="Z233" s="20" t="str">
        <f>""</f>
        <v/>
      </c>
      <c r="AA233" s="20" t="str">
        <f>""</f>
        <v/>
      </c>
      <c r="AB233" s="20" t="str">
        <f>""</f>
        <v/>
      </c>
      <c r="AC233" s="20" t="str">
        <f>""</f>
        <v/>
      </c>
      <c r="AD233" s="20" t="str">
        <f>""</f>
        <v/>
      </c>
      <c r="AE233" s="20" t="str">
        <f>""</f>
        <v/>
      </c>
      <c r="AF233" s="20" t="str">
        <f>""</f>
        <v/>
      </c>
      <c r="AG233" s="20" t="str">
        <f>""</f>
        <v/>
      </c>
      <c r="AH233" s="20" t="str">
        <f>""</f>
        <v/>
      </c>
      <c r="AI233" s="20" t="str">
        <f>""</f>
        <v/>
      </c>
      <c r="AJ233" s="20" t="str">
        <f>""</f>
        <v/>
      </c>
      <c r="AK233" s="20" t="str">
        <f>""</f>
        <v/>
      </c>
      <c r="AL233" s="20" t="str">
        <f>""</f>
        <v/>
      </c>
      <c r="AM233" s="20" t="str">
        <f>""</f>
        <v/>
      </c>
    </row>
    <row r="234" spans="1:39" ht="15.75" customHeight="1" x14ac:dyDescent="0.25">
      <c r="A234" s="17" t="str">
        <f>IF('Step 5 - President'!B31="","","Active")</f>
        <v/>
      </c>
      <c r="B234" s="18" t="str">
        <f>IF('Step 5 - President'!B31="","",'Step 5 - President'!B31)</f>
        <v/>
      </c>
      <c r="C234" s="18" t="str">
        <f>IF('Step 5 - President'!B31="","",'Step 5 - President'!B31)</f>
        <v/>
      </c>
      <c r="D234" s="17" t="str">
        <f>IF('Step 5 - President'!B31="","",'Step 5 - President'!G31)</f>
        <v/>
      </c>
      <c r="E234" s="17" t="str">
        <f>IF('Step 5 - President'!B31="","",'Step 5 - President'!H31)</f>
        <v/>
      </c>
      <c r="F234" s="18" t="str">
        <f>IF('Step 5 - President'!B31="","",IF('Step 5 - President'!C31="","","Fund Code"))</f>
        <v/>
      </c>
      <c r="G234" s="17" t="str">
        <f>IF('Step 5 - President'!B31="","",IF('Step 5 - President'!C31="","","Equals"))</f>
        <v/>
      </c>
      <c r="H234" s="18" t="str">
        <f>IF('Step 5 - President'!B31="","",IF('Step 5 - President'!C31="","",'Step 5 - President'!C31))</f>
        <v/>
      </c>
      <c r="I234" s="18" t="str">
        <f>IF('Step 5 - President'!B31="","","Organization Code")</f>
        <v/>
      </c>
      <c r="J234" s="17" t="str">
        <f>IF('Step 5 - President'!B31="","","Equals")</f>
        <v/>
      </c>
      <c r="K234" s="18" t="str">
        <f>IF('Step 5 - President'!B31="","",'Step 5 - President'!D31)</f>
        <v/>
      </c>
      <c r="L234" s="18" t="str">
        <f>IF('Step 5 - President'!B31="","","Other Criteria")</f>
        <v/>
      </c>
      <c r="M234" s="17" t="str">
        <f>IF('Step 5 - President'!B31="","","Equals")</f>
        <v/>
      </c>
      <c r="N234" s="18" t="str">
        <f>IF('Step 5 - President'!B31="","",'Step 5 - President'!E31)</f>
        <v/>
      </c>
      <c r="O234" s="18" t="str">
        <f>IF('Step 5 - President'!B31="","",IF('Step 5 - President'!F31="","","Total"))</f>
        <v/>
      </c>
      <c r="P234" s="17" t="str">
        <f>IF('Step 5 - President'!B31="","",IF('Step 5 - President'!F31="","","&gt;="))</f>
        <v/>
      </c>
      <c r="Q234" s="18" t="str">
        <f>IF('Step 5 - President'!B31="","",IF('Step 5 - President'!F31="","",'Step 5 - President'!F31))</f>
        <v/>
      </c>
      <c r="R234" s="18" t="str">
        <f>""</f>
        <v/>
      </c>
      <c r="S234" s="18" t="str">
        <f>""</f>
        <v/>
      </c>
      <c r="T234" s="18" t="str">
        <f>""</f>
        <v/>
      </c>
      <c r="U234" s="18" t="str">
        <f>IF('Step 5 - President'!B31="","",'Step 5 - President'!I31)</f>
        <v/>
      </c>
      <c r="V234" s="17" t="str">
        <f>IF('Step 5 - President'!B31="","",'Step 5 - President'!K31)</f>
        <v/>
      </c>
      <c r="W234" s="18" t="str">
        <f>IF('Step 5 - President'!B31="","",'Step 5 - President'!L31)</f>
        <v/>
      </c>
      <c r="X234" s="17" t="str">
        <f>IF('Step 5 - President'!B31="","",'Step 5 - President'!N31)</f>
        <v/>
      </c>
      <c r="Y234" s="18" t="str">
        <f>""</f>
        <v/>
      </c>
      <c r="Z234" s="18" t="str">
        <f>""</f>
        <v/>
      </c>
      <c r="AA234" s="18" t="str">
        <f>""</f>
        <v/>
      </c>
      <c r="AB234" s="18" t="str">
        <f>""</f>
        <v/>
      </c>
      <c r="AC234" s="18" t="str">
        <f>""</f>
        <v/>
      </c>
      <c r="AD234" s="18" t="str">
        <f>""</f>
        <v/>
      </c>
      <c r="AE234" s="18" t="str">
        <f>""</f>
        <v/>
      </c>
      <c r="AF234" s="18" t="str">
        <f>""</f>
        <v/>
      </c>
      <c r="AG234" s="18" t="str">
        <f>""</f>
        <v/>
      </c>
      <c r="AH234" s="18" t="str">
        <f>""</f>
        <v/>
      </c>
      <c r="AI234" s="18" t="str">
        <f>""</f>
        <v/>
      </c>
      <c r="AJ234" s="18" t="str">
        <f>""</f>
        <v/>
      </c>
      <c r="AK234" s="18" t="str">
        <f>""</f>
        <v/>
      </c>
      <c r="AL234" s="18" t="str">
        <f>""</f>
        <v/>
      </c>
      <c r="AM234" s="18" t="str">
        <f>""</f>
        <v/>
      </c>
    </row>
    <row r="235" spans="1:39" ht="15.75" customHeight="1" x14ac:dyDescent="0.25">
      <c r="A235" s="19" t="str">
        <f>IF('Step 5 - President'!B32="","","Active")</f>
        <v/>
      </c>
      <c r="B235" s="20" t="str">
        <f>IF('Step 5 - President'!B32="","",'Step 5 - President'!B32)</f>
        <v/>
      </c>
      <c r="C235" s="20" t="str">
        <f>IF('Step 5 - President'!B32="","",'Step 5 - President'!B32)</f>
        <v/>
      </c>
      <c r="D235" s="19" t="str">
        <f>IF('Step 5 - President'!B32="","",'Step 5 - President'!G32)</f>
        <v/>
      </c>
      <c r="E235" s="19" t="str">
        <f>IF('Step 5 - President'!B32="","",'Step 5 - President'!H32)</f>
        <v/>
      </c>
      <c r="F235" s="20" t="str">
        <f>IF('Step 5 - President'!B32="","",IF('Step 5 - President'!C32="","","Fund Code"))</f>
        <v/>
      </c>
      <c r="G235" s="19" t="str">
        <f>IF('Step 5 - President'!B32="","",IF('Step 5 - President'!C32="","","Equals"))</f>
        <v/>
      </c>
      <c r="H235" s="20" t="str">
        <f>IF('Step 5 - President'!B32="","",IF('Step 5 - President'!C32="","",'Step 5 - President'!C32))</f>
        <v/>
      </c>
      <c r="I235" s="20" t="str">
        <f>IF('Step 5 - President'!B32="","","Organization Code")</f>
        <v/>
      </c>
      <c r="J235" s="19" t="str">
        <f>IF('Step 5 - President'!B32="","","Equals")</f>
        <v/>
      </c>
      <c r="K235" s="20" t="str">
        <f>IF('Step 5 - President'!B32="","",'Step 5 - President'!D32)</f>
        <v/>
      </c>
      <c r="L235" s="20" t="str">
        <f>IF('Step 5 - President'!B32="","","Other Criteria")</f>
        <v/>
      </c>
      <c r="M235" s="19" t="str">
        <f>IF('Step 5 - President'!B32="","","Equals")</f>
        <v/>
      </c>
      <c r="N235" s="20" t="str">
        <f>IF('Step 5 - President'!B32="","",'Step 5 - President'!E32)</f>
        <v/>
      </c>
      <c r="O235" s="20" t="str">
        <f>IF('Step 5 - President'!B32="","",IF('Step 5 - President'!F32="","","Total"))</f>
        <v/>
      </c>
      <c r="P235" s="19" t="str">
        <f>IF('Step 5 - President'!B32="","",IF('Step 5 - President'!F32="","","&gt;="))</f>
        <v/>
      </c>
      <c r="Q235" s="20" t="str">
        <f>IF('Step 5 - President'!B32="","",IF('Step 5 - President'!F32="","",'Step 5 - President'!F32))</f>
        <v/>
      </c>
      <c r="R235" s="20" t="str">
        <f>""</f>
        <v/>
      </c>
      <c r="S235" s="20" t="str">
        <f>""</f>
        <v/>
      </c>
      <c r="T235" s="20" t="str">
        <f>""</f>
        <v/>
      </c>
      <c r="U235" s="20" t="str">
        <f>IF('Step 5 - President'!B32="","",'Step 5 - President'!I32)</f>
        <v/>
      </c>
      <c r="V235" s="19" t="str">
        <f>IF('Step 5 - President'!B32="","",'Step 5 - President'!K32)</f>
        <v/>
      </c>
      <c r="W235" s="20" t="str">
        <f>IF('Step 5 - President'!B32="","",'Step 5 - President'!L32)</f>
        <v/>
      </c>
      <c r="X235" s="19" t="str">
        <f>IF('Step 5 - President'!B32="","",'Step 5 - President'!N32)</f>
        <v/>
      </c>
      <c r="Y235" s="20" t="str">
        <f>""</f>
        <v/>
      </c>
      <c r="Z235" s="20" t="str">
        <f>""</f>
        <v/>
      </c>
      <c r="AA235" s="20" t="str">
        <f>""</f>
        <v/>
      </c>
      <c r="AB235" s="20" t="str">
        <f>""</f>
        <v/>
      </c>
      <c r="AC235" s="20" t="str">
        <f>""</f>
        <v/>
      </c>
      <c r="AD235" s="20" t="str">
        <f>""</f>
        <v/>
      </c>
      <c r="AE235" s="20" t="str">
        <f>""</f>
        <v/>
      </c>
      <c r="AF235" s="20" t="str">
        <f>""</f>
        <v/>
      </c>
      <c r="AG235" s="20" t="str">
        <f>""</f>
        <v/>
      </c>
      <c r="AH235" s="20" t="str">
        <f>""</f>
        <v/>
      </c>
      <c r="AI235" s="20" t="str">
        <f>""</f>
        <v/>
      </c>
      <c r="AJ235" s="20" t="str">
        <f>""</f>
        <v/>
      </c>
      <c r="AK235" s="20" t="str">
        <f>""</f>
        <v/>
      </c>
      <c r="AL235" s="20" t="str">
        <f>""</f>
        <v/>
      </c>
      <c r="AM235" s="20" t="str">
        <f>""</f>
        <v/>
      </c>
    </row>
    <row r="236" spans="1:39" ht="15.75" customHeight="1" x14ac:dyDescent="0.25">
      <c r="A236" s="17" t="str">
        <f>IF('Step 5 - President'!B33="","","Active")</f>
        <v/>
      </c>
      <c r="B236" s="18" t="str">
        <f>IF('Step 5 - President'!B33="","",'Step 5 - President'!B33)</f>
        <v/>
      </c>
      <c r="C236" s="18" t="str">
        <f>IF('Step 5 - President'!B33="","",'Step 5 - President'!B33)</f>
        <v/>
      </c>
      <c r="D236" s="17" t="str">
        <f>IF('Step 5 - President'!B33="","",'Step 5 - President'!G33)</f>
        <v/>
      </c>
      <c r="E236" s="17" t="str">
        <f>IF('Step 5 - President'!B33="","",'Step 5 - President'!H33)</f>
        <v/>
      </c>
      <c r="F236" s="18" t="str">
        <f>IF('Step 5 - President'!B33="","",IF('Step 5 - President'!C33="","","Fund Code"))</f>
        <v/>
      </c>
      <c r="G236" s="17" t="str">
        <f>IF('Step 5 - President'!B33="","",IF('Step 5 - President'!C33="","","Equals"))</f>
        <v/>
      </c>
      <c r="H236" s="18" t="str">
        <f>IF('Step 5 - President'!B33="","",IF('Step 5 - President'!C33="","",'Step 5 - President'!C33))</f>
        <v/>
      </c>
      <c r="I236" s="18" t="str">
        <f>IF('Step 5 - President'!B33="","","Organization Code")</f>
        <v/>
      </c>
      <c r="J236" s="17" t="str">
        <f>IF('Step 5 - President'!B33="","","Equals")</f>
        <v/>
      </c>
      <c r="K236" s="18" t="str">
        <f>IF('Step 5 - President'!B33="","",'Step 5 - President'!D33)</f>
        <v/>
      </c>
      <c r="L236" s="18" t="str">
        <f>IF('Step 5 - President'!B33="","","Other Criteria")</f>
        <v/>
      </c>
      <c r="M236" s="17" t="str">
        <f>IF('Step 5 - President'!B33="","","Equals")</f>
        <v/>
      </c>
      <c r="N236" s="18" t="str">
        <f>IF('Step 5 - President'!B33="","",'Step 5 - President'!E33)</f>
        <v/>
      </c>
      <c r="O236" s="18" t="str">
        <f>IF('Step 5 - President'!B33="","",IF('Step 5 - President'!F33="","","Total"))</f>
        <v/>
      </c>
      <c r="P236" s="17" t="str">
        <f>IF('Step 5 - President'!B33="","",IF('Step 5 - President'!F33="","","&gt;="))</f>
        <v/>
      </c>
      <c r="Q236" s="18" t="str">
        <f>IF('Step 5 - President'!B33="","",IF('Step 5 - President'!F33="","",'Step 5 - President'!F33))</f>
        <v/>
      </c>
      <c r="R236" s="18" t="str">
        <f>""</f>
        <v/>
      </c>
      <c r="S236" s="18" t="str">
        <f>""</f>
        <v/>
      </c>
      <c r="T236" s="18" t="str">
        <f>""</f>
        <v/>
      </c>
      <c r="U236" s="18" t="str">
        <f>IF('Step 5 - President'!B33="","",'Step 5 - President'!I33)</f>
        <v/>
      </c>
      <c r="V236" s="17" t="str">
        <f>IF('Step 5 - President'!B33="","",'Step 5 - President'!K33)</f>
        <v/>
      </c>
      <c r="W236" s="18" t="str">
        <f>IF('Step 5 - President'!B33="","",'Step 5 - President'!L33)</f>
        <v/>
      </c>
      <c r="X236" s="17" t="str">
        <f>IF('Step 5 - President'!B33="","",'Step 5 - President'!N33)</f>
        <v/>
      </c>
      <c r="Y236" s="18" t="str">
        <f>""</f>
        <v/>
      </c>
      <c r="Z236" s="18" t="str">
        <f>""</f>
        <v/>
      </c>
      <c r="AA236" s="18" t="str">
        <f>""</f>
        <v/>
      </c>
      <c r="AB236" s="18" t="str">
        <f>""</f>
        <v/>
      </c>
      <c r="AC236" s="18" t="str">
        <f>""</f>
        <v/>
      </c>
      <c r="AD236" s="18" t="str">
        <f>""</f>
        <v/>
      </c>
      <c r="AE236" s="18" t="str">
        <f>""</f>
        <v/>
      </c>
      <c r="AF236" s="18" t="str">
        <f>""</f>
        <v/>
      </c>
      <c r="AG236" s="18" t="str">
        <f>""</f>
        <v/>
      </c>
      <c r="AH236" s="18" t="str">
        <f>""</f>
        <v/>
      </c>
      <c r="AI236" s="18" t="str">
        <f>""</f>
        <v/>
      </c>
      <c r="AJ236" s="18" t="str">
        <f>""</f>
        <v/>
      </c>
      <c r="AK236" s="18" t="str">
        <f>""</f>
        <v/>
      </c>
      <c r="AL236" s="18" t="str">
        <f>""</f>
        <v/>
      </c>
      <c r="AM236" s="18" t="str">
        <f>""</f>
        <v/>
      </c>
    </row>
    <row r="237" spans="1:39" ht="15.75" customHeight="1" x14ac:dyDescent="0.25">
      <c r="A237" s="19" t="str">
        <f>IF('Step 5 - President'!B34="","","Active")</f>
        <v/>
      </c>
      <c r="B237" s="20" t="str">
        <f>IF('Step 5 - President'!B34="","",'Step 5 - President'!B34)</f>
        <v/>
      </c>
      <c r="C237" s="20" t="str">
        <f>IF('Step 5 - President'!B34="","",'Step 5 - President'!B34)</f>
        <v/>
      </c>
      <c r="D237" s="19" t="str">
        <f>IF('Step 5 - President'!B34="","",'Step 5 - President'!G34)</f>
        <v/>
      </c>
      <c r="E237" s="19" t="str">
        <f>IF('Step 5 - President'!B34="","",'Step 5 - President'!H34)</f>
        <v/>
      </c>
      <c r="F237" s="20" t="str">
        <f>IF('Step 5 - President'!B34="","",IF('Step 5 - President'!C34="","","Fund Code"))</f>
        <v/>
      </c>
      <c r="G237" s="19" t="str">
        <f>IF('Step 5 - President'!B34="","",IF('Step 5 - President'!C34="","","Equals"))</f>
        <v/>
      </c>
      <c r="H237" s="20" t="str">
        <f>IF('Step 5 - President'!B34="","",IF('Step 5 - President'!C34="","",'Step 5 - President'!C34))</f>
        <v/>
      </c>
      <c r="I237" s="20" t="str">
        <f>IF('Step 5 - President'!B34="","","Organization Code")</f>
        <v/>
      </c>
      <c r="J237" s="19" t="str">
        <f>IF('Step 5 - President'!B34="","","Equals")</f>
        <v/>
      </c>
      <c r="K237" s="20" t="str">
        <f>IF('Step 5 - President'!B34="","",'Step 5 - President'!D34)</f>
        <v/>
      </c>
      <c r="L237" s="20" t="str">
        <f>IF('Step 5 - President'!B34="","","Other Criteria")</f>
        <v/>
      </c>
      <c r="M237" s="19" t="str">
        <f>IF('Step 5 - President'!B34="","","Equals")</f>
        <v/>
      </c>
      <c r="N237" s="20" t="str">
        <f>IF('Step 5 - President'!B34="","",'Step 5 - President'!E34)</f>
        <v/>
      </c>
      <c r="O237" s="20" t="str">
        <f>IF('Step 5 - President'!B34="","",IF('Step 5 - President'!F34="","","Total"))</f>
        <v/>
      </c>
      <c r="P237" s="19" t="str">
        <f>IF('Step 5 - President'!B34="","",IF('Step 5 - President'!F34="","","&gt;="))</f>
        <v/>
      </c>
      <c r="Q237" s="20" t="str">
        <f>IF('Step 5 - President'!B34="","",IF('Step 5 - President'!F34="","",'Step 5 - President'!F34))</f>
        <v/>
      </c>
      <c r="R237" s="20" t="str">
        <f>""</f>
        <v/>
      </c>
      <c r="S237" s="20" t="str">
        <f>""</f>
        <v/>
      </c>
      <c r="T237" s="20" t="str">
        <f>""</f>
        <v/>
      </c>
      <c r="U237" s="20" t="str">
        <f>IF('Step 5 - President'!B34="","",'Step 5 - President'!I34)</f>
        <v/>
      </c>
      <c r="V237" s="19" t="str">
        <f>IF('Step 5 - President'!B34="","",'Step 5 - President'!K34)</f>
        <v/>
      </c>
      <c r="W237" s="20" t="str">
        <f>IF('Step 5 - President'!B34="","",'Step 5 - President'!L34)</f>
        <v/>
      </c>
      <c r="X237" s="19" t="str">
        <f>IF('Step 5 - President'!B34="","",'Step 5 - President'!N34)</f>
        <v/>
      </c>
      <c r="Y237" s="20" t="str">
        <f>""</f>
        <v/>
      </c>
      <c r="Z237" s="20" t="str">
        <f>""</f>
        <v/>
      </c>
      <c r="AA237" s="20" t="str">
        <f>""</f>
        <v/>
      </c>
      <c r="AB237" s="20" t="str">
        <f>""</f>
        <v/>
      </c>
      <c r="AC237" s="20" t="str">
        <f>""</f>
        <v/>
      </c>
      <c r="AD237" s="20" t="str">
        <f>""</f>
        <v/>
      </c>
      <c r="AE237" s="20" t="str">
        <f>""</f>
        <v/>
      </c>
      <c r="AF237" s="20" t="str">
        <f>""</f>
        <v/>
      </c>
      <c r="AG237" s="20" t="str">
        <f>""</f>
        <v/>
      </c>
      <c r="AH237" s="20" t="str">
        <f>""</f>
        <v/>
      </c>
      <c r="AI237" s="20" t="str">
        <f>""</f>
        <v/>
      </c>
      <c r="AJ237" s="20" t="str">
        <f>""</f>
        <v/>
      </c>
      <c r="AK237" s="20" t="str">
        <f>""</f>
        <v/>
      </c>
      <c r="AL237" s="20" t="str">
        <f>""</f>
        <v/>
      </c>
      <c r="AM237" s="20" t="str">
        <f>""</f>
        <v/>
      </c>
    </row>
    <row r="238" spans="1:39" ht="15.75" customHeight="1" x14ac:dyDescent="0.25">
      <c r="A238" s="17" t="str">
        <f>IF('Step 5 - President'!B35="","","Active")</f>
        <v/>
      </c>
      <c r="B238" s="18" t="str">
        <f>IF('Step 5 - President'!B35="","",'Step 5 - President'!B35)</f>
        <v/>
      </c>
      <c r="C238" s="18" t="str">
        <f>IF('Step 5 - President'!B35="","",'Step 5 - President'!B35)</f>
        <v/>
      </c>
      <c r="D238" s="17" t="str">
        <f>IF('Step 5 - President'!B35="","",'Step 5 - President'!G35)</f>
        <v/>
      </c>
      <c r="E238" s="17" t="str">
        <f>IF('Step 5 - President'!B35="","",'Step 5 - President'!H35)</f>
        <v/>
      </c>
      <c r="F238" s="18" t="str">
        <f>IF('Step 5 - President'!B35="","",IF('Step 5 - President'!C35="","","Fund Code"))</f>
        <v/>
      </c>
      <c r="G238" s="17" t="str">
        <f>IF('Step 5 - President'!B35="","",IF('Step 5 - President'!C35="","","Equals"))</f>
        <v/>
      </c>
      <c r="H238" s="18" t="str">
        <f>IF('Step 5 - President'!B35="","",IF('Step 5 - President'!C35="","",'Step 5 - President'!C35))</f>
        <v/>
      </c>
      <c r="I238" s="18" t="str">
        <f>IF('Step 5 - President'!B35="","","Organization Code")</f>
        <v/>
      </c>
      <c r="J238" s="17" t="str">
        <f>IF('Step 5 - President'!B35="","","Equals")</f>
        <v/>
      </c>
      <c r="K238" s="18" t="str">
        <f>IF('Step 5 - President'!B35="","",'Step 5 - President'!D35)</f>
        <v/>
      </c>
      <c r="L238" s="18" t="str">
        <f>IF('Step 5 - President'!B35="","","Other Criteria")</f>
        <v/>
      </c>
      <c r="M238" s="17" t="str">
        <f>IF('Step 5 - President'!B35="","","Equals")</f>
        <v/>
      </c>
      <c r="N238" s="18" t="str">
        <f>IF('Step 5 - President'!B35="","",'Step 5 - President'!E35)</f>
        <v/>
      </c>
      <c r="O238" s="18" t="str">
        <f>IF('Step 5 - President'!B35="","",IF('Step 5 - President'!F35="","","Total"))</f>
        <v/>
      </c>
      <c r="P238" s="17" t="str">
        <f>IF('Step 5 - President'!B35="","",IF('Step 5 - President'!F35="","","&gt;="))</f>
        <v/>
      </c>
      <c r="Q238" s="18" t="str">
        <f>IF('Step 5 - President'!B35="","",IF('Step 5 - President'!F35="","",'Step 5 - President'!F35))</f>
        <v/>
      </c>
      <c r="R238" s="18" t="str">
        <f>""</f>
        <v/>
      </c>
      <c r="S238" s="18" t="str">
        <f>""</f>
        <v/>
      </c>
      <c r="T238" s="18" t="str">
        <f>""</f>
        <v/>
      </c>
      <c r="U238" s="18" t="str">
        <f>IF('Step 5 - President'!B35="","",'Step 5 - President'!I35)</f>
        <v/>
      </c>
      <c r="V238" s="17" t="str">
        <f>IF('Step 5 - President'!B35="","",'Step 5 - President'!K35)</f>
        <v/>
      </c>
      <c r="W238" s="18" t="str">
        <f>IF('Step 5 - President'!B35="","",'Step 5 - President'!L35)</f>
        <v/>
      </c>
      <c r="X238" s="17" t="str">
        <f>IF('Step 5 - President'!B35="","",'Step 5 - President'!N35)</f>
        <v/>
      </c>
      <c r="Y238" s="18" t="str">
        <f>""</f>
        <v/>
      </c>
      <c r="Z238" s="18" t="str">
        <f>""</f>
        <v/>
      </c>
      <c r="AA238" s="18" t="str">
        <f>""</f>
        <v/>
      </c>
      <c r="AB238" s="18" t="str">
        <f>""</f>
        <v/>
      </c>
      <c r="AC238" s="18" t="str">
        <f>""</f>
        <v/>
      </c>
      <c r="AD238" s="18" t="str">
        <f>""</f>
        <v/>
      </c>
      <c r="AE238" s="18" t="str">
        <f>""</f>
        <v/>
      </c>
      <c r="AF238" s="18" t="str">
        <f>""</f>
        <v/>
      </c>
      <c r="AG238" s="18" t="str">
        <f>""</f>
        <v/>
      </c>
      <c r="AH238" s="18" t="str">
        <f>""</f>
        <v/>
      </c>
      <c r="AI238" s="18" t="str">
        <f>""</f>
        <v/>
      </c>
      <c r="AJ238" s="18" t="str">
        <f>""</f>
        <v/>
      </c>
      <c r="AK238" s="18" t="str">
        <f>""</f>
        <v/>
      </c>
      <c r="AL238" s="18" t="str">
        <f>""</f>
        <v/>
      </c>
      <c r="AM238" s="18" t="str">
        <f>""</f>
        <v/>
      </c>
    </row>
    <row r="239" spans="1:39" ht="15.75" customHeight="1" x14ac:dyDescent="0.25">
      <c r="A239" s="19" t="str">
        <f>IF('Step 5 - President'!B36="","","Active")</f>
        <v/>
      </c>
      <c r="B239" s="20" t="str">
        <f>IF('Step 5 - President'!B36="","",'Step 5 - President'!B36)</f>
        <v/>
      </c>
      <c r="C239" s="20" t="str">
        <f>IF('Step 5 - President'!B36="","",'Step 5 - President'!B36)</f>
        <v/>
      </c>
      <c r="D239" s="19" t="str">
        <f>IF('Step 5 - President'!B36="","",'Step 5 - President'!G36)</f>
        <v/>
      </c>
      <c r="E239" s="19" t="str">
        <f>IF('Step 5 - President'!B36="","",'Step 5 - President'!H36)</f>
        <v/>
      </c>
      <c r="F239" s="20" t="str">
        <f>IF('Step 5 - President'!B36="","",IF('Step 5 - President'!C36="","","Fund Code"))</f>
        <v/>
      </c>
      <c r="G239" s="19" t="str">
        <f>IF('Step 5 - President'!B36="","",IF('Step 5 - President'!C36="","","Equals"))</f>
        <v/>
      </c>
      <c r="H239" s="20" t="str">
        <f>IF('Step 5 - President'!B36="","",IF('Step 5 - President'!C36="","",'Step 5 - President'!C36))</f>
        <v/>
      </c>
      <c r="I239" s="20" t="str">
        <f>IF('Step 5 - President'!B36="","","Organization Code")</f>
        <v/>
      </c>
      <c r="J239" s="19" t="str">
        <f>IF('Step 5 - President'!B36="","","Equals")</f>
        <v/>
      </c>
      <c r="K239" s="20" t="str">
        <f>IF('Step 5 - President'!B36="","",'Step 5 - President'!D36)</f>
        <v/>
      </c>
      <c r="L239" s="20" t="str">
        <f>IF('Step 5 - President'!B36="","","Other Criteria")</f>
        <v/>
      </c>
      <c r="M239" s="19" t="str">
        <f>IF('Step 5 - President'!B36="","","Equals")</f>
        <v/>
      </c>
      <c r="N239" s="20" t="str">
        <f>IF('Step 5 - President'!B36="","",'Step 5 - President'!E36)</f>
        <v/>
      </c>
      <c r="O239" s="20" t="str">
        <f>IF('Step 5 - President'!B36="","",IF('Step 5 - President'!F36="","","Total"))</f>
        <v/>
      </c>
      <c r="P239" s="19" t="str">
        <f>IF('Step 5 - President'!B36="","",IF('Step 5 - President'!F36="","","&gt;="))</f>
        <v/>
      </c>
      <c r="Q239" s="20" t="str">
        <f>IF('Step 5 - President'!B36="","",IF('Step 5 - President'!F36="","",'Step 5 - President'!F36))</f>
        <v/>
      </c>
      <c r="R239" s="20" t="str">
        <f>""</f>
        <v/>
      </c>
      <c r="S239" s="20" t="str">
        <f>""</f>
        <v/>
      </c>
      <c r="T239" s="20" t="str">
        <f>""</f>
        <v/>
      </c>
      <c r="U239" s="20" t="str">
        <f>IF('Step 5 - President'!B36="","",'Step 5 - President'!I36)</f>
        <v/>
      </c>
      <c r="V239" s="19" t="str">
        <f>IF('Step 5 - President'!B36="","",'Step 5 - President'!K36)</f>
        <v/>
      </c>
      <c r="W239" s="20" t="str">
        <f>IF('Step 5 - President'!B36="","",'Step 5 - President'!L36)</f>
        <v/>
      </c>
      <c r="X239" s="19" t="str">
        <f>IF('Step 5 - President'!B36="","",'Step 5 - President'!N36)</f>
        <v/>
      </c>
      <c r="Y239" s="20" t="str">
        <f>""</f>
        <v/>
      </c>
      <c r="Z239" s="20" t="str">
        <f>""</f>
        <v/>
      </c>
      <c r="AA239" s="20" t="str">
        <f>""</f>
        <v/>
      </c>
      <c r="AB239" s="20" t="str">
        <f>""</f>
        <v/>
      </c>
      <c r="AC239" s="20" t="str">
        <f>""</f>
        <v/>
      </c>
      <c r="AD239" s="20" t="str">
        <f>""</f>
        <v/>
      </c>
      <c r="AE239" s="20" t="str">
        <f>""</f>
        <v/>
      </c>
      <c r="AF239" s="20" t="str">
        <f>""</f>
        <v/>
      </c>
      <c r="AG239" s="20" t="str">
        <f>""</f>
        <v/>
      </c>
      <c r="AH239" s="20" t="str">
        <f>""</f>
        <v/>
      </c>
      <c r="AI239" s="20" t="str">
        <f>""</f>
        <v/>
      </c>
      <c r="AJ239" s="20" t="str">
        <f>""</f>
        <v/>
      </c>
      <c r="AK239" s="20" t="str">
        <f>""</f>
        <v/>
      </c>
      <c r="AL239" s="20" t="str">
        <f>""</f>
        <v/>
      </c>
      <c r="AM239" s="20" t="str">
        <f>""</f>
        <v/>
      </c>
    </row>
    <row r="240" spans="1:39" ht="15.75" customHeight="1" x14ac:dyDescent="0.25">
      <c r="A240" s="17" t="str">
        <f>IF('Step 5 - President'!B37="","","Active")</f>
        <v/>
      </c>
      <c r="B240" s="18" t="str">
        <f>IF('Step 5 - President'!B37="","",'Step 5 - President'!B37)</f>
        <v/>
      </c>
      <c r="C240" s="18" t="str">
        <f>IF('Step 5 - President'!B37="","",'Step 5 - President'!B37)</f>
        <v/>
      </c>
      <c r="D240" s="17" t="str">
        <f>IF('Step 5 - President'!B37="","",'Step 5 - President'!G37)</f>
        <v/>
      </c>
      <c r="E240" s="17" t="str">
        <f>IF('Step 5 - President'!B37="","",'Step 5 - President'!H37)</f>
        <v/>
      </c>
      <c r="F240" s="18" t="str">
        <f>IF('Step 5 - President'!B37="","",IF('Step 5 - President'!C37="","","Fund Code"))</f>
        <v/>
      </c>
      <c r="G240" s="17" t="str">
        <f>IF('Step 5 - President'!B37="","",IF('Step 5 - President'!C37="","","Equals"))</f>
        <v/>
      </c>
      <c r="H240" s="18" t="str">
        <f>IF('Step 5 - President'!B37="","",IF('Step 5 - President'!C37="","",'Step 5 - President'!C37))</f>
        <v/>
      </c>
      <c r="I240" s="18" t="str">
        <f>IF('Step 5 - President'!B37="","","Organization Code")</f>
        <v/>
      </c>
      <c r="J240" s="17" t="str">
        <f>IF('Step 5 - President'!B37="","","Equals")</f>
        <v/>
      </c>
      <c r="K240" s="18" t="str">
        <f>IF('Step 5 - President'!B37="","",'Step 5 - President'!D37)</f>
        <v/>
      </c>
      <c r="L240" s="18" t="str">
        <f>IF('Step 5 - President'!B37="","","Other Criteria")</f>
        <v/>
      </c>
      <c r="M240" s="17" t="str">
        <f>IF('Step 5 - President'!B37="","","Equals")</f>
        <v/>
      </c>
      <c r="N240" s="18" t="str">
        <f>IF('Step 5 - President'!B37="","",'Step 5 - President'!E37)</f>
        <v/>
      </c>
      <c r="O240" s="18" t="str">
        <f>IF('Step 5 - President'!B37="","",IF('Step 5 - President'!F37="","","Total"))</f>
        <v/>
      </c>
      <c r="P240" s="17" t="str">
        <f>IF('Step 5 - President'!B37="","",IF('Step 5 - President'!F37="","","&gt;="))</f>
        <v/>
      </c>
      <c r="Q240" s="18" t="str">
        <f>IF('Step 5 - President'!B37="","",IF('Step 5 - President'!F37="","",'Step 5 - President'!F37))</f>
        <v/>
      </c>
      <c r="R240" s="18" t="str">
        <f>""</f>
        <v/>
      </c>
      <c r="S240" s="18" t="str">
        <f>""</f>
        <v/>
      </c>
      <c r="T240" s="18" t="str">
        <f>""</f>
        <v/>
      </c>
      <c r="U240" s="18" t="str">
        <f>IF('Step 5 - President'!B37="","",'Step 5 - President'!I37)</f>
        <v/>
      </c>
      <c r="V240" s="17" t="str">
        <f>IF('Step 5 - President'!B37="","",'Step 5 - President'!K37)</f>
        <v/>
      </c>
      <c r="W240" s="18" t="str">
        <f>IF('Step 5 - President'!B37="","",'Step 5 - President'!L37)</f>
        <v/>
      </c>
      <c r="X240" s="17" t="str">
        <f>IF('Step 5 - President'!B37="","",'Step 5 - President'!N37)</f>
        <v/>
      </c>
      <c r="Y240" s="18" t="str">
        <f>""</f>
        <v/>
      </c>
      <c r="Z240" s="18" t="str">
        <f>""</f>
        <v/>
      </c>
      <c r="AA240" s="18" t="str">
        <f>""</f>
        <v/>
      </c>
      <c r="AB240" s="18" t="str">
        <f>""</f>
        <v/>
      </c>
      <c r="AC240" s="18" t="str">
        <f>""</f>
        <v/>
      </c>
      <c r="AD240" s="18" t="str">
        <f>""</f>
        <v/>
      </c>
      <c r="AE240" s="18" t="str">
        <f>""</f>
        <v/>
      </c>
      <c r="AF240" s="18" t="str">
        <f>""</f>
        <v/>
      </c>
      <c r="AG240" s="18" t="str">
        <f>""</f>
        <v/>
      </c>
      <c r="AH240" s="18" t="str">
        <f>""</f>
        <v/>
      </c>
      <c r="AI240" s="18" t="str">
        <f>""</f>
        <v/>
      </c>
      <c r="AJ240" s="18" t="str">
        <f>""</f>
        <v/>
      </c>
      <c r="AK240" s="18" t="str">
        <f>""</f>
        <v/>
      </c>
      <c r="AL240" s="18" t="str">
        <f>""</f>
        <v/>
      </c>
      <c r="AM240" s="18" t="str">
        <f>""</f>
        <v/>
      </c>
    </row>
    <row r="241" spans="1:39" ht="15.75" customHeight="1" x14ac:dyDescent="0.25">
      <c r="A241" s="19" t="str">
        <f>IF('Step 5 - President'!B38="","","Active")</f>
        <v/>
      </c>
      <c r="B241" s="20" t="str">
        <f>IF('Step 5 - President'!B38="","",'Step 5 - President'!B38)</f>
        <v/>
      </c>
      <c r="C241" s="20" t="str">
        <f>IF('Step 5 - President'!B38="","",'Step 5 - President'!B38)</f>
        <v/>
      </c>
      <c r="D241" s="19" t="str">
        <f>IF('Step 5 - President'!B38="","",'Step 5 - President'!G38)</f>
        <v/>
      </c>
      <c r="E241" s="19" t="str">
        <f>IF('Step 5 - President'!B38="","",'Step 5 - President'!H38)</f>
        <v/>
      </c>
      <c r="F241" s="20" t="str">
        <f>IF('Step 5 - President'!B38="","",IF('Step 5 - President'!C38="","","Fund Code"))</f>
        <v/>
      </c>
      <c r="G241" s="19" t="str">
        <f>IF('Step 5 - President'!B38="","",IF('Step 5 - President'!C38="","","Equals"))</f>
        <v/>
      </c>
      <c r="H241" s="20" t="str">
        <f>IF('Step 5 - President'!B38="","",IF('Step 5 - President'!C38="","",'Step 5 - President'!C38))</f>
        <v/>
      </c>
      <c r="I241" s="20" t="str">
        <f>IF('Step 5 - President'!B38="","","Organization Code")</f>
        <v/>
      </c>
      <c r="J241" s="19" t="str">
        <f>IF('Step 5 - President'!B38="","","Equals")</f>
        <v/>
      </c>
      <c r="K241" s="20" t="str">
        <f>IF('Step 5 - President'!B38="","",'Step 5 - President'!D38)</f>
        <v/>
      </c>
      <c r="L241" s="20" t="str">
        <f>IF('Step 5 - President'!B38="","","Other Criteria")</f>
        <v/>
      </c>
      <c r="M241" s="19" t="str">
        <f>IF('Step 5 - President'!B38="","","Equals")</f>
        <v/>
      </c>
      <c r="N241" s="20" t="str">
        <f>IF('Step 5 - President'!B38="","",'Step 5 - President'!E38)</f>
        <v/>
      </c>
      <c r="O241" s="20" t="str">
        <f>IF('Step 5 - President'!B38="","",IF('Step 5 - President'!F38="","","Total"))</f>
        <v/>
      </c>
      <c r="P241" s="19" t="str">
        <f>IF('Step 5 - President'!B38="","",IF('Step 5 - President'!F38="","","&gt;="))</f>
        <v/>
      </c>
      <c r="Q241" s="20" t="str">
        <f>IF('Step 5 - President'!B38="","",IF('Step 5 - President'!F38="","",'Step 5 - President'!F38))</f>
        <v/>
      </c>
      <c r="R241" s="20" t="str">
        <f>""</f>
        <v/>
      </c>
      <c r="S241" s="20" t="str">
        <f>""</f>
        <v/>
      </c>
      <c r="T241" s="20" t="str">
        <f>""</f>
        <v/>
      </c>
      <c r="U241" s="20" t="str">
        <f>IF('Step 5 - President'!B38="","",'Step 5 - President'!I38)</f>
        <v/>
      </c>
      <c r="V241" s="19" t="str">
        <f>IF('Step 5 - President'!B38="","",'Step 5 - President'!K38)</f>
        <v/>
      </c>
      <c r="W241" s="20" t="str">
        <f>IF('Step 5 - President'!B38="","",'Step 5 - President'!L38)</f>
        <v/>
      </c>
      <c r="X241" s="19" t="str">
        <f>IF('Step 5 - President'!B38="","",'Step 5 - President'!N38)</f>
        <v/>
      </c>
      <c r="Y241" s="20" t="str">
        <f>""</f>
        <v/>
      </c>
      <c r="Z241" s="20" t="str">
        <f>""</f>
        <v/>
      </c>
      <c r="AA241" s="20" t="str">
        <f>""</f>
        <v/>
      </c>
      <c r="AB241" s="20" t="str">
        <f>""</f>
        <v/>
      </c>
      <c r="AC241" s="20" t="str">
        <f>""</f>
        <v/>
      </c>
      <c r="AD241" s="20" t="str">
        <f>""</f>
        <v/>
      </c>
      <c r="AE241" s="20" t="str">
        <f>""</f>
        <v/>
      </c>
      <c r="AF241" s="20" t="str">
        <f>""</f>
        <v/>
      </c>
      <c r="AG241" s="20" t="str">
        <f>""</f>
        <v/>
      </c>
      <c r="AH241" s="20" t="str">
        <f>""</f>
        <v/>
      </c>
      <c r="AI241" s="20" t="str">
        <f>""</f>
        <v/>
      </c>
      <c r="AJ241" s="20" t="str">
        <f>""</f>
        <v/>
      </c>
      <c r="AK241" s="20" t="str">
        <f>""</f>
        <v/>
      </c>
      <c r="AL241" s="20" t="str">
        <f>""</f>
        <v/>
      </c>
      <c r="AM241" s="20" t="str">
        <f>""</f>
        <v/>
      </c>
    </row>
    <row r="242" spans="1:39" ht="15.75" customHeight="1" x14ac:dyDescent="0.25">
      <c r="A242" s="17" t="str">
        <f>IF('Step 5 - President'!B39="","","Active")</f>
        <v/>
      </c>
      <c r="B242" s="18" t="str">
        <f>IF('Step 5 - President'!B39="","",'Step 5 - President'!B39)</f>
        <v/>
      </c>
      <c r="C242" s="18" t="str">
        <f>IF('Step 5 - President'!B39="","",'Step 5 - President'!B39)</f>
        <v/>
      </c>
      <c r="D242" s="17" t="str">
        <f>IF('Step 5 - President'!B39="","",'Step 5 - President'!G39)</f>
        <v/>
      </c>
      <c r="E242" s="17" t="str">
        <f>IF('Step 5 - President'!B39="","",'Step 5 - President'!H39)</f>
        <v/>
      </c>
      <c r="F242" s="18" t="str">
        <f>IF('Step 5 - President'!B39="","",IF('Step 5 - President'!C39="","","Fund Code"))</f>
        <v/>
      </c>
      <c r="G242" s="17" t="str">
        <f>IF('Step 5 - President'!B39="","",IF('Step 5 - President'!C39="","","Equals"))</f>
        <v/>
      </c>
      <c r="H242" s="18" t="str">
        <f>IF('Step 5 - President'!B39="","",IF('Step 5 - President'!C39="","",'Step 5 - President'!C39))</f>
        <v/>
      </c>
      <c r="I242" s="18" t="str">
        <f>IF('Step 5 - President'!B39="","","Organization Code")</f>
        <v/>
      </c>
      <c r="J242" s="17" t="str">
        <f>IF('Step 5 - President'!B39="","","Equals")</f>
        <v/>
      </c>
      <c r="K242" s="18" t="str">
        <f>IF('Step 5 - President'!B39="","",'Step 5 - President'!D39)</f>
        <v/>
      </c>
      <c r="L242" s="18" t="str">
        <f>IF('Step 5 - President'!B39="","","Other Criteria")</f>
        <v/>
      </c>
      <c r="M242" s="17" t="str">
        <f>IF('Step 5 - President'!B39="","","Equals")</f>
        <v/>
      </c>
      <c r="N242" s="18" t="str">
        <f>IF('Step 5 - President'!B39="","",'Step 5 - President'!E39)</f>
        <v/>
      </c>
      <c r="O242" s="18" t="str">
        <f>IF('Step 5 - President'!B39="","",IF('Step 5 - President'!F39="","","Total"))</f>
        <v/>
      </c>
      <c r="P242" s="17" t="str">
        <f>IF('Step 5 - President'!B39="","",IF('Step 5 - President'!F39="","","&gt;="))</f>
        <v/>
      </c>
      <c r="Q242" s="18" t="str">
        <f>IF('Step 5 - President'!B39="","",IF('Step 5 - President'!F39="","",'Step 5 - President'!F39))</f>
        <v/>
      </c>
      <c r="R242" s="18" t="str">
        <f>""</f>
        <v/>
      </c>
      <c r="S242" s="18" t="str">
        <f>""</f>
        <v/>
      </c>
      <c r="T242" s="18" t="str">
        <f>""</f>
        <v/>
      </c>
      <c r="U242" s="18" t="str">
        <f>IF('Step 5 - President'!B39="","",'Step 5 - President'!I39)</f>
        <v/>
      </c>
      <c r="V242" s="17" t="str">
        <f>IF('Step 5 - President'!B39="","",'Step 5 - President'!K39)</f>
        <v/>
      </c>
      <c r="W242" s="18" t="str">
        <f>IF('Step 5 - President'!B39="","",'Step 5 - President'!L39)</f>
        <v/>
      </c>
      <c r="X242" s="17" t="str">
        <f>IF('Step 5 - President'!B39="","",'Step 5 - President'!N39)</f>
        <v/>
      </c>
      <c r="Y242" s="18" t="str">
        <f>""</f>
        <v/>
      </c>
      <c r="Z242" s="18" t="str">
        <f>""</f>
        <v/>
      </c>
      <c r="AA242" s="18" t="str">
        <f>""</f>
        <v/>
      </c>
      <c r="AB242" s="18" t="str">
        <f>""</f>
        <v/>
      </c>
      <c r="AC242" s="18" t="str">
        <f>""</f>
        <v/>
      </c>
      <c r="AD242" s="18" t="str">
        <f>""</f>
        <v/>
      </c>
      <c r="AE242" s="18" t="str">
        <f>""</f>
        <v/>
      </c>
      <c r="AF242" s="18" t="str">
        <f>""</f>
        <v/>
      </c>
      <c r="AG242" s="18" t="str">
        <f>""</f>
        <v/>
      </c>
      <c r="AH242" s="18" t="str">
        <f>""</f>
        <v/>
      </c>
      <c r="AI242" s="18" t="str">
        <f>""</f>
        <v/>
      </c>
      <c r="AJ242" s="18" t="str">
        <f>""</f>
        <v/>
      </c>
      <c r="AK242" s="18" t="str">
        <f>""</f>
        <v/>
      </c>
      <c r="AL242" s="18" t="str">
        <f>""</f>
        <v/>
      </c>
      <c r="AM242" s="18" t="str">
        <f>""</f>
        <v/>
      </c>
    </row>
    <row r="243" spans="1:39" ht="15.75" customHeight="1" x14ac:dyDescent="0.25">
      <c r="A243" s="19" t="str">
        <f>IF('Step 5 - President'!B40="","","Active")</f>
        <v/>
      </c>
      <c r="B243" s="20" t="str">
        <f>IF('Step 5 - President'!B40="","",'Step 5 - President'!B40)</f>
        <v/>
      </c>
      <c r="C243" s="20" t="str">
        <f>IF('Step 5 - President'!B40="","",'Step 5 - President'!B40)</f>
        <v/>
      </c>
      <c r="D243" s="19" t="str">
        <f>IF('Step 5 - President'!B40="","",'Step 5 - President'!G40)</f>
        <v/>
      </c>
      <c r="E243" s="19" t="str">
        <f>IF('Step 5 - President'!B40="","",'Step 5 - President'!H40)</f>
        <v/>
      </c>
      <c r="F243" s="20" t="str">
        <f>IF('Step 5 - President'!B40="","",IF('Step 5 - President'!C40="","","Fund Code"))</f>
        <v/>
      </c>
      <c r="G243" s="19" t="str">
        <f>IF('Step 5 - President'!B40="","",IF('Step 5 - President'!C40="","","Equals"))</f>
        <v/>
      </c>
      <c r="H243" s="20" t="str">
        <f>IF('Step 5 - President'!B40="","",IF('Step 5 - President'!C40="","",'Step 5 - President'!C40))</f>
        <v/>
      </c>
      <c r="I243" s="20" t="str">
        <f>IF('Step 5 - President'!B40="","","Organization Code")</f>
        <v/>
      </c>
      <c r="J243" s="19" t="str">
        <f>IF('Step 5 - President'!B40="","","Equals")</f>
        <v/>
      </c>
      <c r="K243" s="20" t="str">
        <f>IF('Step 5 - President'!B40="","",'Step 5 - President'!D40)</f>
        <v/>
      </c>
      <c r="L243" s="20" t="str">
        <f>IF('Step 5 - President'!B40="","","Other Criteria")</f>
        <v/>
      </c>
      <c r="M243" s="19" t="str">
        <f>IF('Step 5 - President'!B40="","","Equals")</f>
        <v/>
      </c>
      <c r="N243" s="20" t="str">
        <f>IF('Step 5 - President'!B40="","",'Step 5 - President'!E40)</f>
        <v/>
      </c>
      <c r="O243" s="20" t="str">
        <f>IF('Step 5 - President'!B40="","",IF('Step 5 - President'!F40="","","Total"))</f>
        <v/>
      </c>
      <c r="P243" s="19" t="str">
        <f>IF('Step 5 - President'!B40="","",IF('Step 5 - President'!F40="","","&gt;="))</f>
        <v/>
      </c>
      <c r="Q243" s="20" t="str">
        <f>IF('Step 5 - President'!B40="","",IF('Step 5 - President'!F40="","",'Step 5 - President'!F40))</f>
        <v/>
      </c>
      <c r="R243" s="20" t="str">
        <f>""</f>
        <v/>
      </c>
      <c r="S243" s="20" t="str">
        <f>""</f>
        <v/>
      </c>
      <c r="T243" s="20" t="str">
        <f>""</f>
        <v/>
      </c>
      <c r="U243" s="20" t="str">
        <f>IF('Step 5 - President'!B40="","",'Step 5 - President'!I40)</f>
        <v/>
      </c>
      <c r="V243" s="19" t="str">
        <f>IF('Step 5 - President'!B40="","",'Step 5 - President'!K40)</f>
        <v/>
      </c>
      <c r="W243" s="20" t="str">
        <f>IF('Step 5 - President'!B40="","",'Step 5 - President'!L40)</f>
        <v/>
      </c>
      <c r="X243" s="19" t="str">
        <f>IF('Step 5 - President'!B40="","",'Step 5 - President'!N40)</f>
        <v/>
      </c>
      <c r="Y243" s="20" t="str">
        <f>""</f>
        <v/>
      </c>
      <c r="Z243" s="20" t="str">
        <f>""</f>
        <v/>
      </c>
      <c r="AA243" s="20" t="str">
        <f>""</f>
        <v/>
      </c>
      <c r="AB243" s="20" t="str">
        <f>""</f>
        <v/>
      </c>
      <c r="AC243" s="20" t="str">
        <f>""</f>
        <v/>
      </c>
      <c r="AD243" s="20" t="str">
        <f>""</f>
        <v/>
      </c>
      <c r="AE243" s="20" t="str">
        <f>""</f>
        <v/>
      </c>
      <c r="AF243" s="20" t="str">
        <f>""</f>
        <v/>
      </c>
      <c r="AG243" s="20" t="str">
        <f>""</f>
        <v/>
      </c>
      <c r="AH243" s="20" t="str">
        <f>""</f>
        <v/>
      </c>
      <c r="AI243" s="20" t="str">
        <f>""</f>
        <v/>
      </c>
      <c r="AJ243" s="20" t="str">
        <f>""</f>
        <v/>
      </c>
      <c r="AK243" s="20" t="str">
        <f>""</f>
        <v/>
      </c>
      <c r="AL243" s="20" t="str">
        <f>""</f>
        <v/>
      </c>
      <c r="AM243" s="20" t="str">
        <f>""</f>
        <v/>
      </c>
    </row>
    <row r="244" spans="1:39" ht="15.75" customHeight="1" x14ac:dyDescent="0.25">
      <c r="A244" s="17" t="str">
        <f>IF('Step 5 - President'!B41="","","Active")</f>
        <v/>
      </c>
      <c r="B244" s="18" t="str">
        <f>IF('Step 5 - President'!B41="","",'Step 5 - President'!B41)</f>
        <v/>
      </c>
      <c r="C244" s="18" t="str">
        <f>IF('Step 5 - President'!B41="","",'Step 5 - President'!B41)</f>
        <v/>
      </c>
      <c r="D244" s="17" t="str">
        <f>IF('Step 5 - President'!B41="","",'Step 5 - President'!G41)</f>
        <v/>
      </c>
      <c r="E244" s="17" t="str">
        <f>IF('Step 5 - President'!B41="","",'Step 5 - President'!H41)</f>
        <v/>
      </c>
      <c r="F244" s="18" t="str">
        <f>IF('Step 5 - President'!B41="","",IF('Step 5 - President'!C41="","","Fund Code"))</f>
        <v/>
      </c>
      <c r="G244" s="17" t="str">
        <f>IF('Step 5 - President'!B41="","",IF('Step 5 - President'!C41="","","Equals"))</f>
        <v/>
      </c>
      <c r="H244" s="18" t="str">
        <f>IF('Step 5 - President'!B41="","",IF('Step 5 - President'!C41="","",'Step 5 - President'!C41))</f>
        <v/>
      </c>
      <c r="I244" s="18" t="str">
        <f>IF('Step 5 - President'!B41="","","Organization Code")</f>
        <v/>
      </c>
      <c r="J244" s="17" t="str">
        <f>IF('Step 5 - President'!B41="","","Equals")</f>
        <v/>
      </c>
      <c r="K244" s="18" t="str">
        <f>IF('Step 5 - President'!B41="","",'Step 5 - President'!D41)</f>
        <v/>
      </c>
      <c r="L244" s="18" t="str">
        <f>IF('Step 5 - President'!B41="","","Other Criteria")</f>
        <v/>
      </c>
      <c r="M244" s="17" t="str">
        <f>IF('Step 5 - President'!B41="","","Equals")</f>
        <v/>
      </c>
      <c r="N244" s="18" t="str">
        <f>IF('Step 5 - President'!B41="","",'Step 5 - President'!E41)</f>
        <v/>
      </c>
      <c r="O244" s="18" t="str">
        <f>IF('Step 5 - President'!B41="","",IF('Step 5 - President'!F41="","","Total"))</f>
        <v/>
      </c>
      <c r="P244" s="17" t="str">
        <f>IF('Step 5 - President'!B41="","",IF('Step 5 - President'!F41="","","&gt;="))</f>
        <v/>
      </c>
      <c r="Q244" s="18" t="str">
        <f>IF('Step 5 - President'!B41="","",IF('Step 5 - President'!F41="","",'Step 5 - President'!F41))</f>
        <v/>
      </c>
      <c r="R244" s="18" t="str">
        <f>""</f>
        <v/>
      </c>
      <c r="S244" s="18" t="str">
        <f>""</f>
        <v/>
      </c>
      <c r="T244" s="18" t="str">
        <f>""</f>
        <v/>
      </c>
      <c r="U244" s="18" t="str">
        <f>IF('Step 5 - President'!B41="","",'Step 5 - President'!I41)</f>
        <v/>
      </c>
      <c r="V244" s="17" t="str">
        <f>IF('Step 5 - President'!B41="","",'Step 5 - President'!K41)</f>
        <v/>
      </c>
      <c r="W244" s="18" t="str">
        <f>IF('Step 5 - President'!B41="","",'Step 5 - President'!L41)</f>
        <v/>
      </c>
      <c r="X244" s="17" t="str">
        <f>IF('Step 5 - President'!B41="","",'Step 5 - President'!N41)</f>
        <v/>
      </c>
      <c r="Y244" s="18" t="str">
        <f>""</f>
        <v/>
      </c>
      <c r="Z244" s="18" t="str">
        <f>""</f>
        <v/>
      </c>
      <c r="AA244" s="18" t="str">
        <f>""</f>
        <v/>
      </c>
      <c r="AB244" s="18" t="str">
        <f>""</f>
        <v/>
      </c>
      <c r="AC244" s="18" t="str">
        <f>""</f>
        <v/>
      </c>
      <c r="AD244" s="18" t="str">
        <f>""</f>
        <v/>
      </c>
      <c r="AE244" s="18" t="str">
        <f>""</f>
        <v/>
      </c>
      <c r="AF244" s="18" t="str">
        <f>""</f>
        <v/>
      </c>
      <c r="AG244" s="18" t="str">
        <f>""</f>
        <v/>
      </c>
      <c r="AH244" s="18" t="str">
        <f>""</f>
        <v/>
      </c>
      <c r="AI244" s="18" t="str">
        <f>""</f>
        <v/>
      </c>
      <c r="AJ244" s="18" t="str">
        <f>""</f>
        <v/>
      </c>
      <c r="AK244" s="18" t="str">
        <f>""</f>
        <v/>
      </c>
      <c r="AL244" s="18" t="str">
        <f>""</f>
        <v/>
      </c>
      <c r="AM244" s="18" t="str">
        <f>""</f>
        <v/>
      </c>
    </row>
    <row r="245" spans="1:39" ht="15.75" customHeight="1" x14ac:dyDescent="0.25">
      <c r="A245" s="19" t="str">
        <f>IF('Step 5 - President'!B42="","","Active")</f>
        <v/>
      </c>
      <c r="B245" s="20" t="str">
        <f>IF('Step 5 - President'!B42="","",'Step 5 - President'!B42)</f>
        <v/>
      </c>
      <c r="C245" s="20" t="str">
        <f>IF('Step 5 - President'!B42="","",'Step 5 - President'!B42)</f>
        <v/>
      </c>
      <c r="D245" s="19" t="str">
        <f>IF('Step 5 - President'!B42="","",'Step 5 - President'!G42)</f>
        <v/>
      </c>
      <c r="E245" s="19" t="str">
        <f>IF('Step 5 - President'!B42="","",'Step 5 - President'!H42)</f>
        <v/>
      </c>
      <c r="F245" s="20" t="str">
        <f>IF('Step 5 - President'!B42="","",IF('Step 5 - President'!C42="","","Fund Code"))</f>
        <v/>
      </c>
      <c r="G245" s="19" t="str">
        <f>IF('Step 5 - President'!B42="","",IF('Step 5 - President'!C42="","","Equals"))</f>
        <v/>
      </c>
      <c r="H245" s="20" t="str">
        <f>IF('Step 5 - President'!B42="","",IF('Step 5 - President'!C42="","",'Step 5 - President'!C42))</f>
        <v/>
      </c>
      <c r="I245" s="20" t="str">
        <f>IF('Step 5 - President'!B42="","","Organization Code")</f>
        <v/>
      </c>
      <c r="J245" s="19" t="str">
        <f>IF('Step 5 - President'!B42="","","Equals")</f>
        <v/>
      </c>
      <c r="K245" s="20" t="str">
        <f>IF('Step 5 - President'!B42="","",'Step 5 - President'!D42)</f>
        <v/>
      </c>
      <c r="L245" s="20" t="str">
        <f>IF('Step 5 - President'!B42="","","Other Criteria")</f>
        <v/>
      </c>
      <c r="M245" s="19" t="str">
        <f>IF('Step 5 - President'!B42="","","Equals")</f>
        <v/>
      </c>
      <c r="N245" s="20" t="str">
        <f>IF('Step 5 - President'!B42="","",'Step 5 - President'!E42)</f>
        <v/>
      </c>
      <c r="O245" s="20" t="str">
        <f>IF('Step 5 - President'!B42="","",IF('Step 5 - President'!F42="","","Total"))</f>
        <v/>
      </c>
      <c r="P245" s="19" t="str">
        <f>IF('Step 5 - President'!B42="","",IF('Step 5 - President'!F42="","","&gt;="))</f>
        <v/>
      </c>
      <c r="Q245" s="20" t="str">
        <f>IF('Step 5 - President'!B42="","",IF('Step 5 - President'!F42="","",'Step 5 - President'!F42))</f>
        <v/>
      </c>
      <c r="R245" s="20" t="str">
        <f>""</f>
        <v/>
      </c>
      <c r="S245" s="20" t="str">
        <f>""</f>
        <v/>
      </c>
      <c r="T245" s="20" t="str">
        <f>""</f>
        <v/>
      </c>
      <c r="U245" s="20" t="str">
        <f>IF('Step 5 - President'!B42="","",'Step 5 - President'!I42)</f>
        <v/>
      </c>
      <c r="V245" s="19" t="str">
        <f>IF('Step 5 - President'!B42="","",'Step 5 - President'!K42)</f>
        <v/>
      </c>
      <c r="W245" s="20" t="str">
        <f>IF('Step 5 - President'!B42="","",'Step 5 - President'!L42)</f>
        <v/>
      </c>
      <c r="X245" s="19" t="str">
        <f>IF('Step 5 - President'!B42="","",'Step 5 - President'!N42)</f>
        <v/>
      </c>
      <c r="Y245" s="20" t="str">
        <f>""</f>
        <v/>
      </c>
      <c r="Z245" s="20" t="str">
        <f>""</f>
        <v/>
      </c>
      <c r="AA245" s="20" t="str">
        <f>""</f>
        <v/>
      </c>
      <c r="AB245" s="20" t="str">
        <f>""</f>
        <v/>
      </c>
      <c r="AC245" s="20" t="str">
        <f>""</f>
        <v/>
      </c>
      <c r="AD245" s="20" t="str">
        <f>""</f>
        <v/>
      </c>
      <c r="AE245" s="20" t="str">
        <f>""</f>
        <v/>
      </c>
      <c r="AF245" s="20" t="str">
        <f>""</f>
        <v/>
      </c>
      <c r="AG245" s="20" t="str">
        <f>""</f>
        <v/>
      </c>
      <c r="AH245" s="20" t="str">
        <f>""</f>
        <v/>
      </c>
      <c r="AI245" s="20" t="str">
        <f>""</f>
        <v/>
      </c>
      <c r="AJ245" s="20" t="str">
        <f>""</f>
        <v/>
      </c>
      <c r="AK245" s="20" t="str">
        <f>""</f>
        <v/>
      </c>
      <c r="AL245" s="20" t="str">
        <f>""</f>
        <v/>
      </c>
      <c r="AM245" s="20" t="str">
        <f>""</f>
        <v/>
      </c>
    </row>
    <row r="246" spans="1:39" ht="15.75" customHeight="1" x14ac:dyDescent="0.25">
      <c r="A246" s="17" t="str">
        <f>IF('Step 5 - President'!B43="","","Active")</f>
        <v/>
      </c>
      <c r="B246" s="18" t="str">
        <f>IF('Step 5 - President'!B43="","",'Step 5 - President'!B43)</f>
        <v/>
      </c>
      <c r="C246" s="18" t="str">
        <f>IF('Step 5 - President'!B43="","",'Step 5 - President'!B43)</f>
        <v/>
      </c>
      <c r="D246" s="17" t="str">
        <f>IF('Step 5 - President'!B43="","",'Step 5 - President'!G43)</f>
        <v/>
      </c>
      <c r="E246" s="17" t="str">
        <f>IF('Step 5 - President'!B43="","",'Step 5 - President'!H43)</f>
        <v/>
      </c>
      <c r="F246" s="18" t="str">
        <f>IF('Step 5 - President'!B43="","",IF('Step 5 - President'!C43="","","Fund Code"))</f>
        <v/>
      </c>
      <c r="G246" s="17" t="str">
        <f>IF('Step 5 - President'!B43="","",IF('Step 5 - President'!C43="","","Equals"))</f>
        <v/>
      </c>
      <c r="H246" s="18" t="str">
        <f>IF('Step 5 - President'!B43="","",IF('Step 5 - President'!C43="","",'Step 5 - President'!C43))</f>
        <v/>
      </c>
      <c r="I246" s="18" t="str">
        <f>IF('Step 5 - President'!B43="","","Organization Code")</f>
        <v/>
      </c>
      <c r="J246" s="17" t="str">
        <f>IF('Step 5 - President'!B43="","","Equals")</f>
        <v/>
      </c>
      <c r="K246" s="18" t="str">
        <f>IF('Step 5 - President'!B43="","",'Step 5 - President'!D43)</f>
        <v/>
      </c>
      <c r="L246" s="18" t="str">
        <f>IF('Step 5 - President'!B43="","","Other Criteria")</f>
        <v/>
      </c>
      <c r="M246" s="17" t="str">
        <f>IF('Step 5 - President'!B43="","","Equals")</f>
        <v/>
      </c>
      <c r="N246" s="18" t="str">
        <f>IF('Step 5 - President'!B43="","",'Step 5 - President'!E43)</f>
        <v/>
      </c>
      <c r="O246" s="18" t="str">
        <f>IF('Step 5 - President'!B43="","",IF('Step 5 - President'!F43="","","Total"))</f>
        <v/>
      </c>
      <c r="P246" s="17" t="str">
        <f>IF('Step 5 - President'!B43="","",IF('Step 5 - President'!F43="","","&gt;="))</f>
        <v/>
      </c>
      <c r="Q246" s="18" t="str">
        <f>IF('Step 5 - President'!B43="","",IF('Step 5 - President'!F43="","",'Step 5 - President'!F43))</f>
        <v/>
      </c>
      <c r="R246" s="18" t="str">
        <f>""</f>
        <v/>
      </c>
      <c r="S246" s="18" t="str">
        <f>""</f>
        <v/>
      </c>
      <c r="T246" s="18" t="str">
        <f>""</f>
        <v/>
      </c>
      <c r="U246" s="18" t="str">
        <f>IF('Step 5 - President'!B43="","",'Step 5 - President'!I43)</f>
        <v/>
      </c>
      <c r="V246" s="17" t="str">
        <f>IF('Step 5 - President'!B43="","",'Step 5 - President'!K43)</f>
        <v/>
      </c>
      <c r="W246" s="18" t="str">
        <f>IF('Step 5 - President'!B43="","",'Step 5 - President'!L43)</f>
        <v/>
      </c>
      <c r="X246" s="17" t="str">
        <f>IF('Step 5 - President'!B43="","",'Step 5 - President'!N43)</f>
        <v/>
      </c>
      <c r="Y246" s="18" t="str">
        <f>""</f>
        <v/>
      </c>
      <c r="Z246" s="18" t="str">
        <f>""</f>
        <v/>
      </c>
      <c r="AA246" s="18" t="str">
        <f>""</f>
        <v/>
      </c>
      <c r="AB246" s="18" t="str">
        <f>""</f>
        <v/>
      </c>
      <c r="AC246" s="18" t="str">
        <f>""</f>
        <v/>
      </c>
      <c r="AD246" s="18" t="str">
        <f>""</f>
        <v/>
      </c>
      <c r="AE246" s="18" t="str">
        <f>""</f>
        <v/>
      </c>
      <c r="AF246" s="18" t="str">
        <f>""</f>
        <v/>
      </c>
      <c r="AG246" s="18" t="str">
        <f>""</f>
        <v/>
      </c>
      <c r="AH246" s="18" t="str">
        <f>""</f>
        <v/>
      </c>
      <c r="AI246" s="18" t="str">
        <f>""</f>
        <v/>
      </c>
      <c r="AJ246" s="18" t="str">
        <f>""</f>
        <v/>
      </c>
      <c r="AK246" s="18" t="str">
        <f>""</f>
        <v/>
      </c>
      <c r="AL246" s="18" t="str">
        <f>""</f>
        <v/>
      </c>
      <c r="AM246" s="18" t="str">
        <f>""</f>
        <v/>
      </c>
    </row>
    <row r="247" spans="1:39" ht="15.75" customHeight="1" x14ac:dyDescent="0.25">
      <c r="A247" s="19" t="str">
        <f>IF('Step 5 - President'!B44="","","Active")</f>
        <v/>
      </c>
      <c r="B247" s="20" t="str">
        <f>IF('Step 5 - President'!B44="","",'Step 5 - President'!B44)</f>
        <v/>
      </c>
      <c r="C247" s="20" t="str">
        <f>IF('Step 5 - President'!B44="","",'Step 5 - President'!B44)</f>
        <v/>
      </c>
      <c r="D247" s="19" t="str">
        <f>IF('Step 5 - President'!B44="","",'Step 5 - President'!G44)</f>
        <v/>
      </c>
      <c r="E247" s="19" t="str">
        <f>IF('Step 5 - President'!B44="","",'Step 5 - President'!H44)</f>
        <v/>
      </c>
      <c r="F247" s="20" t="str">
        <f>IF('Step 5 - President'!B44="","",IF('Step 5 - President'!C44="","","Fund Code"))</f>
        <v/>
      </c>
      <c r="G247" s="19" t="str">
        <f>IF('Step 5 - President'!B44="","",IF('Step 5 - President'!C44="","","Equals"))</f>
        <v/>
      </c>
      <c r="H247" s="20" t="str">
        <f>IF('Step 5 - President'!B44="","",IF('Step 5 - President'!C44="","",'Step 5 - President'!C44))</f>
        <v/>
      </c>
      <c r="I247" s="20" t="str">
        <f>IF('Step 5 - President'!B44="","","Organization Code")</f>
        <v/>
      </c>
      <c r="J247" s="19" t="str">
        <f>IF('Step 5 - President'!B44="","","Equals")</f>
        <v/>
      </c>
      <c r="K247" s="20" t="str">
        <f>IF('Step 5 - President'!B44="","",'Step 5 - President'!D44)</f>
        <v/>
      </c>
      <c r="L247" s="20" t="str">
        <f>IF('Step 5 - President'!B44="","","Other Criteria")</f>
        <v/>
      </c>
      <c r="M247" s="19" t="str">
        <f>IF('Step 5 - President'!B44="","","Equals")</f>
        <v/>
      </c>
      <c r="N247" s="20" t="str">
        <f>IF('Step 5 - President'!B44="","",'Step 5 - President'!E44)</f>
        <v/>
      </c>
      <c r="O247" s="20" t="str">
        <f>IF('Step 5 - President'!B44="","",IF('Step 5 - President'!F44="","","Total"))</f>
        <v/>
      </c>
      <c r="P247" s="19" t="str">
        <f>IF('Step 5 - President'!B44="","",IF('Step 5 - President'!F44="","","&gt;="))</f>
        <v/>
      </c>
      <c r="Q247" s="20" t="str">
        <f>IF('Step 5 - President'!B44="","",IF('Step 5 - President'!F44="","",'Step 5 - President'!F44))</f>
        <v/>
      </c>
      <c r="R247" s="20" t="str">
        <f>""</f>
        <v/>
      </c>
      <c r="S247" s="20" t="str">
        <f>""</f>
        <v/>
      </c>
      <c r="T247" s="20" t="str">
        <f>""</f>
        <v/>
      </c>
      <c r="U247" s="20" t="str">
        <f>IF('Step 5 - President'!B44="","",'Step 5 - President'!I44)</f>
        <v/>
      </c>
      <c r="V247" s="19" t="str">
        <f>IF('Step 5 - President'!B44="","",'Step 5 - President'!K44)</f>
        <v/>
      </c>
      <c r="W247" s="20" t="str">
        <f>IF('Step 5 - President'!B44="","",'Step 5 - President'!L44)</f>
        <v/>
      </c>
      <c r="X247" s="19" t="str">
        <f>IF('Step 5 - President'!B44="","",'Step 5 - President'!N44)</f>
        <v/>
      </c>
      <c r="Y247" s="20" t="str">
        <f>""</f>
        <v/>
      </c>
      <c r="Z247" s="20" t="str">
        <f>""</f>
        <v/>
      </c>
      <c r="AA247" s="20" t="str">
        <f>""</f>
        <v/>
      </c>
      <c r="AB247" s="20" t="str">
        <f>""</f>
        <v/>
      </c>
      <c r="AC247" s="20" t="str">
        <f>""</f>
        <v/>
      </c>
      <c r="AD247" s="20" t="str">
        <f>""</f>
        <v/>
      </c>
      <c r="AE247" s="20" t="str">
        <f>""</f>
        <v/>
      </c>
      <c r="AF247" s="20" t="str">
        <f>""</f>
        <v/>
      </c>
      <c r="AG247" s="20" t="str">
        <f>""</f>
        <v/>
      </c>
      <c r="AH247" s="20" t="str">
        <f>""</f>
        <v/>
      </c>
      <c r="AI247" s="20" t="str">
        <f>""</f>
        <v/>
      </c>
      <c r="AJ247" s="20" t="str">
        <f>""</f>
        <v/>
      </c>
      <c r="AK247" s="20" t="str">
        <f>""</f>
        <v/>
      </c>
      <c r="AL247" s="20" t="str">
        <f>""</f>
        <v/>
      </c>
      <c r="AM247" s="20" t="str">
        <f>""</f>
        <v/>
      </c>
    </row>
    <row r="248" spans="1:39" ht="15.75" customHeight="1" x14ac:dyDescent="0.25">
      <c r="A248" s="17" t="str">
        <f>IF('Step 5 - President'!B45="","","Active")</f>
        <v/>
      </c>
      <c r="B248" s="18" t="str">
        <f>IF('Step 5 - President'!B45="","",'Step 5 - President'!B45)</f>
        <v/>
      </c>
      <c r="C248" s="18" t="str">
        <f>IF('Step 5 - President'!B45="","",'Step 5 - President'!B45)</f>
        <v/>
      </c>
      <c r="D248" s="17" t="str">
        <f>IF('Step 5 - President'!B45="","",'Step 5 - President'!G45)</f>
        <v/>
      </c>
      <c r="E248" s="17" t="str">
        <f>IF('Step 5 - President'!B45="","",'Step 5 - President'!H45)</f>
        <v/>
      </c>
      <c r="F248" s="18" t="str">
        <f>IF('Step 5 - President'!B45="","",IF('Step 5 - President'!C45="","","Fund Code"))</f>
        <v/>
      </c>
      <c r="G248" s="17" t="str">
        <f>IF('Step 5 - President'!B45="","",IF('Step 5 - President'!C45="","","Equals"))</f>
        <v/>
      </c>
      <c r="H248" s="18" t="str">
        <f>IF('Step 5 - President'!B45="","",IF('Step 5 - President'!C45="","",'Step 5 - President'!C45))</f>
        <v/>
      </c>
      <c r="I248" s="18" t="str">
        <f>IF('Step 5 - President'!B45="","","Organization Code")</f>
        <v/>
      </c>
      <c r="J248" s="17" t="str">
        <f>IF('Step 5 - President'!B45="","","Equals")</f>
        <v/>
      </c>
      <c r="K248" s="18" t="str">
        <f>IF('Step 5 - President'!B45="","",'Step 5 - President'!D45)</f>
        <v/>
      </c>
      <c r="L248" s="18" t="str">
        <f>IF('Step 5 - President'!B45="","","Other Criteria")</f>
        <v/>
      </c>
      <c r="M248" s="17" t="str">
        <f>IF('Step 5 - President'!B45="","","Equals")</f>
        <v/>
      </c>
      <c r="N248" s="18" t="str">
        <f>IF('Step 5 - President'!B45="","",'Step 5 - President'!E45)</f>
        <v/>
      </c>
      <c r="O248" s="18" t="str">
        <f>IF('Step 5 - President'!B45="","",IF('Step 5 - President'!F45="","","Total"))</f>
        <v/>
      </c>
      <c r="P248" s="17" t="str">
        <f>IF('Step 5 - President'!B45="","",IF('Step 5 - President'!F45="","","&gt;="))</f>
        <v/>
      </c>
      <c r="Q248" s="18" t="str">
        <f>IF('Step 5 - President'!B45="","",IF('Step 5 - President'!F45="","",'Step 5 - President'!F45))</f>
        <v/>
      </c>
      <c r="R248" s="18" t="str">
        <f>""</f>
        <v/>
      </c>
      <c r="S248" s="18" t="str">
        <f>""</f>
        <v/>
      </c>
      <c r="T248" s="18" t="str">
        <f>""</f>
        <v/>
      </c>
      <c r="U248" s="18" t="str">
        <f>IF('Step 5 - President'!B45="","",'Step 5 - President'!I45)</f>
        <v/>
      </c>
      <c r="V248" s="17" t="str">
        <f>IF('Step 5 - President'!B45="","",'Step 5 - President'!K45)</f>
        <v/>
      </c>
      <c r="W248" s="18" t="str">
        <f>IF('Step 5 - President'!B45="","",'Step 5 - President'!L45)</f>
        <v/>
      </c>
      <c r="X248" s="17" t="str">
        <f>IF('Step 5 - President'!B45="","",'Step 5 - President'!N45)</f>
        <v/>
      </c>
      <c r="Y248" s="18" t="str">
        <f>""</f>
        <v/>
      </c>
      <c r="Z248" s="18" t="str">
        <f>""</f>
        <v/>
      </c>
      <c r="AA248" s="18" t="str">
        <f>""</f>
        <v/>
      </c>
      <c r="AB248" s="18" t="str">
        <f>""</f>
        <v/>
      </c>
      <c r="AC248" s="18" t="str">
        <f>""</f>
        <v/>
      </c>
      <c r="AD248" s="18" t="str">
        <f>""</f>
        <v/>
      </c>
      <c r="AE248" s="18" t="str">
        <f>""</f>
        <v/>
      </c>
      <c r="AF248" s="18" t="str">
        <f>""</f>
        <v/>
      </c>
      <c r="AG248" s="18" t="str">
        <f>""</f>
        <v/>
      </c>
      <c r="AH248" s="18" t="str">
        <f>""</f>
        <v/>
      </c>
      <c r="AI248" s="18" t="str">
        <f>""</f>
        <v/>
      </c>
      <c r="AJ248" s="18" t="str">
        <f>""</f>
        <v/>
      </c>
      <c r="AK248" s="18" t="str">
        <f>""</f>
        <v/>
      </c>
      <c r="AL248" s="18" t="str">
        <f>""</f>
        <v/>
      </c>
      <c r="AM248" s="18" t="str">
        <f>""</f>
        <v/>
      </c>
    </row>
    <row r="249" spans="1:39" ht="15.75" customHeight="1" x14ac:dyDescent="0.25">
      <c r="A249" s="19" t="str">
        <f>IF('Step 5 - President'!B46="","","Active")</f>
        <v/>
      </c>
      <c r="B249" s="20" t="str">
        <f>IF('Step 5 - President'!B46="","",'Step 5 - President'!B46)</f>
        <v/>
      </c>
      <c r="C249" s="20" t="str">
        <f>IF('Step 5 - President'!B46="","",'Step 5 - President'!B46)</f>
        <v/>
      </c>
      <c r="D249" s="19" t="str">
        <f>IF('Step 5 - President'!B46="","",'Step 5 - President'!G46)</f>
        <v/>
      </c>
      <c r="E249" s="19" t="str">
        <f>IF('Step 5 - President'!B46="","",'Step 5 - President'!H46)</f>
        <v/>
      </c>
      <c r="F249" s="20" t="str">
        <f>IF('Step 5 - President'!B46="","",IF('Step 5 - President'!C46="","","Fund Code"))</f>
        <v/>
      </c>
      <c r="G249" s="19" t="str">
        <f>IF('Step 5 - President'!B46="","",IF('Step 5 - President'!C46="","","Equals"))</f>
        <v/>
      </c>
      <c r="H249" s="20" t="str">
        <f>IF('Step 5 - President'!B46="","",IF('Step 5 - President'!C46="","",'Step 5 - President'!C46))</f>
        <v/>
      </c>
      <c r="I249" s="20" t="str">
        <f>IF('Step 5 - President'!B46="","","Organization Code")</f>
        <v/>
      </c>
      <c r="J249" s="19" t="str">
        <f>IF('Step 5 - President'!B46="","","Equals")</f>
        <v/>
      </c>
      <c r="K249" s="20" t="str">
        <f>IF('Step 5 - President'!B46="","",'Step 5 - President'!D46)</f>
        <v/>
      </c>
      <c r="L249" s="20" t="str">
        <f>IF('Step 5 - President'!B46="","","Other Criteria")</f>
        <v/>
      </c>
      <c r="M249" s="19" t="str">
        <f>IF('Step 5 - President'!B46="","","Equals")</f>
        <v/>
      </c>
      <c r="N249" s="20" t="str">
        <f>IF('Step 5 - President'!B46="","",'Step 5 - President'!E46)</f>
        <v/>
      </c>
      <c r="O249" s="20" t="str">
        <f>IF('Step 5 - President'!B46="","",IF('Step 5 - President'!F46="","","Total"))</f>
        <v/>
      </c>
      <c r="P249" s="19" t="str">
        <f>IF('Step 5 - President'!B46="","",IF('Step 5 - President'!F46="","","&gt;="))</f>
        <v/>
      </c>
      <c r="Q249" s="20" t="str">
        <f>IF('Step 5 - President'!B46="","",IF('Step 5 - President'!F46="","",'Step 5 - President'!F46))</f>
        <v/>
      </c>
      <c r="R249" s="20" t="str">
        <f>""</f>
        <v/>
      </c>
      <c r="S249" s="20" t="str">
        <f>""</f>
        <v/>
      </c>
      <c r="T249" s="20" t="str">
        <f>""</f>
        <v/>
      </c>
      <c r="U249" s="20" t="str">
        <f>IF('Step 5 - President'!B46="","",'Step 5 - President'!I46)</f>
        <v/>
      </c>
      <c r="V249" s="19" t="str">
        <f>IF('Step 5 - President'!B46="","",'Step 5 - President'!K46)</f>
        <v/>
      </c>
      <c r="W249" s="20" t="str">
        <f>IF('Step 5 - President'!B46="","",'Step 5 - President'!L46)</f>
        <v/>
      </c>
      <c r="X249" s="19" t="str">
        <f>IF('Step 5 - President'!B46="","",'Step 5 - President'!N46)</f>
        <v/>
      </c>
      <c r="Y249" s="20" t="str">
        <f>""</f>
        <v/>
      </c>
      <c r="Z249" s="20" t="str">
        <f>""</f>
        <v/>
      </c>
      <c r="AA249" s="20" t="str">
        <f>""</f>
        <v/>
      </c>
      <c r="AB249" s="20" t="str">
        <f>""</f>
        <v/>
      </c>
      <c r="AC249" s="20" t="str">
        <f>""</f>
        <v/>
      </c>
      <c r="AD249" s="20" t="str">
        <f>""</f>
        <v/>
      </c>
      <c r="AE249" s="20" t="str">
        <f>""</f>
        <v/>
      </c>
      <c r="AF249" s="20" t="str">
        <f>""</f>
        <v/>
      </c>
      <c r="AG249" s="20" t="str">
        <f>""</f>
        <v/>
      </c>
      <c r="AH249" s="20" t="str">
        <f>""</f>
        <v/>
      </c>
      <c r="AI249" s="20" t="str">
        <f>""</f>
        <v/>
      </c>
      <c r="AJ249" s="20" t="str">
        <f>""</f>
        <v/>
      </c>
      <c r="AK249" s="20" t="str">
        <f>""</f>
        <v/>
      </c>
      <c r="AL249" s="20" t="str">
        <f>""</f>
        <v/>
      </c>
      <c r="AM249" s="20" t="str">
        <f>""</f>
        <v/>
      </c>
    </row>
    <row r="250" spans="1:39" ht="15.75" customHeight="1" x14ac:dyDescent="0.25">
      <c r="A250" s="17" t="str">
        <f>IF('Step 5 - President'!B47="","","Active")</f>
        <v/>
      </c>
      <c r="B250" s="18" t="str">
        <f>IF('Step 5 - President'!B47="","",'Step 5 - President'!B47)</f>
        <v/>
      </c>
      <c r="C250" s="18" t="str">
        <f>IF('Step 5 - President'!B47="","",'Step 5 - President'!B47)</f>
        <v/>
      </c>
      <c r="D250" s="17" t="str">
        <f>IF('Step 5 - President'!B47="","",'Step 5 - President'!G47)</f>
        <v/>
      </c>
      <c r="E250" s="17" t="str">
        <f>IF('Step 5 - President'!B47="","",'Step 5 - President'!H47)</f>
        <v/>
      </c>
      <c r="F250" s="18" t="str">
        <f>IF('Step 5 - President'!B47="","",IF('Step 5 - President'!C47="","","Fund Code"))</f>
        <v/>
      </c>
      <c r="G250" s="17" t="str">
        <f>IF('Step 5 - President'!B47="","",IF('Step 5 - President'!C47="","","Equals"))</f>
        <v/>
      </c>
      <c r="H250" s="18" t="str">
        <f>IF('Step 5 - President'!B47="","",IF('Step 5 - President'!C47="","",'Step 5 - President'!C47))</f>
        <v/>
      </c>
      <c r="I250" s="18" t="str">
        <f>IF('Step 5 - President'!B47="","","Organization Code")</f>
        <v/>
      </c>
      <c r="J250" s="17" t="str">
        <f>IF('Step 5 - President'!B47="","","Equals")</f>
        <v/>
      </c>
      <c r="K250" s="18" t="str">
        <f>IF('Step 5 - President'!B47="","",'Step 5 - President'!D47)</f>
        <v/>
      </c>
      <c r="L250" s="18" t="str">
        <f>IF('Step 5 - President'!B47="","","Other Criteria")</f>
        <v/>
      </c>
      <c r="M250" s="17" t="str">
        <f>IF('Step 5 - President'!B47="","","Equals")</f>
        <v/>
      </c>
      <c r="N250" s="18" t="str">
        <f>IF('Step 5 - President'!B47="","",'Step 5 - President'!E47)</f>
        <v/>
      </c>
      <c r="O250" s="18" t="str">
        <f>IF('Step 5 - President'!B47="","",IF('Step 5 - President'!F47="","","Total"))</f>
        <v/>
      </c>
      <c r="P250" s="17" t="str">
        <f>IF('Step 5 - President'!B47="","",IF('Step 5 - President'!F47="","","&gt;="))</f>
        <v/>
      </c>
      <c r="Q250" s="18" t="str">
        <f>IF('Step 5 - President'!B47="","",IF('Step 5 - President'!F47="","",'Step 5 - President'!F47))</f>
        <v/>
      </c>
      <c r="R250" s="18" t="str">
        <f>""</f>
        <v/>
      </c>
      <c r="S250" s="18" t="str">
        <f>""</f>
        <v/>
      </c>
      <c r="T250" s="18" t="str">
        <f>""</f>
        <v/>
      </c>
      <c r="U250" s="18" t="str">
        <f>IF('Step 5 - President'!B47="","",'Step 5 - President'!I47)</f>
        <v/>
      </c>
      <c r="V250" s="17" t="str">
        <f>IF('Step 5 - President'!B47="","",'Step 5 - President'!K47)</f>
        <v/>
      </c>
      <c r="W250" s="18" t="str">
        <f>IF('Step 5 - President'!B47="","",'Step 5 - President'!L47)</f>
        <v/>
      </c>
      <c r="X250" s="17" t="str">
        <f>IF('Step 5 - President'!B47="","",'Step 5 - President'!N47)</f>
        <v/>
      </c>
      <c r="Y250" s="18" t="str">
        <f>""</f>
        <v/>
      </c>
      <c r="Z250" s="18" t="str">
        <f>""</f>
        <v/>
      </c>
      <c r="AA250" s="18" t="str">
        <f>""</f>
        <v/>
      </c>
      <c r="AB250" s="18" t="str">
        <f>""</f>
        <v/>
      </c>
      <c r="AC250" s="18" t="str">
        <f>""</f>
        <v/>
      </c>
      <c r="AD250" s="18" t="str">
        <f>""</f>
        <v/>
      </c>
      <c r="AE250" s="18" t="str">
        <f>""</f>
        <v/>
      </c>
      <c r="AF250" s="18" t="str">
        <f>""</f>
        <v/>
      </c>
      <c r="AG250" s="18" t="str">
        <f>""</f>
        <v/>
      </c>
      <c r="AH250" s="18" t="str">
        <f>""</f>
        <v/>
      </c>
      <c r="AI250" s="18" t="str">
        <f>""</f>
        <v/>
      </c>
      <c r="AJ250" s="18" t="str">
        <f>""</f>
        <v/>
      </c>
      <c r="AK250" s="18" t="str">
        <f>""</f>
        <v/>
      </c>
      <c r="AL250" s="18" t="str">
        <f>""</f>
        <v/>
      </c>
      <c r="AM250" s="18" t="str">
        <f>""</f>
        <v/>
      </c>
    </row>
    <row r="251" spans="1:39" ht="15.75" customHeight="1" x14ac:dyDescent="0.25">
      <c r="A251" s="19" t="str">
        <f>IF('Step 5 - President'!B48="","","Active")</f>
        <v/>
      </c>
      <c r="B251" s="20" t="str">
        <f>IF('Step 5 - President'!B48="","",'Step 5 - President'!B48)</f>
        <v/>
      </c>
      <c r="C251" s="20" t="str">
        <f>IF('Step 5 - President'!B48="","",'Step 5 - President'!B48)</f>
        <v/>
      </c>
      <c r="D251" s="19" t="str">
        <f>IF('Step 5 - President'!B48="","",'Step 5 - President'!G48)</f>
        <v/>
      </c>
      <c r="E251" s="19" t="str">
        <f>IF('Step 5 - President'!B48="","",'Step 5 - President'!H48)</f>
        <v/>
      </c>
      <c r="F251" s="20" t="str">
        <f>IF('Step 5 - President'!B48="","",IF('Step 5 - President'!C48="","","Fund Code"))</f>
        <v/>
      </c>
      <c r="G251" s="19" t="str">
        <f>IF('Step 5 - President'!B48="","",IF('Step 5 - President'!C48="","","Equals"))</f>
        <v/>
      </c>
      <c r="H251" s="20" t="str">
        <f>IF('Step 5 - President'!B48="","",IF('Step 5 - President'!C48="","",'Step 5 - President'!C48))</f>
        <v/>
      </c>
      <c r="I251" s="20" t="str">
        <f>IF('Step 5 - President'!B48="","","Organization Code")</f>
        <v/>
      </c>
      <c r="J251" s="19" t="str">
        <f>IF('Step 5 - President'!B48="","","Equals")</f>
        <v/>
      </c>
      <c r="K251" s="20" t="str">
        <f>IF('Step 5 - President'!B48="","",'Step 5 - President'!D48)</f>
        <v/>
      </c>
      <c r="L251" s="20" t="str">
        <f>IF('Step 5 - President'!B48="","","Other Criteria")</f>
        <v/>
      </c>
      <c r="M251" s="19" t="str">
        <f>IF('Step 5 - President'!B48="","","Equals")</f>
        <v/>
      </c>
      <c r="N251" s="20" t="str">
        <f>IF('Step 5 - President'!B48="","",'Step 5 - President'!E48)</f>
        <v/>
      </c>
      <c r="O251" s="20" t="str">
        <f>IF('Step 5 - President'!B48="","",IF('Step 5 - President'!F48="","","Total"))</f>
        <v/>
      </c>
      <c r="P251" s="19" t="str">
        <f>IF('Step 5 - President'!B48="","",IF('Step 5 - President'!F48="","","&gt;="))</f>
        <v/>
      </c>
      <c r="Q251" s="20" t="str">
        <f>IF('Step 5 - President'!B48="","",IF('Step 5 - President'!F48="","",'Step 5 - President'!F48))</f>
        <v/>
      </c>
      <c r="R251" s="20" t="str">
        <f>""</f>
        <v/>
      </c>
      <c r="S251" s="20" t="str">
        <f>""</f>
        <v/>
      </c>
      <c r="T251" s="20" t="str">
        <f>""</f>
        <v/>
      </c>
      <c r="U251" s="20" t="str">
        <f>IF('Step 5 - President'!B48="","",'Step 5 - President'!I48)</f>
        <v/>
      </c>
      <c r="V251" s="19" t="str">
        <f>IF('Step 5 - President'!B48="","",'Step 5 - President'!K48)</f>
        <v/>
      </c>
      <c r="W251" s="20" t="str">
        <f>IF('Step 5 - President'!B48="","",'Step 5 - President'!L48)</f>
        <v/>
      </c>
      <c r="X251" s="19" t="str">
        <f>IF('Step 5 - President'!B48="","",'Step 5 - President'!N48)</f>
        <v/>
      </c>
      <c r="Y251" s="20" t="str">
        <f>""</f>
        <v/>
      </c>
      <c r="Z251" s="20" t="str">
        <f>""</f>
        <v/>
      </c>
      <c r="AA251" s="20" t="str">
        <f>""</f>
        <v/>
      </c>
      <c r="AB251" s="20" t="str">
        <f>""</f>
        <v/>
      </c>
      <c r="AC251" s="20" t="str">
        <f>""</f>
        <v/>
      </c>
      <c r="AD251" s="20" t="str">
        <f>""</f>
        <v/>
      </c>
      <c r="AE251" s="20" t="str">
        <f>""</f>
        <v/>
      </c>
      <c r="AF251" s="20" t="str">
        <f>""</f>
        <v/>
      </c>
      <c r="AG251" s="20" t="str">
        <f>""</f>
        <v/>
      </c>
      <c r="AH251" s="20" t="str">
        <f>""</f>
        <v/>
      </c>
      <c r="AI251" s="20" t="str">
        <f>""</f>
        <v/>
      </c>
      <c r="AJ251" s="20" t="str">
        <f>""</f>
        <v/>
      </c>
      <c r="AK251" s="20" t="str">
        <f>""</f>
        <v/>
      </c>
      <c r="AL251" s="20" t="str">
        <f>""</f>
        <v/>
      </c>
      <c r="AM251" s="20" t="str">
        <f>""</f>
        <v/>
      </c>
    </row>
    <row r="252" spans="1:39" ht="15.75" customHeight="1" x14ac:dyDescent="0.25">
      <c r="A252" s="17" t="str">
        <f>IF('Step 5 - President'!B49="","","Active")</f>
        <v/>
      </c>
      <c r="B252" s="18" t="str">
        <f>IF('Step 5 - President'!B49="","",'Step 5 - President'!B49)</f>
        <v/>
      </c>
      <c r="C252" s="18" t="str">
        <f>IF('Step 5 - President'!B49="","",'Step 5 - President'!B49)</f>
        <v/>
      </c>
      <c r="D252" s="17" t="str">
        <f>IF('Step 5 - President'!B49="","",'Step 5 - President'!G49)</f>
        <v/>
      </c>
      <c r="E252" s="17" t="str">
        <f>IF('Step 5 - President'!B49="","",'Step 5 - President'!H49)</f>
        <v/>
      </c>
      <c r="F252" s="18" t="str">
        <f>IF('Step 5 - President'!B49="","",IF('Step 5 - President'!C49="","","Fund Code"))</f>
        <v/>
      </c>
      <c r="G252" s="17" t="str">
        <f>IF('Step 5 - President'!B49="","",IF('Step 5 - President'!C49="","","Equals"))</f>
        <v/>
      </c>
      <c r="H252" s="18" t="str">
        <f>IF('Step 5 - President'!B49="","",IF('Step 5 - President'!C49="","",'Step 5 - President'!C49))</f>
        <v/>
      </c>
      <c r="I252" s="18" t="str">
        <f>IF('Step 5 - President'!B49="","","Organization Code")</f>
        <v/>
      </c>
      <c r="J252" s="17" t="str">
        <f>IF('Step 5 - President'!B49="","","Equals")</f>
        <v/>
      </c>
      <c r="K252" s="18" t="str">
        <f>IF('Step 5 - President'!B49="","",'Step 5 - President'!D49)</f>
        <v/>
      </c>
      <c r="L252" s="18" t="str">
        <f>IF('Step 5 - President'!B49="","","Other Criteria")</f>
        <v/>
      </c>
      <c r="M252" s="17" t="str">
        <f>IF('Step 5 - President'!B49="","","Equals")</f>
        <v/>
      </c>
      <c r="N252" s="18" t="str">
        <f>IF('Step 5 - President'!B49="","",'Step 5 - President'!E49)</f>
        <v/>
      </c>
      <c r="O252" s="18" t="str">
        <f>IF('Step 5 - President'!B49="","",IF('Step 5 - President'!F49="","","Total"))</f>
        <v/>
      </c>
      <c r="P252" s="17" t="str">
        <f>IF('Step 5 - President'!B49="","",IF('Step 5 - President'!F49="","","&gt;="))</f>
        <v/>
      </c>
      <c r="Q252" s="18" t="str">
        <f>IF('Step 5 - President'!B49="","",IF('Step 5 - President'!F49="","",'Step 5 - President'!F49))</f>
        <v/>
      </c>
      <c r="R252" s="18" t="str">
        <f>""</f>
        <v/>
      </c>
      <c r="S252" s="18" t="str">
        <f>""</f>
        <v/>
      </c>
      <c r="T252" s="18" t="str">
        <f>""</f>
        <v/>
      </c>
      <c r="U252" s="18" t="str">
        <f>IF('Step 5 - President'!B49="","",'Step 5 - President'!I49)</f>
        <v/>
      </c>
      <c r="V252" s="17" t="str">
        <f>IF('Step 5 - President'!B49="","",'Step 5 - President'!K49)</f>
        <v/>
      </c>
      <c r="W252" s="18" t="str">
        <f>IF('Step 5 - President'!B49="","",'Step 5 - President'!L49)</f>
        <v/>
      </c>
      <c r="X252" s="17" t="str">
        <f>IF('Step 5 - President'!B49="","",'Step 5 - President'!N49)</f>
        <v/>
      </c>
      <c r="Y252" s="18" t="str">
        <f>""</f>
        <v/>
      </c>
      <c r="Z252" s="18" t="str">
        <f>""</f>
        <v/>
      </c>
      <c r="AA252" s="18" t="str">
        <f>""</f>
        <v/>
      </c>
      <c r="AB252" s="18" t="str">
        <f>""</f>
        <v/>
      </c>
      <c r="AC252" s="18" t="str">
        <f>""</f>
        <v/>
      </c>
      <c r="AD252" s="18" t="str">
        <f>""</f>
        <v/>
      </c>
      <c r="AE252" s="18" t="str">
        <f>""</f>
        <v/>
      </c>
      <c r="AF252" s="18" t="str">
        <f>""</f>
        <v/>
      </c>
      <c r="AG252" s="18" t="str">
        <f>""</f>
        <v/>
      </c>
      <c r="AH252" s="18" t="str">
        <f>""</f>
        <v/>
      </c>
      <c r="AI252" s="18" t="str">
        <f>""</f>
        <v/>
      </c>
      <c r="AJ252" s="18" t="str">
        <f>""</f>
        <v/>
      </c>
      <c r="AK252" s="18" t="str">
        <f>""</f>
        <v/>
      </c>
      <c r="AL252" s="18" t="str">
        <f>""</f>
        <v/>
      </c>
      <c r="AM252" s="18" t="str">
        <f>""</f>
        <v/>
      </c>
    </row>
    <row r="253" spans="1:39" ht="15.75" customHeight="1" x14ac:dyDescent="0.25">
      <c r="A253" s="19" t="str">
        <f>IF('Step 5 - President'!B50="","","Active")</f>
        <v/>
      </c>
      <c r="B253" s="20" t="str">
        <f>IF('Step 5 - President'!B50="","",'Step 5 - President'!B50)</f>
        <v/>
      </c>
      <c r="C253" s="20" t="str">
        <f>IF('Step 5 - President'!B50="","",'Step 5 - President'!B50)</f>
        <v/>
      </c>
      <c r="D253" s="19" t="str">
        <f>IF('Step 5 - President'!B50="","",'Step 5 - President'!G50)</f>
        <v/>
      </c>
      <c r="E253" s="19" t="str">
        <f>IF('Step 5 - President'!B50="","",'Step 5 - President'!H50)</f>
        <v/>
      </c>
      <c r="F253" s="20" t="str">
        <f>IF('Step 5 - President'!B50="","",IF('Step 5 - President'!C50="","","Fund Code"))</f>
        <v/>
      </c>
      <c r="G253" s="19" t="str">
        <f>IF('Step 5 - President'!B50="","",IF('Step 5 - President'!C50="","","Equals"))</f>
        <v/>
      </c>
      <c r="H253" s="20" t="str">
        <f>IF('Step 5 - President'!B50="","",IF('Step 5 - President'!C50="","",'Step 5 - President'!C50))</f>
        <v/>
      </c>
      <c r="I253" s="20" t="str">
        <f>IF('Step 5 - President'!B50="","","Organization Code")</f>
        <v/>
      </c>
      <c r="J253" s="19" t="str">
        <f>IF('Step 5 - President'!B50="","","Equals")</f>
        <v/>
      </c>
      <c r="K253" s="20" t="str">
        <f>IF('Step 5 - President'!B50="","",'Step 5 - President'!D50)</f>
        <v/>
      </c>
      <c r="L253" s="20" t="str">
        <f>IF('Step 5 - President'!B50="","","Other Criteria")</f>
        <v/>
      </c>
      <c r="M253" s="19" t="str">
        <f>IF('Step 5 - President'!B50="","","Equals")</f>
        <v/>
      </c>
      <c r="N253" s="20" t="str">
        <f>IF('Step 5 - President'!B50="","",'Step 5 - President'!E50)</f>
        <v/>
      </c>
      <c r="O253" s="20" t="str">
        <f>IF('Step 5 - President'!B50="","",IF('Step 5 - President'!F50="","","Total"))</f>
        <v/>
      </c>
      <c r="P253" s="19" t="str">
        <f>IF('Step 5 - President'!B50="","",IF('Step 5 - President'!F50="","","&gt;="))</f>
        <v/>
      </c>
      <c r="Q253" s="20" t="str">
        <f>IF('Step 5 - President'!B50="","",IF('Step 5 - President'!F50="","",'Step 5 - President'!F50))</f>
        <v/>
      </c>
      <c r="R253" s="20" t="str">
        <f>""</f>
        <v/>
      </c>
      <c r="S253" s="20" t="str">
        <f>""</f>
        <v/>
      </c>
      <c r="T253" s="20" t="str">
        <f>""</f>
        <v/>
      </c>
      <c r="U253" s="20" t="str">
        <f>IF('Step 5 - President'!B50="","",'Step 5 - President'!I50)</f>
        <v/>
      </c>
      <c r="V253" s="19" t="str">
        <f>IF('Step 5 - President'!B50="","",'Step 5 - President'!K50)</f>
        <v/>
      </c>
      <c r="W253" s="20" t="str">
        <f>IF('Step 5 - President'!B50="","",'Step 5 - President'!L50)</f>
        <v/>
      </c>
      <c r="X253" s="19" t="str">
        <f>IF('Step 5 - President'!B50="","",'Step 5 - President'!N50)</f>
        <v/>
      </c>
      <c r="Y253" s="20" t="str">
        <f>""</f>
        <v/>
      </c>
      <c r="Z253" s="20" t="str">
        <f>""</f>
        <v/>
      </c>
      <c r="AA253" s="20" t="str">
        <f>""</f>
        <v/>
      </c>
      <c r="AB253" s="20" t="str">
        <f>""</f>
        <v/>
      </c>
      <c r="AC253" s="20" t="str">
        <f>""</f>
        <v/>
      </c>
      <c r="AD253" s="20" t="str">
        <f>""</f>
        <v/>
      </c>
      <c r="AE253" s="20" t="str">
        <f>""</f>
        <v/>
      </c>
      <c r="AF253" s="20" t="str">
        <f>""</f>
        <v/>
      </c>
      <c r="AG253" s="20" t="str">
        <f>""</f>
        <v/>
      </c>
      <c r="AH253" s="20" t="str">
        <f>""</f>
        <v/>
      </c>
      <c r="AI253" s="20" t="str">
        <f>""</f>
        <v/>
      </c>
      <c r="AJ253" s="20" t="str">
        <f>""</f>
        <v/>
      </c>
      <c r="AK253" s="20" t="str">
        <f>""</f>
        <v/>
      </c>
      <c r="AL253" s="20" t="str">
        <f>""</f>
        <v/>
      </c>
      <c r="AM253" s="20" t="str">
        <f>""</f>
        <v/>
      </c>
    </row>
    <row r="254" spans="1:39" ht="15.75" customHeight="1" x14ac:dyDescent="0.25">
      <c r="A254" s="17" t="str">
        <f>IF('Step 5 - President'!B51="","","Active")</f>
        <v/>
      </c>
      <c r="B254" s="18" t="str">
        <f>IF('Step 5 - President'!B51="","",'Step 5 - President'!B51)</f>
        <v/>
      </c>
      <c r="C254" s="18" t="str">
        <f>IF('Step 5 - President'!B51="","",'Step 5 - President'!B51)</f>
        <v/>
      </c>
      <c r="D254" s="17" t="str">
        <f>IF('Step 5 - President'!B51="","",'Step 5 - President'!G51)</f>
        <v/>
      </c>
      <c r="E254" s="17" t="str">
        <f>IF('Step 5 - President'!B51="","",'Step 5 - President'!H51)</f>
        <v/>
      </c>
      <c r="F254" s="18" t="str">
        <f>IF('Step 5 - President'!B51="","",IF('Step 5 - President'!C51="","","Fund Code"))</f>
        <v/>
      </c>
      <c r="G254" s="17" t="str">
        <f>IF('Step 5 - President'!B51="","",IF('Step 5 - President'!C51="","","Equals"))</f>
        <v/>
      </c>
      <c r="H254" s="18" t="str">
        <f>IF('Step 5 - President'!B51="","",IF('Step 5 - President'!C51="","",'Step 5 - President'!C51))</f>
        <v/>
      </c>
      <c r="I254" s="18" t="str">
        <f>IF('Step 5 - President'!B51="","","Organization Code")</f>
        <v/>
      </c>
      <c r="J254" s="17" t="str">
        <f>IF('Step 5 - President'!B51="","","Equals")</f>
        <v/>
      </c>
      <c r="K254" s="18" t="str">
        <f>IF('Step 5 - President'!B51="","",'Step 5 - President'!D51)</f>
        <v/>
      </c>
      <c r="L254" s="18" t="str">
        <f>IF('Step 5 - President'!B51="","","Other Criteria")</f>
        <v/>
      </c>
      <c r="M254" s="17" t="str">
        <f>IF('Step 5 - President'!B51="","","Equals")</f>
        <v/>
      </c>
      <c r="N254" s="18" t="str">
        <f>IF('Step 5 - President'!B51="","",'Step 5 - President'!E51)</f>
        <v/>
      </c>
      <c r="O254" s="18" t="str">
        <f>IF('Step 5 - President'!B51="","",IF('Step 5 - President'!F51="","","Total"))</f>
        <v/>
      </c>
      <c r="P254" s="17" t="str">
        <f>IF('Step 5 - President'!B51="","",IF('Step 5 - President'!F51="","","&gt;="))</f>
        <v/>
      </c>
      <c r="Q254" s="18" t="str">
        <f>IF('Step 5 - President'!B51="","",IF('Step 5 - President'!F51="","",'Step 5 - President'!F51))</f>
        <v/>
      </c>
      <c r="R254" s="18" t="str">
        <f>""</f>
        <v/>
      </c>
      <c r="S254" s="18" t="str">
        <f>""</f>
        <v/>
      </c>
      <c r="T254" s="18" t="str">
        <f>""</f>
        <v/>
      </c>
      <c r="U254" s="18" t="str">
        <f>IF('Step 5 - President'!B51="","",'Step 5 - President'!I51)</f>
        <v/>
      </c>
      <c r="V254" s="17" t="str">
        <f>IF('Step 5 - President'!B51="","",'Step 5 - President'!K51)</f>
        <v/>
      </c>
      <c r="W254" s="18" t="str">
        <f>IF('Step 5 - President'!B51="","",'Step 5 - President'!L51)</f>
        <v/>
      </c>
      <c r="X254" s="17" t="str">
        <f>IF('Step 5 - President'!B51="","",'Step 5 - President'!N51)</f>
        <v/>
      </c>
      <c r="Y254" s="18" t="str">
        <f>""</f>
        <v/>
      </c>
      <c r="Z254" s="18" t="str">
        <f>""</f>
        <v/>
      </c>
      <c r="AA254" s="18" t="str">
        <f>""</f>
        <v/>
      </c>
      <c r="AB254" s="18" t="str">
        <f>""</f>
        <v/>
      </c>
      <c r="AC254" s="18" t="str">
        <f>""</f>
        <v/>
      </c>
      <c r="AD254" s="18" t="str">
        <f>""</f>
        <v/>
      </c>
      <c r="AE254" s="18" t="str">
        <f>""</f>
        <v/>
      </c>
      <c r="AF254" s="18" t="str">
        <f>""</f>
        <v/>
      </c>
      <c r="AG254" s="18" t="str">
        <f>""</f>
        <v/>
      </c>
      <c r="AH254" s="18" t="str">
        <f>""</f>
        <v/>
      </c>
      <c r="AI254" s="18" t="str">
        <f>""</f>
        <v/>
      </c>
      <c r="AJ254" s="18" t="str">
        <f>""</f>
        <v/>
      </c>
      <c r="AK254" s="18" t="str">
        <f>""</f>
        <v/>
      </c>
      <c r="AL254" s="18" t="str">
        <f>""</f>
        <v/>
      </c>
      <c r="AM254" s="18" t="str">
        <f>""</f>
        <v/>
      </c>
    </row>
    <row r="255" spans="1:39" ht="15.75" customHeight="1" x14ac:dyDescent="0.25">
      <c r="A255" s="19" t="str">
        <f>IF('Step 5 - President'!B52="","","Active")</f>
        <v/>
      </c>
      <c r="B255" s="20" t="str">
        <f>IF('Step 5 - President'!B52="","",'Step 5 - President'!B52)</f>
        <v/>
      </c>
      <c r="C255" s="20" t="str">
        <f>IF('Step 5 - President'!B52="","",'Step 5 - President'!B52)</f>
        <v/>
      </c>
      <c r="D255" s="19" t="str">
        <f>IF('Step 5 - President'!B52="","",'Step 5 - President'!G52)</f>
        <v/>
      </c>
      <c r="E255" s="19" t="str">
        <f>IF('Step 5 - President'!B52="","",'Step 5 - President'!H52)</f>
        <v/>
      </c>
      <c r="F255" s="20" t="str">
        <f>IF('Step 5 - President'!B52="","",IF('Step 5 - President'!C52="","","Fund Code"))</f>
        <v/>
      </c>
      <c r="G255" s="19" t="str">
        <f>IF('Step 5 - President'!B52="","",IF('Step 5 - President'!C52="","","Equals"))</f>
        <v/>
      </c>
      <c r="H255" s="20" t="str">
        <f>IF('Step 5 - President'!B52="","",IF('Step 5 - President'!C52="","",'Step 5 - President'!C52))</f>
        <v/>
      </c>
      <c r="I255" s="20" t="str">
        <f>IF('Step 5 - President'!B52="","","Organization Code")</f>
        <v/>
      </c>
      <c r="J255" s="19" t="str">
        <f>IF('Step 5 - President'!B52="","","Equals")</f>
        <v/>
      </c>
      <c r="K255" s="20" t="str">
        <f>IF('Step 5 - President'!B52="","",'Step 5 - President'!D52)</f>
        <v/>
      </c>
      <c r="L255" s="20" t="str">
        <f>IF('Step 5 - President'!B52="","","Other Criteria")</f>
        <v/>
      </c>
      <c r="M255" s="19" t="str">
        <f>IF('Step 5 - President'!B52="","","Equals")</f>
        <v/>
      </c>
      <c r="N255" s="20" t="str">
        <f>IF('Step 5 - President'!B52="","",'Step 5 - President'!E52)</f>
        <v/>
      </c>
      <c r="O255" s="20" t="str">
        <f>IF('Step 5 - President'!B52="","",IF('Step 5 - President'!F52="","","Total"))</f>
        <v/>
      </c>
      <c r="P255" s="19" t="str">
        <f>IF('Step 5 - President'!B52="","",IF('Step 5 - President'!F52="","","&gt;="))</f>
        <v/>
      </c>
      <c r="Q255" s="20" t="str">
        <f>IF('Step 5 - President'!B52="","",IF('Step 5 - President'!F52="","",'Step 5 - President'!F52))</f>
        <v/>
      </c>
      <c r="R255" s="20" t="str">
        <f>""</f>
        <v/>
      </c>
      <c r="S255" s="20" t="str">
        <f>""</f>
        <v/>
      </c>
      <c r="T255" s="20" t="str">
        <f>""</f>
        <v/>
      </c>
      <c r="U255" s="20" t="str">
        <f>IF('Step 5 - President'!B52="","",'Step 5 - President'!I52)</f>
        <v/>
      </c>
      <c r="V255" s="19" t="str">
        <f>IF('Step 5 - President'!B52="","",'Step 5 - President'!K52)</f>
        <v/>
      </c>
      <c r="W255" s="20" t="str">
        <f>IF('Step 5 - President'!B52="","",'Step 5 - President'!L52)</f>
        <v/>
      </c>
      <c r="X255" s="19" t="str">
        <f>IF('Step 5 - President'!B52="","",'Step 5 - President'!N52)</f>
        <v/>
      </c>
      <c r="Y255" s="20" t="str">
        <f>""</f>
        <v/>
      </c>
      <c r="Z255" s="20" t="str">
        <f>""</f>
        <v/>
      </c>
      <c r="AA255" s="20" t="str">
        <f>""</f>
        <v/>
      </c>
      <c r="AB255" s="20" t="str">
        <f>""</f>
        <v/>
      </c>
      <c r="AC255" s="20" t="str">
        <f>""</f>
        <v/>
      </c>
      <c r="AD255" s="20" t="str">
        <f>""</f>
        <v/>
      </c>
      <c r="AE255" s="20" t="str">
        <f>""</f>
        <v/>
      </c>
      <c r="AF255" s="20" t="str">
        <f>""</f>
        <v/>
      </c>
      <c r="AG255" s="20" t="str">
        <f>""</f>
        <v/>
      </c>
      <c r="AH255" s="20" t="str">
        <f>""</f>
        <v/>
      </c>
      <c r="AI255" s="20" t="str">
        <f>""</f>
        <v/>
      </c>
      <c r="AJ255" s="20" t="str">
        <f>""</f>
        <v/>
      </c>
      <c r="AK255" s="20" t="str">
        <f>""</f>
        <v/>
      </c>
      <c r="AL255" s="20" t="str">
        <f>""</f>
        <v/>
      </c>
      <c r="AM255" s="20" t="str">
        <f>""</f>
        <v/>
      </c>
    </row>
    <row r="256" spans="1:39" ht="15.75" customHeight="1" x14ac:dyDescent="0.25">
      <c r="A256" s="17" t="str">
        <f>IF('Step 5 - President'!B53="","","Active")</f>
        <v/>
      </c>
      <c r="B256" s="18" t="str">
        <f>IF('Step 5 - President'!B53="","",'Step 5 - President'!B53)</f>
        <v/>
      </c>
      <c r="C256" s="18" t="str">
        <f>IF('Step 5 - President'!B53="","",'Step 5 - President'!B53)</f>
        <v/>
      </c>
      <c r="D256" s="17" t="str">
        <f>IF('Step 5 - President'!B53="","",'Step 5 - President'!G53)</f>
        <v/>
      </c>
      <c r="E256" s="17" t="str">
        <f>IF('Step 5 - President'!B53="","",'Step 5 - President'!H53)</f>
        <v/>
      </c>
      <c r="F256" s="18" t="str">
        <f>IF('Step 5 - President'!B53="","",IF('Step 5 - President'!C53="","","Fund Code"))</f>
        <v/>
      </c>
      <c r="G256" s="17" t="str">
        <f>IF('Step 5 - President'!B53="","",IF('Step 5 - President'!C53="","","Equals"))</f>
        <v/>
      </c>
      <c r="H256" s="18" t="str">
        <f>IF('Step 5 - President'!B53="","",IF('Step 5 - President'!C53="","",'Step 5 - President'!C53))</f>
        <v/>
      </c>
      <c r="I256" s="18" t="str">
        <f>IF('Step 5 - President'!B53="","","Organization Code")</f>
        <v/>
      </c>
      <c r="J256" s="17" t="str">
        <f>IF('Step 5 - President'!B53="","","Equals")</f>
        <v/>
      </c>
      <c r="K256" s="18" t="str">
        <f>IF('Step 5 - President'!B53="","",'Step 5 - President'!D53)</f>
        <v/>
      </c>
      <c r="L256" s="18" t="str">
        <f>IF('Step 5 - President'!B53="","","Other Criteria")</f>
        <v/>
      </c>
      <c r="M256" s="17" t="str">
        <f>IF('Step 5 - President'!B53="","","Equals")</f>
        <v/>
      </c>
      <c r="N256" s="18" t="str">
        <f>IF('Step 5 - President'!B53="","",'Step 5 - President'!E53)</f>
        <v/>
      </c>
      <c r="O256" s="18" t="str">
        <f>IF('Step 5 - President'!B53="","",IF('Step 5 - President'!F53="","","Total"))</f>
        <v/>
      </c>
      <c r="P256" s="17" t="str">
        <f>IF('Step 5 - President'!B53="","",IF('Step 5 - President'!F53="","","&gt;="))</f>
        <v/>
      </c>
      <c r="Q256" s="18" t="str">
        <f>IF('Step 5 - President'!B53="","",IF('Step 5 - President'!F53="","",'Step 5 - President'!F53))</f>
        <v/>
      </c>
      <c r="R256" s="18" t="str">
        <f>""</f>
        <v/>
      </c>
      <c r="S256" s="18" t="str">
        <f>""</f>
        <v/>
      </c>
      <c r="T256" s="18" t="str">
        <f>""</f>
        <v/>
      </c>
      <c r="U256" s="18" t="str">
        <f>IF('Step 5 - President'!B53="","",'Step 5 - President'!I53)</f>
        <v/>
      </c>
      <c r="V256" s="17" t="str">
        <f>IF('Step 5 - President'!B53="","",'Step 5 - President'!K53)</f>
        <v/>
      </c>
      <c r="W256" s="18" t="str">
        <f>IF('Step 5 - President'!B53="","",'Step 5 - President'!L53)</f>
        <v/>
      </c>
      <c r="X256" s="17" t="str">
        <f>IF('Step 5 - President'!B53="","",'Step 5 - President'!N53)</f>
        <v/>
      </c>
      <c r="Y256" s="18" t="str">
        <f>""</f>
        <v/>
      </c>
      <c r="Z256" s="18" t="str">
        <f>""</f>
        <v/>
      </c>
      <c r="AA256" s="18" t="str">
        <f>""</f>
        <v/>
      </c>
      <c r="AB256" s="18" t="str">
        <f>""</f>
        <v/>
      </c>
      <c r="AC256" s="18" t="str">
        <f>""</f>
        <v/>
      </c>
      <c r="AD256" s="18" t="str">
        <f>""</f>
        <v/>
      </c>
      <c r="AE256" s="18" t="str">
        <f>""</f>
        <v/>
      </c>
      <c r="AF256" s="18" t="str">
        <f>""</f>
        <v/>
      </c>
      <c r="AG256" s="18" t="str">
        <f>""</f>
        <v/>
      </c>
      <c r="AH256" s="18" t="str">
        <f>""</f>
        <v/>
      </c>
      <c r="AI256" s="18" t="str">
        <f>""</f>
        <v/>
      </c>
      <c r="AJ256" s="18" t="str">
        <f>""</f>
        <v/>
      </c>
      <c r="AK256" s="18" t="str">
        <f>""</f>
        <v/>
      </c>
      <c r="AL256" s="18" t="str">
        <f>""</f>
        <v/>
      </c>
      <c r="AM256" s="18" t="str">
        <f>""</f>
        <v/>
      </c>
    </row>
    <row r="257" spans="1:39" ht="13.5" customHeight="1" x14ac:dyDescent="0.25">
      <c r="A257" s="29" t="s">
        <v>192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</row>
    <row r="258" spans="1:39" ht="15.75" customHeight="1" x14ac:dyDescent="0.25">
      <c r="A258" s="17" t="str">
        <f>IF('Step 6 - Purchasing'!B5="","","Active")</f>
        <v/>
      </c>
      <c r="B258" s="18" t="str">
        <f>IF('Step 6 - Purchasing'!B5="","",'Step 6 - Purchasing'!B5)</f>
        <v/>
      </c>
      <c r="C258" s="18" t="str">
        <f>IF('Step 6 - Purchasing'!B5="","",'Step 6 - Purchasing'!B5)</f>
        <v/>
      </c>
      <c r="D258" s="17" t="str">
        <f>IF('Step 6 - Purchasing'!B5="","",'Step 6 - Purchasing'!F5)</f>
        <v/>
      </c>
      <c r="E258" s="17" t="str">
        <f>IF('Step 6 - Purchasing'!B5="","",'Step 6 - Purchasing'!G5)</f>
        <v/>
      </c>
      <c r="F258" s="18" t="str">
        <f>IF('Step 6 - Purchasing'!B5="","",IF('Step 6 - Purchasing'!C5="","","Fund Code"))</f>
        <v/>
      </c>
      <c r="G258" s="17" t="str">
        <f>IF('Step 6 - Purchasing'!B5="","",IF('Step 6 - Purchasing'!C5="","","Equals"))</f>
        <v/>
      </c>
      <c r="H258" s="18" t="str">
        <f>IF('Step 6 - Purchasing'!B5="","",IF('Step 6 - Purchasing'!C5="","",'Step 6 - Purchasing'!C5))</f>
        <v/>
      </c>
      <c r="I258" s="18" t="str">
        <f>IF('Step 6 - Purchasing'!B5="","","Organization Code")</f>
        <v/>
      </c>
      <c r="J258" s="17" t="str">
        <f>IF('Step 6 - Purchasing'!B5="","","Equals")</f>
        <v/>
      </c>
      <c r="K258" s="18" t="str">
        <f>IF('Step 6 - Purchasing'!B5="","",'Step 6 - Purchasing'!D5)</f>
        <v/>
      </c>
      <c r="L258" s="18" t="str">
        <f>IF('Step 6 - Purchasing'!B5="","","Other Criteria")</f>
        <v/>
      </c>
      <c r="M258" s="17" t="str">
        <f>IF('Step 6 - Purchasing'!B5="","","Equals")</f>
        <v/>
      </c>
      <c r="N258" s="18" t="str">
        <f>IF('Step 6 - Purchasing'!B5="","",'Step 6 - Purchasing'!E5)</f>
        <v/>
      </c>
      <c r="O258" s="18" t="str">
        <f>""</f>
        <v/>
      </c>
      <c r="P258" s="18" t="str">
        <f>""</f>
        <v/>
      </c>
      <c r="Q258" s="18" t="str">
        <f>""</f>
        <v/>
      </c>
      <c r="R258" s="18" t="str">
        <f>""</f>
        <v/>
      </c>
      <c r="S258" s="18" t="str">
        <f>""</f>
        <v/>
      </c>
      <c r="T258" s="18" t="str">
        <f>""</f>
        <v/>
      </c>
      <c r="U258" s="18" t="str">
        <f>IF('Step 6 - Purchasing'!B5="","",'Step 6 - Purchasing'!H5)</f>
        <v/>
      </c>
      <c r="V258" s="17" t="str">
        <f>IF('Step 6 - Purchasing'!B5="","",'Step 6 - Purchasing'!J5)</f>
        <v/>
      </c>
      <c r="W258" s="18" t="str">
        <f>IF('Step 6 - Purchasing'!B5="","",'Step 6 - Purchasing'!K5)</f>
        <v/>
      </c>
      <c r="X258" s="17" t="str">
        <f>IF('Step 6 - Purchasing'!B5="","",'Step 6 - Purchasing'!M5)</f>
        <v/>
      </c>
      <c r="Y258" s="18" t="str">
        <f>""</f>
        <v/>
      </c>
      <c r="Z258" s="18" t="str">
        <f>""</f>
        <v/>
      </c>
      <c r="AA258" s="18" t="str">
        <f>""</f>
        <v/>
      </c>
      <c r="AB258" s="18" t="str">
        <f>""</f>
        <v/>
      </c>
      <c r="AC258" s="18" t="str">
        <f>""</f>
        <v/>
      </c>
      <c r="AD258" s="18" t="str">
        <f>""</f>
        <v/>
      </c>
      <c r="AE258" s="18" t="str">
        <f>""</f>
        <v/>
      </c>
      <c r="AF258" s="18" t="str">
        <f>""</f>
        <v/>
      </c>
      <c r="AG258" s="18" t="str">
        <f>""</f>
        <v/>
      </c>
      <c r="AH258" s="18" t="str">
        <f>""</f>
        <v/>
      </c>
      <c r="AI258" s="18" t="str">
        <f>""</f>
        <v/>
      </c>
      <c r="AJ258" s="18" t="str">
        <f>""</f>
        <v/>
      </c>
      <c r="AK258" s="18" t="str">
        <f>""</f>
        <v/>
      </c>
      <c r="AL258" s="18" t="str">
        <f>""</f>
        <v/>
      </c>
      <c r="AM258" s="18" t="str">
        <f>""</f>
        <v/>
      </c>
    </row>
    <row r="259" spans="1:39" ht="15.75" customHeight="1" x14ac:dyDescent="0.25">
      <c r="A259" s="19" t="str">
        <f>IF('Step 6 - Purchasing'!B6="","","Active")</f>
        <v/>
      </c>
      <c r="B259" s="20" t="str">
        <f>IF('Step 6 - Purchasing'!B6="","",'Step 6 - Purchasing'!B6)</f>
        <v/>
      </c>
      <c r="C259" s="20" t="str">
        <f>IF('Step 6 - Purchasing'!B6="","",'Step 6 - Purchasing'!B6)</f>
        <v/>
      </c>
      <c r="D259" s="19" t="str">
        <f>IF('Step 6 - Purchasing'!B6="","",'Step 6 - Purchasing'!F6)</f>
        <v/>
      </c>
      <c r="E259" s="19" t="str">
        <f>IF('Step 6 - Purchasing'!B6="","",'Step 6 - Purchasing'!G6)</f>
        <v/>
      </c>
      <c r="F259" s="20" t="str">
        <f>IF('Step 6 - Purchasing'!B6="","",IF('Step 6 - Purchasing'!C6="","","Fund Code"))</f>
        <v/>
      </c>
      <c r="G259" s="19" t="str">
        <f>IF('Step 6 - Purchasing'!B6="","",IF('Step 6 - Purchasing'!C6="","","Equals"))</f>
        <v/>
      </c>
      <c r="H259" s="20" t="str">
        <f>IF('Step 6 - Purchasing'!B6="","",IF('Step 6 - Purchasing'!C6="","",'Step 6 - Purchasing'!C6))</f>
        <v/>
      </c>
      <c r="I259" s="20" t="str">
        <f>IF('Step 6 - Purchasing'!B6="","","Organization Code")</f>
        <v/>
      </c>
      <c r="J259" s="19" t="str">
        <f>IF('Step 6 - Purchasing'!B6="","","Equals")</f>
        <v/>
      </c>
      <c r="K259" s="20" t="str">
        <f>IF('Step 6 - Purchasing'!B6="","",'Step 6 - Purchasing'!D6)</f>
        <v/>
      </c>
      <c r="L259" s="20" t="str">
        <f>IF('Step 6 - Purchasing'!B6="","","Other Criteria")</f>
        <v/>
      </c>
      <c r="M259" s="19" t="str">
        <f>IF('Step 6 - Purchasing'!B6="","","Equals")</f>
        <v/>
      </c>
      <c r="N259" s="20" t="str">
        <f>IF('Step 6 - Purchasing'!B6="","",'Step 6 - Purchasing'!E6)</f>
        <v/>
      </c>
      <c r="O259" s="20" t="str">
        <f>""</f>
        <v/>
      </c>
      <c r="P259" s="20" t="str">
        <f>""</f>
        <v/>
      </c>
      <c r="Q259" s="20" t="str">
        <f>""</f>
        <v/>
      </c>
      <c r="R259" s="20" t="str">
        <f>""</f>
        <v/>
      </c>
      <c r="S259" s="20" t="str">
        <f>""</f>
        <v/>
      </c>
      <c r="T259" s="20" t="str">
        <f>""</f>
        <v/>
      </c>
      <c r="U259" s="20" t="str">
        <f>IF('Step 6 - Purchasing'!B6="","",'Step 6 - Purchasing'!H6)</f>
        <v/>
      </c>
      <c r="V259" s="19" t="str">
        <f>IF('Step 6 - Purchasing'!B6="","",'Step 6 - Purchasing'!J6)</f>
        <v/>
      </c>
      <c r="W259" s="20" t="str">
        <f>IF('Step 6 - Purchasing'!B6="","",'Step 6 - Purchasing'!K6)</f>
        <v/>
      </c>
      <c r="X259" s="19" t="str">
        <f>IF('Step 6 - Purchasing'!B6="","",'Step 6 - Purchasing'!M6)</f>
        <v/>
      </c>
      <c r="Y259" s="20" t="str">
        <f>""</f>
        <v/>
      </c>
      <c r="Z259" s="20" t="str">
        <f>""</f>
        <v/>
      </c>
      <c r="AA259" s="20" t="str">
        <f>""</f>
        <v/>
      </c>
      <c r="AB259" s="20" t="str">
        <f>""</f>
        <v/>
      </c>
      <c r="AC259" s="20" t="str">
        <f>""</f>
        <v/>
      </c>
      <c r="AD259" s="20" t="str">
        <f>""</f>
        <v/>
      </c>
      <c r="AE259" s="20" t="str">
        <f>""</f>
        <v/>
      </c>
      <c r="AF259" s="20" t="str">
        <f>""</f>
        <v/>
      </c>
      <c r="AG259" s="20" t="str">
        <f>""</f>
        <v/>
      </c>
      <c r="AH259" s="20" t="str">
        <f>""</f>
        <v/>
      </c>
      <c r="AI259" s="20" t="str">
        <f>""</f>
        <v/>
      </c>
      <c r="AJ259" s="20" t="str">
        <f>""</f>
        <v/>
      </c>
      <c r="AK259" s="20" t="str">
        <f>""</f>
        <v/>
      </c>
      <c r="AL259" s="20" t="str">
        <f>""</f>
        <v/>
      </c>
      <c r="AM259" s="20" t="str">
        <f>""</f>
        <v/>
      </c>
    </row>
    <row r="260" spans="1:39" ht="15.75" customHeight="1" x14ac:dyDescent="0.25">
      <c r="A260" s="17" t="str">
        <f>IF('Step 6 - Purchasing'!B7="","","Active")</f>
        <v/>
      </c>
      <c r="B260" s="18" t="str">
        <f>IF('Step 6 - Purchasing'!B7="","",'Step 6 - Purchasing'!B7)</f>
        <v/>
      </c>
      <c r="C260" s="18" t="str">
        <f>IF('Step 6 - Purchasing'!B7="","",'Step 6 - Purchasing'!B7)</f>
        <v/>
      </c>
      <c r="D260" s="17" t="str">
        <f>IF('Step 6 - Purchasing'!B7="","",'Step 6 - Purchasing'!F7)</f>
        <v/>
      </c>
      <c r="E260" s="17" t="str">
        <f>IF('Step 6 - Purchasing'!B7="","",'Step 6 - Purchasing'!G7)</f>
        <v/>
      </c>
      <c r="F260" s="18" t="str">
        <f>IF('Step 6 - Purchasing'!B7="","",IF('Step 6 - Purchasing'!C7="","","Fund Code"))</f>
        <v/>
      </c>
      <c r="G260" s="17" t="str">
        <f>IF('Step 6 - Purchasing'!B7="","",IF('Step 6 - Purchasing'!C7="","","Equals"))</f>
        <v/>
      </c>
      <c r="H260" s="18" t="str">
        <f>IF('Step 6 - Purchasing'!B7="","",IF('Step 6 - Purchasing'!C7="","",'Step 6 - Purchasing'!C7))</f>
        <v/>
      </c>
      <c r="I260" s="18" t="str">
        <f>IF('Step 6 - Purchasing'!B7="","","Organization Code")</f>
        <v/>
      </c>
      <c r="J260" s="17" t="str">
        <f>IF('Step 6 - Purchasing'!B7="","","Equals")</f>
        <v/>
      </c>
      <c r="K260" s="18" t="str">
        <f>IF('Step 6 - Purchasing'!B7="","",'Step 6 - Purchasing'!D7)</f>
        <v/>
      </c>
      <c r="L260" s="18" t="str">
        <f>IF('Step 6 - Purchasing'!B7="","","Other Criteria")</f>
        <v/>
      </c>
      <c r="M260" s="17" t="str">
        <f>IF('Step 6 - Purchasing'!B7="","","Equals")</f>
        <v/>
      </c>
      <c r="N260" s="18" t="str">
        <f>IF('Step 6 - Purchasing'!B7="","",'Step 6 - Purchasing'!E7)</f>
        <v/>
      </c>
      <c r="O260" s="18" t="str">
        <f>""</f>
        <v/>
      </c>
      <c r="P260" s="18" t="str">
        <f>""</f>
        <v/>
      </c>
      <c r="Q260" s="18" t="str">
        <f>""</f>
        <v/>
      </c>
      <c r="R260" s="18" t="str">
        <f>""</f>
        <v/>
      </c>
      <c r="S260" s="18" t="str">
        <f>""</f>
        <v/>
      </c>
      <c r="T260" s="18" t="str">
        <f>""</f>
        <v/>
      </c>
      <c r="U260" s="18" t="str">
        <f>IF('Step 6 - Purchasing'!B7="","",'Step 6 - Purchasing'!H7)</f>
        <v/>
      </c>
      <c r="V260" s="17" t="str">
        <f>IF('Step 6 - Purchasing'!B7="","",'Step 6 - Purchasing'!J7)</f>
        <v/>
      </c>
      <c r="W260" s="18" t="str">
        <f>IF('Step 6 - Purchasing'!B7="","",'Step 6 - Purchasing'!K7)</f>
        <v/>
      </c>
      <c r="X260" s="17" t="str">
        <f>IF('Step 6 - Purchasing'!B7="","",'Step 6 - Purchasing'!M7)</f>
        <v/>
      </c>
      <c r="Y260" s="18" t="str">
        <f>""</f>
        <v/>
      </c>
      <c r="Z260" s="18" t="str">
        <f>""</f>
        <v/>
      </c>
      <c r="AA260" s="18" t="str">
        <f>""</f>
        <v/>
      </c>
      <c r="AB260" s="18" t="str">
        <f>""</f>
        <v/>
      </c>
      <c r="AC260" s="18" t="str">
        <f>""</f>
        <v/>
      </c>
      <c r="AD260" s="18" t="str">
        <f>""</f>
        <v/>
      </c>
      <c r="AE260" s="18" t="str">
        <f>""</f>
        <v/>
      </c>
      <c r="AF260" s="18" t="str">
        <f>""</f>
        <v/>
      </c>
      <c r="AG260" s="18" t="str">
        <f>""</f>
        <v/>
      </c>
      <c r="AH260" s="18" t="str">
        <f>""</f>
        <v/>
      </c>
      <c r="AI260" s="18" t="str">
        <f>""</f>
        <v/>
      </c>
      <c r="AJ260" s="18" t="str">
        <f>""</f>
        <v/>
      </c>
      <c r="AK260" s="18" t="str">
        <f>""</f>
        <v/>
      </c>
      <c r="AL260" s="18" t="str">
        <f>""</f>
        <v/>
      </c>
      <c r="AM260" s="18" t="str">
        <f>""</f>
        <v/>
      </c>
    </row>
    <row r="261" spans="1:39" ht="15.75" customHeight="1" x14ac:dyDescent="0.25">
      <c r="A261" s="19" t="str">
        <f>IF('Step 6 - Purchasing'!B8="","","Active")</f>
        <v/>
      </c>
      <c r="B261" s="20" t="str">
        <f>IF('Step 6 - Purchasing'!B8="","",'Step 6 - Purchasing'!B8)</f>
        <v/>
      </c>
      <c r="C261" s="20" t="str">
        <f>IF('Step 6 - Purchasing'!B8="","",'Step 6 - Purchasing'!B8)</f>
        <v/>
      </c>
      <c r="D261" s="19" t="str">
        <f>IF('Step 6 - Purchasing'!B8="","",'Step 6 - Purchasing'!F8)</f>
        <v/>
      </c>
      <c r="E261" s="19" t="str">
        <f>IF('Step 6 - Purchasing'!B8="","",'Step 6 - Purchasing'!G8)</f>
        <v/>
      </c>
      <c r="F261" s="20" t="str">
        <f>IF('Step 6 - Purchasing'!B8="","",IF('Step 6 - Purchasing'!C8="","","Fund Code"))</f>
        <v/>
      </c>
      <c r="G261" s="19" t="str">
        <f>IF('Step 6 - Purchasing'!B8="","",IF('Step 6 - Purchasing'!C8="","","Equals"))</f>
        <v/>
      </c>
      <c r="H261" s="20" t="str">
        <f>IF('Step 6 - Purchasing'!B8="","",IF('Step 6 - Purchasing'!C8="","",'Step 6 - Purchasing'!C8))</f>
        <v/>
      </c>
      <c r="I261" s="20" t="str">
        <f>IF('Step 6 - Purchasing'!B8="","","Organization Code")</f>
        <v/>
      </c>
      <c r="J261" s="19" t="str">
        <f>IF('Step 6 - Purchasing'!B8="","","Equals")</f>
        <v/>
      </c>
      <c r="K261" s="20" t="str">
        <f>IF('Step 6 - Purchasing'!B8="","",'Step 6 - Purchasing'!D8)</f>
        <v/>
      </c>
      <c r="L261" s="20" t="str">
        <f>IF('Step 6 - Purchasing'!B8="","","Other Criteria")</f>
        <v/>
      </c>
      <c r="M261" s="19" t="str">
        <f>IF('Step 6 - Purchasing'!B8="","","Equals")</f>
        <v/>
      </c>
      <c r="N261" s="20" t="str">
        <f>IF('Step 6 - Purchasing'!B8="","",'Step 6 - Purchasing'!E8)</f>
        <v/>
      </c>
      <c r="O261" s="20" t="str">
        <f>""</f>
        <v/>
      </c>
      <c r="P261" s="20" t="str">
        <f>""</f>
        <v/>
      </c>
      <c r="Q261" s="20" t="str">
        <f>""</f>
        <v/>
      </c>
      <c r="R261" s="20" t="str">
        <f>""</f>
        <v/>
      </c>
      <c r="S261" s="20" t="str">
        <f>""</f>
        <v/>
      </c>
      <c r="T261" s="20" t="str">
        <f>""</f>
        <v/>
      </c>
      <c r="U261" s="20" t="str">
        <f>IF('Step 6 - Purchasing'!B8="","",'Step 6 - Purchasing'!H8)</f>
        <v/>
      </c>
      <c r="V261" s="19" t="str">
        <f>IF('Step 6 - Purchasing'!B8="","",'Step 6 - Purchasing'!J8)</f>
        <v/>
      </c>
      <c r="W261" s="20" t="str">
        <f>IF('Step 6 - Purchasing'!B8="","",'Step 6 - Purchasing'!K8)</f>
        <v/>
      </c>
      <c r="X261" s="19" t="str">
        <f>IF('Step 6 - Purchasing'!B8="","",'Step 6 - Purchasing'!M8)</f>
        <v/>
      </c>
      <c r="Y261" s="20" t="str">
        <f>""</f>
        <v/>
      </c>
      <c r="Z261" s="20" t="str">
        <f>""</f>
        <v/>
      </c>
      <c r="AA261" s="20" t="str">
        <f>""</f>
        <v/>
      </c>
      <c r="AB261" s="20" t="str">
        <f>""</f>
        <v/>
      </c>
      <c r="AC261" s="20" t="str">
        <f>""</f>
        <v/>
      </c>
      <c r="AD261" s="20" t="str">
        <f>""</f>
        <v/>
      </c>
      <c r="AE261" s="20" t="str">
        <f>""</f>
        <v/>
      </c>
      <c r="AF261" s="20" t="str">
        <f>""</f>
        <v/>
      </c>
      <c r="AG261" s="20" t="str">
        <f>""</f>
        <v/>
      </c>
      <c r="AH261" s="20" t="str">
        <f>""</f>
        <v/>
      </c>
      <c r="AI261" s="20" t="str">
        <f>""</f>
        <v/>
      </c>
      <c r="AJ261" s="20" t="str">
        <f>""</f>
        <v/>
      </c>
      <c r="AK261" s="20" t="str">
        <f>""</f>
        <v/>
      </c>
      <c r="AL261" s="20" t="str">
        <f>""</f>
        <v/>
      </c>
      <c r="AM261" s="20" t="str">
        <f>""</f>
        <v/>
      </c>
    </row>
    <row r="262" spans="1:39" ht="15.75" customHeight="1" x14ac:dyDescent="0.25">
      <c r="A262" s="17" t="str">
        <f>IF('Step 6 - Purchasing'!B9="","","Active")</f>
        <v/>
      </c>
      <c r="B262" s="18" t="str">
        <f>IF('Step 6 - Purchasing'!B9="","",'Step 6 - Purchasing'!B9)</f>
        <v/>
      </c>
      <c r="C262" s="18" t="str">
        <f>IF('Step 6 - Purchasing'!B9="","",'Step 6 - Purchasing'!B9)</f>
        <v/>
      </c>
      <c r="D262" s="17" t="str">
        <f>IF('Step 6 - Purchasing'!B9="","",'Step 6 - Purchasing'!F9)</f>
        <v/>
      </c>
      <c r="E262" s="17" t="str">
        <f>IF('Step 6 - Purchasing'!B9="","",'Step 6 - Purchasing'!G9)</f>
        <v/>
      </c>
      <c r="F262" s="18" t="str">
        <f>IF('Step 6 - Purchasing'!B9="","",IF('Step 6 - Purchasing'!C9="","","Fund Code"))</f>
        <v/>
      </c>
      <c r="G262" s="17" t="str">
        <f>IF('Step 6 - Purchasing'!B9="","",IF('Step 6 - Purchasing'!C9="","","Equals"))</f>
        <v/>
      </c>
      <c r="H262" s="18" t="str">
        <f>IF('Step 6 - Purchasing'!B9="","",IF('Step 6 - Purchasing'!C9="","",'Step 6 - Purchasing'!C9))</f>
        <v/>
      </c>
      <c r="I262" s="18" t="str">
        <f>IF('Step 6 - Purchasing'!B9="","","Organization Code")</f>
        <v/>
      </c>
      <c r="J262" s="17" t="str">
        <f>IF('Step 6 - Purchasing'!B9="","","Equals")</f>
        <v/>
      </c>
      <c r="K262" s="18" t="str">
        <f>IF('Step 6 - Purchasing'!B9="","",'Step 6 - Purchasing'!D9)</f>
        <v/>
      </c>
      <c r="L262" s="18" t="str">
        <f>IF('Step 6 - Purchasing'!B9="","","Other Criteria")</f>
        <v/>
      </c>
      <c r="M262" s="17" t="str">
        <f>IF('Step 6 - Purchasing'!B9="","","Equals")</f>
        <v/>
      </c>
      <c r="N262" s="18" t="str">
        <f>IF('Step 6 - Purchasing'!B9="","",'Step 6 - Purchasing'!E9)</f>
        <v/>
      </c>
      <c r="O262" s="18" t="str">
        <f>""</f>
        <v/>
      </c>
      <c r="P262" s="18" t="str">
        <f>""</f>
        <v/>
      </c>
      <c r="Q262" s="18" t="str">
        <f>""</f>
        <v/>
      </c>
      <c r="R262" s="18" t="str">
        <f>""</f>
        <v/>
      </c>
      <c r="S262" s="18" t="str">
        <f>""</f>
        <v/>
      </c>
      <c r="T262" s="18" t="str">
        <f>""</f>
        <v/>
      </c>
      <c r="U262" s="18" t="str">
        <f>IF('Step 6 - Purchasing'!B9="","",'Step 6 - Purchasing'!H9)</f>
        <v/>
      </c>
      <c r="V262" s="17" t="str">
        <f>IF('Step 6 - Purchasing'!B9="","",'Step 6 - Purchasing'!J9)</f>
        <v/>
      </c>
      <c r="W262" s="18" t="str">
        <f>IF('Step 6 - Purchasing'!B9="","",'Step 6 - Purchasing'!K9)</f>
        <v/>
      </c>
      <c r="X262" s="17" t="str">
        <f>IF('Step 6 - Purchasing'!B9="","",'Step 6 - Purchasing'!M9)</f>
        <v/>
      </c>
      <c r="Y262" s="18" t="str">
        <f>""</f>
        <v/>
      </c>
      <c r="Z262" s="18" t="str">
        <f>""</f>
        <v/>
      </c>
      <c r="AA262" s="18" t="str">
        <f>""</f>
        <v/>
      </c>
      <c r="AB262" s="18" t="str">
        <f>""</f>
        <v/>
      </c>
      <c r="AC262" s="18" t="str">
        <f>""</f>
        <v/>
      </c>
      <c r="AD262" s="18" t="str">
        <f>""</f>
        <v/>
      </c>
      <c r="AE262" s="18" t="str">
        <f>""</f>
        <v/>
      </c>
      <c r="AF262" s="18" t="str">
        <f>""</f>
        <v/>
      </c>
      <c r="AG262" s="18" t="str">
        <f>""</f>
        <v/>
      </c>
      <c r="AH262" s="18" t="str">
        <f>""</f>
        <v/>
      </c>
      <c r="AI262" s="18" t="str">
        <f>""</f>
        <v/>
      </c>
      <c r="AJ262" s="18" t="str">
        <f>""</f>
        <v/>
      </c>
      <c r="AK262" s="18" t="str">
        <f>""</f>
        <v/>
      </c>
      <c r="AL262" s="18" t="str">
        <f>""</f>
        <v/>
      </c>
      <c r="AM262" s="18" t="str">
        <f>""</f>
        <v/>
      </c>
    </row>
    <row r="263" spans="1:39" ht="15.75" customHeight="1" x14ac:dyDescent="0.25">
      <c r="A263" s="19" t="str">
        <f>IF('Step 6 - Purchasing'!B10="","","Active")</f>
        <v/>
      </c>
      <c r="B263" s="20" t="str">
        <f>IF('Step 6 - Purchasing'!B10="","",'Step 6 - Purchasing'!B10)</f>
        <v/>
      </c>
      <c r="C263" s="20" t="str">
        <f>IF('Step 6 - Purchasing'!B10="","",'Step 6 - Purchasing'!B10)</f>
        <v/>
      </c>
      <c r="D263" s="19" t="str">
        <f>IF('Step 6 - Purchasing'!B10="","",'Step 6 - Purchasing'!F10)</f>
        <v/>
      </c>
      <c r="E263" s="19" t="str">
        <f>IF('Step 6 - Purchasing'!B10="","",'Step 6 - Purchasing'!G10)</f>
        <v/>
      </c>
      <c r="F263" s="20" t="str">
        <f>IF('Step 6 - Purchasing'!B10="","",IF('Step 6 - Purchasing'!C10="","","Fund Code"))</f>
        <v/>
      </c>
      <c r="G263" s="19" t="str">
        <f>IF('Step 6 - Purchasing'!B10="","",IF('Step 6 - Purchasing'!C10="","","Equals"))</f>
        <v/>
      </c>
      <c r="H263" s="20" t="str">
        <f>IF('Step 6 - Purchasing'!B10="","",IF('Step 6 - Purchasing'!C10="","",'Step 6 - Purchasing'!C10))</f>
        <v/>
      </c>
      <c r="I263" s="20" t="str">
        <f>IF('Step 6 - Purchasing'!B10="","","Organization Code")</f>
        <v/>
      </c>
      <c r="J263" s="19" t="str">
        <f>IF('Step 6 - Purchasing'!B10="","","Equals")</f>
        <v/>
      </c>
      <c r="K263" s="20" t="str">
        <f>IF('Step 6 - Purchasing'!B10="","",'Step 6 - Purchasing'!D10)</f>
        <v/>
      </c>
      <c r="L263" s="20" t="str">
        <f>IF('Step 6 - Purchasing'!B10="","","Other Criteria")</f>
        <v/>
      </c>
      <c r="M263" s="19" t="str">
        <f>IF('Step 6 - Purchasing'!B10="","","Equals")</f>
        <v/>
      </c>
      <c r="N263" s="20" t="str">
        <f>IF('Step 6 - Purchasing'!B10="","",'Step 6 - Purchasing'!E10)</f>
        <v/>
      </c>
      <c r="O263" s="20" t="str">
        <f>""</f>
        <v/>
      </c>
      <c r="P263" s="20" t="str">
        <f>""</f>
        <v/>
      </c>
      <c r="Q263" s="20" t="str">
        <f>""</f>
        <v/>
      </c>
      <c r="R263" s="20" t="str">
        <f>""</f>
        <v/>
      </c>
      <c r="S263" s="20" t="str">
        <f>""</f>
        <v/>
      </c>
      <c r="T263" s="20" t="str">
        <f>""</f>
        <v/>
      </c>
      <c r="U263" s="20" t="str">
        <f>IF('Step 6 - Purchasing'!B10="","",'Step 6 - Purchasing'!H10)</f>
        <v/>
      </c>
      <c r="V263" s="19" t="str">
        <f>IF('Step 6 - Purchasing'!B10="","",'Step 6 - Purchasing'!J10)</f>
        <v/>
      </c>
      <c r="W263" s="20" t="str">
        <f>IF('Step 6 - Purchasing'!B10="","",'Step 6 - Purchasing'!K10)</f>
        <v/>
      </c>
      <c r="X263" s="19" t="str">
        <f>IF('Step 6 - Purchasing'!B10="","",'Step 6 - Purchasing'!M10)</f>
        <v/>
      </c>
      <c r="Y263" s="20" t="str">
        <f>""</f>
        <v/>
      </c>
      <c r="Z263" s="20" t="str">
        <f>""</f>
        <v/>
      </c>
      <c r="AA263" s="20" t="str">
        <f>""</f>
        <v/>
      </c>
      <c r="AB263" s="20" t="str">
        <f>""</f>
        <v/>
      </c>
      <c r="AC263" s="20" t="str">
        <f>""</f>
        <v/>
      </c>
      <c r="AD263" s="20" t="str">
        <f>""</f>
        <v/>
      </c>
      <c r="AE263" s="20" t="str">
        <f>""</f>
        <v/>
      </c>
      <c r="AF263" s="20" t="str">
        <f>""</f>
        <v/>
      </c>
      <c r="AG263" s="20" t="str">
        <f>""</f>
        <v/>
      </c>
      <c r="AH263" s="20" t="str">
        <f>""</f>
        <v/>
      </c>
      <c r="AI263" s="20" t="str">
        <f>""</f>
        <v/>
      </c>
      <c r="AJ263" s="20" t="str">
        <f>""</f>
        <v/>
      </c>
      <c r="AK263" s="20" t="str">
        <f>""</f>
        <v/>
      </c>
      <c r="AL263" s="20" t="str">
        <f>""</f>
        <v/>
      </c>
      <c r="AM263" s="20" t="str">
        <f>""</f>
        <v/>
      </c>
    </row>
    <row r="264" spans="1:39" ht="15.75" customHeight="1" x14ac:dyDescent="0.25">
      <c r="A264" s="17" t="str">
        <f>IF('Step 6 - Purchasing'!B11="","","Active")</f>
        <v/>
      </c>
      <c r="B264" s="18" t="str">
        <f>IF('Step 6 - Purchasing'!B11="","",'Step 6 - Purchasing'!B11)</f>
        <v/>
      </c>
      <c r="C264" s="18" t="str">
        <f>IF('Step 6 - Purchasing'!B11="","",'Step 6 - Purchasing'!B11)</f>
        <v/>
      </c>
      <c r="D264" s="17" t="str">
        <f>IF('Step 6 - Purchasing'!B11="","",'Step 6 - Purchasing'!F11)</f>
        <v/>
      </c>
      <c r="E264" s="17" t="str">
        <f>IF('Step 6 - Purchasing'!B11="","",'Step 6 - Purchasing'!G11)</f>
        <v/>
      </c>
      <c r="F264" s="18" t="str">
        <f>IF('Step 6 - Purchasing'!B11="","",IF('Step 6 - Purchasing'!C11="","","Fund Code"))</f>
        <v/>
      </c>
      <c r="G264" s="17" t="str">
        <f>IF('Step 6 - Purchasing'!B11="","",IF('Step 6 - Purchasing'!C11="","","Equals"))</f>
        <v/>
      </c>
      <c r="H264" s="18" t="str">
        <f>IF('Step 6 - Purchasing'!B11="","",IF('Step 6 - Purchasing'!C11="","",'Step 6 - Purchasing'!C11))</f>
        <v/>
      </c>
      <c r="I264" s="18" t="str">
        <f>IF('Step 6 - Purchasing'!B11="","","Organization Code")</f>
        <v/>
      </c>
      <c r="J264" s="17" t="str">
        <f>IF('Step 6 - Purchasing'!B11="","","Equals")</f>
        <v/>
      </c>
      <c r="K264" s="18" t="str">
        <f>IF('Step 6 - Purchasing'!B11="","",'Step 6 - Purchasing'!D11)</f>
        <v/>
      </c>
      <c r="L264" s="18" t="str">
        <f>IF('Step 6 - Purchasing'!B11="","","Other Criteria")</f>
        <v/>
      </c>
      <c r="M264" s="17" t="str">
        <f>IF('Step 6 - Purchasing'!B11="","","Equals")</f>
        <v/>
      </c>
      <c r="N264" s="18" t="str">
        <f>IF('Step 6 - Purchasing'!B11="","",'Step 6 - Purchasing'!E11)</f>
        <v/>
      </c>
      <c r="O264" s="18" t="str">
        <f>""</f>
        <v/>
      </c>
      <c r="P264" s="18" t="str">
        <f>""</f>
        <v/>
      </c>
      <c r="Q264" s="18" t="str">
        <f>""</f>
        <v/>
      </c>
      <c r="R264" s="18" t="str">
        <f>""</f>
        <v/>
      </c>
      <c r="S264" s="18" t="str">
        <f>""</f>
        <v/>
      </c>
      <c r="T264" s="18" t="str">
        <f>""</f>
        <v/>
      </c>
      <c r="U264" s="18" t="str">
        <f>IF('Step 6 - Purchasing'!B11="","",'Step 6 - Purchasing'!H11)</f>
        <v/>
      </c>
      <c r="V264" s="17" t="str">
        <f>IF('Step 6 - Purchasing'!B11="","",'Step 6 - Purchasing'!J11)</f>
        <v/>
      </c>
      <c r="W264" s="18" t="str">
        <f>IF('Step 6 - Purchasing'!B11="","",'Step 6 - Purchasing'!K11)</f>
        <v/>
      </c>
      <c r="X264" s="17" t="str">
        <f>IF('Step 6 - Purchasing'!B11="","",'Step 6 - Purchasing'!M11)</f>
        <v/>
      </c>
      <c r="Y264" s="18" t="str">
        <f>""</f>
        <v/>
      </c>
      <c r="Z264" s="18" t="str">
        <f>""</f>
        <v/>
      </c>
      <c r="AA264" s="18" t="str">
        <f>""</f>
        <v/>
      </c>
      <c r="AB264" s="18" t="str">
        <f>""</f>
        <v/>
      </c>
      <c r="AC264" s="18" t="str">
        <f>""</f>
        <v/>
      </c>
      <c r="AD264" s="18" t="str">
        <f>""</f>
        <v/>
      </c>
      <c r="AE264" s="18" t="str">
        <f>""</f>
        <v/>
      </c>
      <c r="AF264" s="18" t="str">
        <f>""</f>
        <v/>
      </c>
      <c r="AG264" s="18" t="str">
        <f>""</f>
        <v/>
      </c>
      <c r="AH264" s="18" t="str">
        <f>""</f>
        <v/>
      </c>
      <c r="AI264" s="18" t="str">
        <f>""</f>
        <v/>
      </c>
      <c r="AJ264" s="18" t="str">
        <f>""</f>
        <v/>
      </c>
      <c r="AK264" s="18" t="str">
        <f>""</f>
        <v/>
      </c>
      <c r="AL264" s="18" t="str">
        <f>""</f>
        <v/>
      </c>
      <c r="AM264" s="18" t="str">
        <f>""</f>
        <v/>
      </c>
    </row>
    <row r="265" spans="1:39" ht="15.75" customHeight="1" x14ac:dyDescent="0.25">
      <c r="A265" s="19" t="str">
        <f>IF('Step 6 - Purchasing'!B12="","","Active")</f>
        <v/>
      </c>
      <c r="B265" s="20" t="str">
        <f>IF('Step 6 - Purchasing'!B12="","",'Step 6 - Purchasing'!B12)</f>
        <v/>
      </c>
      <c r="C265" s="20" t="str">
        <f>IF('Step 6 - Purchasing'!B12="","",'Step 6 - Purchasing'!B12)</f>
        <v/>
      </c>
      <c r="D265" s="19" t="str">
        <f>IF('Step 6 - Purchasing'!B12="","",'Step 6 - Purchasing'!F12)</f>
        <v/>
      </c>
      <c r="E265" s="19" t="str">
        <f>IF('Step 6 - Purchasing'!B12="","",'Step 6 - Purchasing'!G12)</f>
        <v/>
      </c>
      <c r="F265" s="20" t="str">
        <f>IF('Step 6 - Purchasing'!B12="","",IF('Step 6 - Purchasing'!C12="","","Fund Code"))</f>
        <v/>
      </c>
      <c r="G265" s="19" t="str">
        <f>IF('Step 6 - Purchasing'!B12="","",IF('Step 6 - Purchasing'!C12="","","Equals"))</f>
        <v/>
      </c>
      <c r="H265" s="20" t="str">
        <f>IF('Step 6 - Purchasing'!B12="","",IF('Step 6 - Purchasing'!C12="","",'Step 6 - Purchasing'!C12))</f>
        <v/>
      </c>
      <c r="I265" s="20" t="str">
        <f>IF('Step 6 - Purchasing'!B12="","","Organization Code")</f>
        <v/>
      </c>
      <c r="J265" s="19" t="str">
        <f>IF('Step 6 - Purchasing'!B12="","","Equals")</f>
        <v/>
      </c>
      <c r="K265" s="20" t="str">
        <f>IF('Step 6 - Purchasing'!B12="","",'Step 6 - Purchasing'!D12)</f>
        <v/>
      </c>
      <c r="L265" s="20" t="str">
        <f>IF('Step 6 - Purchasing'!B12="","","Other Criteria")</f>
        <v/>
      </c>
      <c r="M265" s="19" t="str">
        <f>IF('Step 6 - Purchasing'!B12="","","Equals")</f>
        <v/>
      </c>
      <c r="N265" s="20" t="str">
        <f>IF('Step 6 - Purchasing'!B12="","",'Step 6 - Purchasing'!E12)</f>
        <v/>
      </c>
      <c r="O265" s="20" t="str">
        <f>""</f>
        <v/>
      </c>
      <c r="P265" s="20" t="str">
        <f>""</f>
        <v/>
      </c>
      <c r="Q265" s="20" t="str">
        <f>""</f>
        <v/>
      </c>
      <c r="R265" s="20" t="str">
        <f>""</f>
        <v/>
      </c>
      <c r="S265" s="20" t="str">
        <f>""</f>
        <v/>
      </c>
      <c r="T265" s="20" t="str">
        <f>""</f>
        <v/>
      </c>
      <c r="U265" s="20" t="str">
        <f>IF('Step 6 - Purchasing'!B12="","",'Step 6 - Purchasing'!H12)</f>
        <v/>
      </c>
      <c r="V265" s="19" t="str">
        <f>IF('Step 6 - Purchasing'!B12="","",'Step 6 - Purchasing'!J12)</f>
        <v/>
      </c>
      <c r="W265" s="20" t="str">
        <f>IF('Step 6 - Purchasing'!B12="","",'Step 6 - Purchasing'!K12)</f>
        <v/>
      </c>
      <c r="X265" s="19" t="str">
        <f>IF('Step 6 - Purchasing'!B12="","",'Step 6 - Purchasing'!M12)</f>
        <v/>
      </c>
      <c r="Y265" s="20" t="str">
        <f>""</f>
        <v/>
      </c>
      <c r="Z265" s="20" t="str">
        <f>""</f>
        <v/>
      </c>
      <c r="AA265" s="20" t="str">
        <f>""</f>
        <v/>
      </c>
      <c r="AB265" s="20" t="str">
        <f>""</f>
        <v/>
      </c>
      <c r="AC265" s="20" t="str">
        <f>""</f>
        <v/>
      </c>
      <c r="AD265" s="20" t="str">
        <f>""</f>
        <v/>
      </c>
      <c r="AE265" s="20" t="str">
        <f>""</f>
        <v/>
      </c>
      <c r="AF265" s="20" t="str">
        <f>""</f>
        <v/>
      </c>
      <c r="AG265" s="20" t="str">
        <f>""</f>
        <v/>
      </c>
      <c r="AH265" s="20" t="str">
        <f>""</f>
        <v/>
      </c>
      <c r="AI265" s="20" t="str">
        <f>""</f>
        <v/>
      </c>
      <c r="AJ265" s="20" t="str">
        <f>""</f>
        <v/>
      </c>
      <c r="AK265" s="20" t="str">
        <f>""</f>
        <v/>
      </c>
      <c r="AL265" s="20" t="str">
        <f>""</f>
        <v/>
      </c>
      <c r="AM265" s="20" t="str">
        <f>""</f>
        <v/>
      </c>
    </row>
    <row r="266" spans="1:39" ht="15.75" customHeight="1" x14ac:dyDescent="0.25">
      <c r="A266" s="17" t="str">
        <f>IF('Step 6 - Purchasing'!B13="","","Active")</f>
        <v/>
      </c>
      <c r="B266" s="18" t="str">
        <f>IF('Step 6 - Purchasing'!B13="","",'Step 6 - Purchasing'!B13)</f>
        <v/>
      </c>
      <c r="C266" s="18" t="str">
        <f>IF('Step 6 - Purchasing'!B13="","",'Step 6 - Purchasing'!B13)</f>
        <v/>
      </c>
      <c r="D266" s="17" t="str">
        <f>IF('Step 6 - Purchasing'!B13="","",'Step 6 - Purchasing'!F13)</f>
        <v/>
      </c>
      <c r="E266" s="17" t="str">
        <f>IF('Step 6 - Purchasing'!B13="","",'Step 6 - Purchasing'!G13)</f>
        <v/>
      </c>
      <c r="F266" s="18" t="str">
        <f>IF('Step 6 - Purchasing'!B13="","",IF('Step 6 - Purchasing'!C13="","","Fund Code"))</f>
        <v/>
      </c>
      <c r="G266" s="17" t="str">
        <f>IF('Step 6 - Purchasing'!B13="","",IF('Step 6 - Purchasing'!C13="","","Equals"))</f>
        <v/>
      </c>
      <c r="H266" s="18" t="str">
        <f>IF('Step 6 - Purchasing'!B13="","",IF('Step 6 - Purchasing'!C13="","",'Step 6 - Purchasing'!C13))</f>
        <v/>
      </c>
      <c r="I266" s="18" t="str">
        <f>IF('Step 6 - Purchasing'!B13="","","Organization Code")</f>
        <v/>
      </c>
      <c r="J266" s="17" t="str">
        <f>IF('Step 6 - Purchasing'!B13="","","Equals")</f>
        <v/>
      </c>
      <c r="K266" s="18" t="str">
        <f>IF('Step 6 - Purchasing'!B13="","",'Step 6 - Purchasing'!D13)</f>
        <v/>
      </c>
      <c r="L266" s="18" t="str">
        <f>IF('Step 6 - Purchasing'!B13="","","Other Criteria")</f>
        <v/>
      </c>
      <c r="M266" s="17" t="str">
        <f>IF('Step 6 - Purchasing'!B13="","","Equals")</f>
        <v/>
      </c>
      <c r="N266" s="18" t="str">
        <f>IF('Step 6 - Purchasing'!B13="","",'Step 6 - Purchasing'!E13)</f>
        <v/>
      </c>
      <c r="O266" s="18" t="str">
        <f>""</f>
        <v/>
      </c>
      <c r="P266" s="18" t="str">
        <f>""</f>
        <v/>
      </c>
      <c r="Q266" s="18" t="str">
        <f>""</f>
        <v/>
      </c>
      <c r="R266" s="18" t="str">
        <f>""</f>
        <v/>
      </c>
      <c r="S266" s="18" t="str">
        <f>""</f>
        <v/>
      </c>
      <c r="T266" s="18" t="str">
        <f>""</f>
        <v/>
      </c>
      <c r="U266" s="18" t="str">
        <f>IF('Step 6 - Purchasing'!B13="","",'Step 6 - Purchasing'!H13)</f>
        <v/>
      </c>
      <c r="V266" s="17" t="str">
        <f>IF('Step 6 - Purchasing'!B13="","",'Step 6 - Purchasing'!J13)</f>
        <v/>
      </c>
      <c r="W266" s="18" t="str">
        <f>IF('Step 6 - Purchasing'!B13="","",'Step 6 - Purchasing'!K13)</f>
        <v/>
      </c>
      <c r="X266" s="17" t="str">
        <f>IF('Step 6 - Purchasing'!B13="","",'Step 6 - Purchasing'!M13)</f>
        <v/>
      </c>
      <c r="Y266" s="18" t="str">
        <f>""</f>
        <v/>
      </c>
      <c r="Z266" s="18" t="str">
        <f>""</f>
        <v/>
      </c>
      <c r="AA266" s="18" t="str">
        <f>""</f>
        <v/>
      </c>
      <c r="AB266" s="18" t="str">
        <f>""</f>
        <v/>
      </c>
      <c r="AC266" s="18" t="str">
        <f>""</f>
        <v/>
      </c>
      <c r="AD266" s="18" t="str">
        <f>""</f>
        <v/>
      </c>
      <c r="AE266" s="18" t="str">
        <f>""</f>
        <v/>
      </c>
      <c r="AF266" s="18" t="str">
        <f>""</f>
        <v/>
      </c>
      <c r="AG266" s="18" t="str">
        <f>""</f>
        <v/>
      </c>
      <c r="AH266" s="18" t="str">
        <f>""</f>
        <v/>
      </c>
      <c r="AI266" s="18" t="str">
        <f>""</f>
        <v/>
      </c>
      <c r="AJ266" s="18" t="str">
        <f>""</f>
        <v/>
      </c>
      <c r="AK266" s="18" t="str">
        <f>""</f>
        <v/>
      </c>
      <c r="AL266" s="18" t="str">
        <f>""</f>
        <v/>
      </c>
      <c r="AM266" s="18" t="str">
        <f>""</f>
        <v/>
      </c>
    </row>
    <row r="267" spans="1:39" ht="15.75" customHeight="1" x14ac:dyDescent="0.25">
      <c r="A267" s="19" t="str">
        <f>IF('Step 6 - Purchasing'!B14="","","Active")</f>
        <v/>
      </c>
      <c r="B267" s="20" t="str">
        <f>IF('Step 6 - Purchasing'!B14="","",'Step 6 - Purchasing'!B14)</f>
        <v/>
      </c>
      <c r="C267" s="20" t="str">
        <f>IF('Step 6 - Purchasing'!B14="","",'Step 6 - Purchasing'!B14)</f>
        <v/>
      </c>
      <c r="D267" s="19" t="str">
        <f>IF('Step 6 - Purchasing'!B14="","",'Step 6 - Purchasing'!F14)</f>
        <v/>
      </c>
      <c r="E267" s="19" t="str">
        <f>IF('Step 6 - Purchasing'!B14="","",'Step 6 - Purchasing'!G14)</f>
        <v/>
      </c>
      <c r="F267" s="20" t="str">
        <f>IF('Step 6 - Purchasing'!B14="","",IF('Step 6 - Purchasing'!C14="","","Fund Code"))</f>
        <v/>
      </c>
      <c r="G267" s="19" t="str">
        <f>IF('Step 6 - Purchasing'!B14="","",IF('Step 6 - Purchasing'!C14="","","Equals"))</f>
        <v/>
      </c>
      <c r="H267" s="20" t="str">
        <f>IF('Step 6 - Purchasing'!B14="","",IF('Step 6 - Purchasing'!C14="","",'Step 6 - Purchasing'!C14))</f>
        <v/>
      </c>
      <c r="I267" s="20" t="str">
        <f>IF('Step 6 - Purchasing'!B14="","","Organization Code")</f>
        <v/>
      </c>
      <c r="J267" s="19" t="str">
        <f>IF('Step 6 - Purchasing'!B14="","","Equals")</f>
        <v/>
      </c>
      <c r="K267" s="20" t="str">
        <f>IF('Step 6 - Purchasing'!B14="","",'Step 6 - Purchasing'!D14)</f>
        <v/>
      </c>
      <c r="L267" s="20" t="str">
        <f>IF('Step 6 - Purchasing'!B14="","","Other Criteria")</f>
        <v/>
      </c>
      <c r="M267" s="19" t="str">
        <f>IF('Step 6 - Purchasing'!B14="","","Equals")</f>
        <v/>
      </c>
      <c r="N267" s="20" t="str">
        <f>IF('Step 6 - Purchasing'!B14="","",'Step 6 - Purchasing'!E14)</f>
        <v/>
      </c>
      <c r="O267" s="20" t="str">
        <f>""</f>
        <v/>
      </c>
      <c r="P267" s="20" t="str">
        <f>""</f>
        <v/>
      </c>
      <c r="Q267" s="20" t="str">
        <f>""</f>
        <v/>
      </c>
      <c r="R267" s="20" t="str">
        <f>""</f>
        <v/>
      </c>
      <c r="S267" s="20" t="str">
        <f>""</f>
        <v/>
      </c>
      <c r="T267" s="20" t="str">
        <f>""</f>
        <v/>
      </c>
      <c r="U267" s="20" t="str">
        <f>IF('Step 6 - Purchasing'!B14="","",'Step 6 - Purchasing'!H14)</f>
        <v/>
      </c>
      <c r="V267" s="19" t="str">
        <f>IF('Step 6 - Purchasing'!B14="","",'Step 6 - Purchasing'!J14)</f>
        <v/>
      </c>
      <c r="W267" s="20" t="str">
        <f>IF('Step 6 - Purchasing'!B14="","",'Step 6 - Purchasing'!K14)</f>
        <v/>
      </c>
      <c r="X267" s="19" t="str">
        <f>IF('Step 6 - Purchasing'!B14="","",'Step 6 - Purchasing'!M14)</f>
        <v/>
      </c>
      <c r="Y267" s="20" t="str">
        <f>""</f>
        <v/>
      </c>
      <c r="Z267" s="20" t="str">
        <f>""</f>
        <v/>
      </c>
      <c r="AA267" s="20" t="str">
        <f>""</f>
        <v/>
      </c>
      <c r="AB267" s="20" t="str">
        <f>""</f>
        <v/>
      </c>
      <c r="AC267" s="20" t="str">
        <f>""</f>
        <v/>
      </c>
      <c r="AD267" s="20" t="str">
        <f>""</f>
        <v/>
      </c>
      <c r="AE267" s="20" t="str">
        <f>""</f>
        <v/>
      </c>
      <c r="AF267" s="20" t="str">
        <f>""</f>
        <v/>
      </c>
      <c r="AG267" s="20" t="str">
        <f>""</f>
        <v/>
      </c>
      <c r="AH267" s="20" t="str">
        <f>""</f>
        <v/>
      </c>
      <c r="AI267" s="20" t="str">
        <f>""</f>
        <v/>
      </c>
      <c r="AJ267" s="20" t="str">
        <f>""</f>
        <v/>
      </c>
      <c r="AK267" s="20" t="str">
        <f>""</f>
        <v/>
      </c>
      <c r="AL267" s="20" t="str">
        <f>""</f>
        <v/>
      </c>
      <c r="AM267" s="20" t="str">
        <f>""</f>
        <v/>
      </c>
    </row>
    <row r="268" spans="1:39" ht="15.75" customHeight="1" x14ac:dyDescent="0.25">
      <c r="A268" s="17" t="str">
        <f>IF('Step 6 - Purchasing'!B15="","","Active")</f>
        <v/>
      </c>
      <c r="B268" s="18" t="str">
        <f>IF('Step 6 - Purchasing'!B15="","",'Step 6 - Purchasing'!B15)</f>
        <v/>
      </c>
      <c r="C268" s="18" t="str">
        <f>IF('Step 6 - Purchasing'!B15="","",'Step 6 - Purchasing'!B15)</f>
        <v/>
      </c>
      <c r="D268" s="17" t="str">
        <f>IF('Step 6 - Purchasing'!B15="","",'Step 6 - Purchasing'!F15)</f>
        <v/>
      </c>
      <c r="E268" s="17" t="str">
        <f>IF('Step 6 - Purchasing'!B15="","",'Step 6 - Purchasing'!G15)</f>
        <v/>
      </c>
      <c r="F268" s="18" t="str">
        <f>IF('Step 6 - Purchasing'!B15="","",IF('Step 6 - Purchasing'!C15="","","Fund Code"))</f>
        <v/>
      </c>
      <c r="G268" s="17" t="str">
        <f>IF('Step 6 - Purchasing'!B15="","",IF('Step 6 - Purchasing'!C15="","","Equals"))</f>
        <v/>
      </c>
      <c r="H268" s="18" t="str">
        <f>IF('Step 6 - Purchasing'!B15="","",IF('Step 6 - Purchasing'!C15="","",'Step 6 - Purchasing'!C15))</f>
        <v/>
      </c>
      <c r="I268" s="18" t="str">
        <f>IF('Step 6 - Purchasing'!B15="","","Organization Code")</f>
        <v/>
      </c>
      <c r="J268" s="17" t="str">
        <f>IF('Step 6 - Purchasing'!B15="","","Equals")</f>
        <v/>
      </c>
      <c r="K268" s="18" t="str">
        <f>IF('Step 6 - Purchasing'!B15="","",'Step 6 - Purchasing'!D15)</f>
        <v/>
      </c>
      <c r="L268" s="18" t="str">
        <f>IF('Step 6 - Purchasing'!B15="","","Other Criteria")</f>
        <v/>
      </c>
      <c r="M268" s="17" t="str">
        <f>IF('Step 6 - Purchasing'!B15="","","Equals")</f>
        <v/>
      </c>
      <c r="N268" s="18" t="str">
        <f>IF('Step 6 - Purchasing'!B15="","",'Step 6 - Purchasing'!E15)</f>
        <v/>
      </c>
      <c r="O268" s="18" t="str">
        <f>""</f>
        <v/>
      </c>
      <c r="P268" s="18" t="str">
        <f>""</f>
        <v/>
      </c>
      <c r="Q268" s="18" t="str">
        <f>""</f>
        <v/>
      </c>
      <c r="R268" s="18" t="str">
        <f>""</f>
        <v/>
      </c>
      <c r="S268" s="18" t="str">
        <f>""</f>
        <v/>
      </c>
      <c r="T268" s="18" t="str">
        <f>""</f>
        <v/>
      </c>
      <c r="U268" s="18" t="str">
        <f>IF('Step 6 - Purchasing'!B15="","",'Step 6 - Purchasing'!H15)</f>
        <v/>
      </c>
      <c r="V268" s="17" t="str">
        <f>IF('Step 6 - Purchasing'!B15="","",'Step 6 - Purchasing'!J15)</f>
        <v/>
      </c>
      <c r="W268" s="18" t="str">
        <f>IF('Step 6 - Purchasing'!B15="","",'Step 6 - Purchasing'!K15)</f>
        <v/>
      </c>
      <c r="X268" s="17" t="str">
        <f>IF('Step 6 - Purchasing'!B15="","",'Step 6 - Purchasing'!M15)</f>
        <v/>
      </c>
      <c r="Y268" s="18" t="str">
        <f>""</f>
        <v/>
      </c>
      <c r="Z268" s="18" t="str">
        <f>""</f>
        <v/>
      </c>
      <c r="AA268" s="18" t="str">
        <f>""</f>
        <v/>
      </c>
      <c r="AB268" s="18" t="str">
        <f>""</f>
        <v/>
      </c>
      <c r="AC268" s="18" t="str">
        <f>""</f>
        <v/>
      </c>
      <c r="AD268" s="18" t="str">
        <f>""</f>
        <v/>
      </c>
      <c r="AE268" s="18" t="str">
        <f>""</f>
        <v/>
      </c>
      <c r="AF268" s="18" t="str">
        <f>""</f>
        <v/>
      </c>
      <c r="AG268" s="18" t="str">
        <f>""</f>
        <v/>
      </c>
      <c r="AH268" s="18" t="str">
        <f>""</f>
        <v/>
      </c>
      <c r="AI268" s="18" t="str">
        <f>""</f>
        <v/>
      </c>
      <c r="AJ268" s="18" t="str">
        <f>""</f>
        <v/>
      </c>
      <c r="AK268" s="18" t="str">
        <f>""</f>
        <v/>
      </c>
      <c r="AL268" s="18" t="str">
        <f>""</f>
        <v/>
      </c>
      <c r="AM268" s="18" t="str">
        <f>""</f>
        <v/>
      </c>
    </row>
    <row r="269" spans="1:39" ht="15.75" customHeight="1" x14ac:dyDescent="0.25">
      <c r="A269" s="19" t="str">
        <f>IF('Step 6 - Purchasing'!B16="","","Active")</f>
        <v/>
      </c>
      <c r="B269" s="20" t="str">
        <f>IF('Step 6 - Purchasing'!B16="","",'Step 6 - Purchasing'!B16)</f>
        <v/>
      </c>
      <c r="C269" s="20" t="str">
        <f>IF('Step 6 - Purchasing'!B16="","",'Step 6 - Purchasing'!B16)</f>
        <v/>
      </c>
      <c r="D269" s="19" t="str">
        <f>IF('Step 6 - Purchasing'!B16="","",'Step 6 - Purchasing'!F16)</f>
        <v/>
      </c>
      <c r="E269" s="19" t="str">
        <f>IF('Step 6 - Purchasing'!B16="","",'Step 6 - Purchasing'!G16)</f>
        <v/>
      </c>
      <c r="F269" s="20" t="str">
        <f>IF('Step 6 - Purchasing'!B16="","",IF('Step 6 - Purchasing'!C16="","","Fund Code"))</f>
        <v/>
      </c>
      <c r="G269" s="19" t="str">
        <f>IF('Step 6 - Purchasing'!B16="","",IF('Step 6 - Purchasing'!C16="","","Equals"))</f>
        <v/>
      </c>
      <c r="H269" s="20" t="str">
        <f>IF('Step 6 - Purchasing'!B16="","",IF('Step 6 - Purchasing'!C16="","",'Step 6 - Purchasing'!C16))</f>
        <v/>
      </c>
      <c r="I269" s="20" t="str">
        <f>IF('Step 6 - Purchasing'!B16="","","Organization Code")</f>
        <v/>
      </c>
      <c r="J269" s="19" t="str">
        <f>IF('Step 6 - Purchasing'!B16="","","Equals")</f>
        <v/>
      </c>
      <c r="K269" s="20" t="str">
        <f>IF('Step 6 - Purchasing'!B16="","",'Step 6 - Purchasing'!D16)</f>
        <v/>
      </c>
      <c r="L269" s="20" t="str">
        <f>IF('Step 6 - Purchasing'!B16="","","Other Criteria")</f>
        <v/>
      </c>
      <c r="M269" s="19" t="str">
        <f>IF('Step 6 - Purchasing'!B16="","","Equals")</f>
        <v/>
      </c>
      <c r="N269" s="20" t="str">
        <f>IF('Step 6 - Purchasing'!B16="","",'Step 6 - Purchasing'!E16)</f>
        <v/>
      </c>
      <c r="O269" s="20" t="str">
        <f>""</f>
        <v/>
      </c>
      <c r="P269" s="20" t="str">
        <f>""</f>
        <v/>
      </c>
      <c r="Q269" s="20" t="str">
        <f>""</f>
        <v/>
      </c>
      <c r="R269" s="20" t="str">
        <f>""</f>
        <v/>
      </c>
      <c r="S269" s="20" t="str">
        <f>""</f>
        <v/>
      </c>
      <c r="T269" s="20" t="str">
        <f>""</f>
        <v/>
      </c>
      <c r="U269" s="20" t="str">
        <f>IF('Step 6 - Purchasing'!B16="","",'Step 6 - Purchasing'!H16)</f>
        <v/>
      </c>
      <c r="V269" s="19" t="str">
        <f>IF('Step 6 - Purchasing'!B16="","",'Step 6 - Purchasing'!J16)</f>
        <v/>
      </c>
      <c r="W269" s="20" t="str">
        <f>IF('Step 6 - Purchasing'!B16="","",'Step 6 - Purchasing'!K16)</f>
        <v/>
      </c>
      <c r="X269" s="19" t="str">
        <f>IF('Step 6 - Purchasing'!B16="","",'Step 6 - Purchasing'!M16)</f>
        <v/>
      </c>
      <c r="Y269" s="20" t="str">
        <f>""</f>
        <v/>
      </c>
      <c r="Z269" s="20" t="str">
        <f>""</f>
        <v/>
      </c>
      <c r="AA269" s="20" t="str">
        <f>""</f>
        <v/>
      </c>
      <c r="AB269" s="20" t="str">
        <f>""</f>
        <v/>
      </c>
      <c r="AC269" s="20" t="str">
        <f>""</f>
        <v/>
      </c>
      <c r="AD269" s="20" t="str">
        <f>""</f>
        <v/>
      </c>
      <c r="AE269" s="20" t="str">
        <f>""</f>
        <v/>
      </c>
      <c r="AF269" s="20" t="str">
        <f>""</f>
        <v/>
      </c>
      <c r="AG269" s="20" t="str">
        <f>""</f>
        <v/>
      </c>
      <c r="AH269" s="20" t="str">
        <f>""</f>
        <v/>
      </c>
      <c r="AI269" s="20" t="str">
        <f>""</f>
        <v/>
      </c>
      <c r="AJ269" s="20" t="str">
        <f>""</f>
        <v/>
      </c>
      <c r="AK269" s="20" t="str">
        <f>""</f>
        <v/>
      </c>
      <c r="AL269" s="20" t="str">
        <f>""</f>
        <v/>
      </c>
      <c r="AM269" s="20" t="str">
        <f>""</f>
        <v/>
      </c>
    </row>
    <row r="270" spans="1:39" ht="15.75" customHeight="1" x14ac:dyDescent="0.25">
      <c r="A270" s="17" t="str">
        <f>IF('Step 6 - Purchasing'!B17="","","Active")</f>
        <v/>
      </c>
      <c r="B270" s="18" t="str">
        <f>IF('Step 6 - Purchasing'!B17="","",'Step 6 - Purchasing'!B17)</f>
        <v/>
      </c>
      <c r="C270" s="18" t="str">
        <f>IF('Step 6 - Purchasing'!B17="","",'Step 6 - Purchasing'!B17)</f>
        <v/>
      </c>
      <c r="D270" s="17" t="str">
        <f>IF('Step 6 - Purchasing'!B17="","",'Step 6 - Purchasing'!F17)</f>
        <v/>
      </c>
      <c r="E270" s="17" t="str">
        <f>IF('Step 6 - Purchasing'!B17="","",'Step 6 - Purchasing'!G17)</f>
        <v/>
      </c>
      <c r="F270" s="18" t="str">
        <f>IF('Step 6 - Purchasing'!B17="","",IF('Step 6 - Purchasing'!C17="","","Fund Code"))</f>
        <v/>
      </c>
      <c r="G270" s="17" t="str">
        <f>IF('Step 6 - Purchasing'!B17="","",IF('Step 6 - Purchasing'!C17="","","Equals"))</f>
        <v/>
      </c>
      <c r="H270" s="18" t="str">
        <f>IF('Step 6 - Purchasing'!B17="","",IF('Step 6 - Purchasing'!C17="","",'Step 6 - Purchasing'!C17))</f>
        <v/>
      </c>
      <c r="I270" s="18" t="str">
        <f>IF('Step 6 - Purchasing'!B17="","","Organization Code")</f>
        <v/>
      </c>
      <c r="J270" s="17" t="str">
        <f>IF('Step 6 - Purchasing'!B17="","","Equals")</f>
        <v/>
      </c>
      <c r="K270" s="18" t="str">
        <f>IF('Step 6 - Purchasing'!B17="","",'Step 6 - Purchasing'!D17)</f>
        <v/>
      </c>
      <c r="L270" s="18" t="str">
        <f>IF('Step 6 - Purchasing'!B17="","","Other Criteria")</f>
        <v/>
      </c>
      <c r="M270" s="17" t="str">
        <f>IF('Step 6 - Purchasing'!B17="","","Equals")</f>
        <v/>
      </c>
      <c r="N270" s="18" t="str">
        <f>IF('Step 6 - Purchasing'!B17="","",'Step 6 - Purchasing'!E17)</f>
        <v/>
      </c>
      <c r="O270" s="18" t="str">
        <f>""</f>
        <v/>
      </c>
      <c r="P270" s="18" t="str">
        <f>""</f>
        <v/>
      </c>
      <c r="Q270" s="18" t="str">
        <f>""</f>
        <v/>
      </c>
      <c r="R270" s="18" t="str">
        <f>""</f>
        <v/>
      </c>
      <c r="S270" s="18" t="str">
        <f>""</f>
        <v/>
      </c>
      <c r="T270" s="18" t="str">
        <f>""</f>
        <v/>
      </c>
      <c r="U270" s="18" t="str">
        <f>IF('Step 6 - Purchasing'!B17="","",'Step 6 - Purchasing'!H17)</f>
        <v/>
      </c>
      <c r="V270" s="17" t="str">
        <f>IF('Step 6 - Purchasing'!B17="","",'Step 6 - Purchasing'!J17)</f>
        <v/>
      </c>
      <c r="W270" s="18" t="str">
        <f>IF('Step 6 - Purchasing'!B17="","",'Step 6 - Purchasing'!K17)</f>
        <v/>
      </c>
      <c r="X270" s="17" t="str">
        <f>IF('Step 6 - Purchasing'!B17="","",'Step 6 - Purchasing'!M17)</f>
        <v/>
      </c>
      <c r="Y270" s="18" t="str">
        <f>""</f>
        <v/>
      </c>
      <c r="Z270" s="18" t="str">
        <f>""</f>
        <v/>
      </c>
      <c r="AA270" s="18" t="str">
        <f>""</f>
        <v/>
      </c>
      <c r="AB270" s="18" t="str">
        <f>""</f>
        <v/>
      </c>
      <c r="AC270" s="18" t="str">
        <f>""</f>
        <v/>
      </c>
      <c r="AD270" s="18" t="str">
        <f>""</f>
        <v/>
      </c>
      <c r="AE270" s="18" t="str">
        <f>""</f>
        <v/>
      </c>
      <c r="AF270" s="18" t="str">
        <f>""</f>
        <v/>
      </c>
      <c r="AG270" s="18" t="str">
        <f>""</f>
        <v/>
      </c>
      <c r="AH270" s="18" t="str">
        <f>""</f>
        <v/>
      </c>
      <c r="AI270" s="18" t="str">
        <f>""</f>
        <v/>
      </c>
      <c r="AJ270" s="18" t="str">
        <f>""</f>
        <v/>
      </c>
      <c r="AK270" s="18" t="str">
        <f>""</f>
        <v/>
      </c>
      <c r="AL270" s="18" t="str">
        <f>""</f>
        <v/>
      </c>
      <c r="AM270" s="18" t="str">
        <f>""</f>
        <v/>
      </c>
    </row>
    <row r="271" spans="1:39" ht="15.75" customHeight="1" x14ac:dyDescent="0.25">
      <c r="A271" s="19" t="str">
        <f>IF('Step 6 - Purchasing'!B18="","","Active")</f>
        <v/>
      </c>
      <c r="B271" s="20" t="str">
        <f>IF('Step 6 - Purchasing'!B18="","",'Step 6 - Purchasing'!B18)</f>
        <v/>
      </c>
      <c r="C271" s="20" t="str">
        <f>IF('Step 6 - Purchasing'!B18="","",'Step 6 - Purchasing'!B18)</f>
        <v/>
      </c>
      <c r="D271" s="19" t="str">
        <f>IF('Step 6 - Purchasing'!B18="","",'Step 6 - Purchasing'!F18)</f>
        <v/>
      </c>
      <c r="E271" s="19" t="str">
        <f>IF('Step 6 - Purchasing'!B18="","",'Step 6 - Purchasing'!G18)</f>
        <v/>
      </c>
      <c r="F271" s="20" t="str">
        <f>IF('Step 6 - Purchasing'!B18="","",IF('Step 6 - Purchasing'!C18="","","Fund Code"))</f>
        <v/>
      </c>
      <c r="G271" s="19" t="str">
        <f>IF('Step 6 - Purchasing'!B18="","",IF('Step 6 - Purchasing'!C18="","","Equals"))</f>
        <v/>
      </c>
      <c r="H271" s="20" t="str">
        <f>IF('Step 6 - Purchasing'!B18="","",IF('Step 6 - Purchasing'!C18="","",'Step 6 - Purchasing'!C18))</f>
        <v/>
      </c>
      <c r="I271" s="20" t="str">
        <f>IF('Step 6 - Purchasing'!B18="","","Organization Code")</f>
        <v/>
      </c>
      <c r="J271" s="19" t="str">
        <f>IF('Step 6 - Purchasing'!B18="","","Equals")</f>
        <v/>
      </c>
      <c r="K271" s="20" t="str">
        <f>IF('Step 6 - Purchasing'!B18="","",'Step 6 - Purchasing'!D18)</f>
        <v/>
      </c>
      <c r="L271" s="20" t="str">
        <f>IF('Step 6 - Purchasing'!B18="","","Other Criteria")</f>
        <v/>
      </c>
      <c r="M271" s="19" t="str">
        <f>IF('Step 6 - Purchasing'!B18="","","Equals")</f>
        <v/>
      </c>
      <c r="N271" s="20" t="str">
        <f>IF('Step 6 - Purchasing'!B18="","",'Step 6 - Purchasing'!E18)</f>
        <v/>
      </c>
      <c r="O271" s="20" t="str">
        <f>""</f>
        <v/>
      </c>
      <c r="P271" s="20" t="str">
        <f>""</f>
        <v/>
      </c>
      <c r="Q271" s="20" t="str">
        <f>""</f>
        <v/>
      </c>
      <c r="R271" s="20" t="str">
        <f>""</f>
        <v/>
      </c>
      <c r="S271" s="20" t="str">
        <f>""</f>
        <v/>
      </c>
      <c r="T271" s="20" t="str">
        <f>""</f>
        <v/>
      </c>
      <c r="U271" s="20" t="str">
        <f>IF('Step 6 - Purchasing'!B18="","",'Step 6 - Purchasing'!H18)</f>
        <v/>
      </c>
      <c r="V271" s="19" t="str">
        <f>IF('Step 6 - Purchasing'!B18="","",'Step 6 - Purchasing'!J18)</f>
        <v/>
      </c>
      <c r="W271" s="20" t="str">
        <f>IF('Step 6 - Purchasing'!B18="","",'Step 6 - Purchasing'!K18)</f>
        <v/>
      </c>
      <c r="X271" s="19" t="str">
        <f>IF('Step 6 - Purchasing'!B18="","",'Step 6 - Purchasing'!M18)</f>
        <v/>
      </c>
      <c r="Y271" s="20" t="str">
        <f>""</f>
        <v/>
      </c>
      <c r="Z271" s="20" t="str">
        <f>""</f>
        <v/>
      </c>
      <c r="AA271" s="20" t="str">
        <f>""</f>
        <v/>
      </c>
      <c r="AB271" s="20" t="str">
        <f>""</f>
        <v/>
      </c>
      <c r="AC271" s="20" t="str">
        <f>""</f>
        <v/>
      </c>
      <c r="AD271" s="20" t="str">
        <f>""</f>
        <v/>
      </c>
      <c r="AE271" s="20" t="str">
        <f>""</f>
        <v/>
      </c>
      <c r="AF271" s="20" t="str">
        <f>""</f>
        <v/>
      </c>
      <c r="AG271" s="20" t="str">
        <f>""</f>
        <v/>
      </c>
      <c r="AH271" s="20" t="str">
        <f>""</f>
        <v/>
      </c>
      <c r="AI271" s="20" t="str">
        <f>""</f>
        <v/>
      </c>
      <c r="AJ271" s="20" t="str">
        <f>""</f>
        <v/>
      </c>
      <c r="AK271" s="20" t="str">
        <f>""</f>
        <v/>
      </c>
      <c r="AL271" s="20" t="str">
        <f>""</f>
        <v/>
      </c>
      <c r="AM271" s="20" t="str">
        <f>""</f>
        <v/>
      </c>
    </row>
    <row r="272" spans="1:39" ht="15.75" customHeight="1" x14ac:dyDescent="0.25">
      <c r="A272" s="17" t="str">
        <f>IF('Step 6 - Purchasing'!B19="","","Active")</f>
        <v/>
      </c>
      <c r="B272" s="18" t="str">
        <f>IF('Step 6 - Purchasing'!B19="","",'Step 6 - Purchasing'!B19)</f>
        <v/>
      </c>
      <c r="C272" s="18" t="str">
        <f>IF('Step 6 - Purchasing'!B19="","",'Step 6 - Purchasing'!B19)</f>
        <v/>
      </c>
      <c r="D272" s="17" t="str">
        <f>IF('Step 6 - Purchasing'!B19="","",'Step 6 - Purchasing'!F19)</f>
        <v/>
      </c>
      <c r="E272" s="17" t="str">
        <f>IF('Step 6 - Purchasing'!B19="","",'Step 6 - Purchasing'!G19)</f>
        <v/>
      </c>
      <c r="F272" s="18" t="str">
        <f>IF('Step 6 - Purchasing'!B19="","",IF('Step 6 - Purchasing'!C19="","","Fund Code"))</f>
        <v/>
      </c>
      <c r="G272" s="17" t="str">
        <f>IF('Step 6 - Purchasing'!B19="","",IF('Step 6 - Purchasing'!C19="","","Equals"))</f>
        <v/>
      </c>
      <c r="H272" s="18" t="str">
        <f>IF('Step 6 - Purchasing'!B19="","",IF('Step 6 - Purchasing'!C19="","",'Step 6 - Purchasing'!C19))</f>
        <v/>
      </c>
      <c r="I272" s="18" t="str">
        <f>IF('Step 6 - Purchasing'!B19="","","Organization Code")</f>
        <v/>
      </c>
      <c r="J272" s="17" t="str">
        <f>IF('Step 6 - Purchasing'!B19="","","Equals")</f>
        <v/>
      </c>
      <c r="K272" s="18" t="str">
        <f>IF('Step 6 - Purchasing'!B19="","",'Step 6 - Purchasing'!D19)</f>
        <v/>
      </c>
      <c r="L272" s="18" t="str">
        <f>IF('Step 6 - Purchasing'!B19="","","Other Criteria")</f>
        <v/>
      </c>
      <c r="M272" s="17" t="str">
        <f>IF('Step 6 - Purchasing'!B19="","","Equals")</f>
        <v/>
      </c>
      <c r="N272" s="18" t="str">
        <f>IF('Step 6 - Purchasing'!B19="","",'Step 6 - Purchasing'!E19)</f>
        <v/>
      </c>
      <c r="O272" s="18" t="str">
        <f>""</f>
        <v/>
      </c>
      <c r="P272" s="18" t="str">
        <f>""</f>
        <v/>
      </c>
      <c r="Q272" s="18" t="str">
        <f>""</f>
        <v/>
      </c>
      <c r="R272" s="18" t="str">
        <f>""</f>
        <v/>
      </c>
      <c r="S272" s="18" t="str">
        <f>""</f>
        <v/>
      </c>
      <c r="T272" s="18" t="str">
        <f>""</f>
        <v/>
      </c>
      <c r="U272" s="18" t="str">
        <f>IF('Step 6 - Purchasing'!B19="","",'Step 6 - Purchasing'!H19)</f>
        <v/>
      </c>
      <c r="V272" s="17" t="str">
        <f>IF('Step 6 - Purchasing'!B19="","",'Step 6 - Purchasing'!J19)</f>
        <v/>
      </c>
      <c r="W272" s="18" t="str">
        <f>IF('Step 6 - Purchasing'!B19="","",'Step 6 - Purchasing'!K19)</f>
        <v/>
      </c>
      <c r="X272" s="17" t="str">
        <f>IF('Step 6 - Purchasing'!B19="","",'Step 6 - Purchasing'!M19)</f>
        <v/>
      </c>
      <c r="Y272" s="18" t="str">
        <f>""</f>
        <v/>
      </c>
      <c r="Z272" s="18" t="str">
        <f>""</f>
        <v/>
      </c>
      <c r="AA272" s="18" t="str">
        <f>""</f>
        <v/>
      </c>
      <c r="AB272" s="18" t="str">
        <f>""</f>
        <v/>
      </c>
      <c r="AC272" s="18" t="str">
        <f>""</f>
        <v/>
      </c>
      <c r="AD272" s="18" t="str">
        <f>""</f>
        <v/>
      </c>
      <c r="AE272" s="18" t="str">
        <f>""</f>
        <v/>
      </c>
      <c r="AF272" s="18" t="str">
        <f>""</f>
        <v/>
      </c>
      <c r="AG272" s="18" t="str">
        <f>""</f>
        <v/>
      </c>
      <c r="AH272" s="18" t="str">
        <f>""</f>
        <v/>
      </c>
      <c r="AI272" s="18" t="str">
        <f>""</f>
        <v/>
      </c>
      <c r="AJ272" s="18" t="str">
        <f>""</f>
        <v/>
      </c>
      <c r="AK272" s="18" t="str">
        <f>""</f>
        <v/>
      </c>
      <c r="AL272" s="18" t="str">
        <f>""</f>
        <v/>
      </c>
      <c r="AM272" s="18" t="str">
        <f>""</f>
        <v/>
      </c>
    </row>
    <row r="273" spans="1:39" ht="15.75" customHeight="1" x14ac:dyDescent="0.25">
      <c r="A273" s="19" t="str">
        <f>IF('Step 6 - Purchasing'!B20="","","Active")</f>
        <v/>
      </c>
      <c r="B273" s="20" t="str">
        <f>IF('Step 6 - Purchasing'!B20="","",'Step 6 - Purchasing'!B20)</f>
        <v/>
      </c>
      <c r="C273" s="20" t="str">
        <f>IF('Step 6 - Purchasing'!B20="","",'Step 6 - Purchasing'!B20)</f>
        <v/>
      </c>
      <c r="D273" s="19" t="str">
        <f>IF('Step 6 - Purchasing'!B20="","",'Step 6 - Purchasing'!F20)</f>
        <v/>
      </c>
      <c r="E273" s="19" t="str">
        <f>IF('Step 6 - Purchasing'!B20="","",'Step 6 - Purchasing'!G20)</f>
        <v/>
      </c>
      <c r="F273" s="20" t="str">
        <f>IF('Step 6 - Purchasing'!B20="","",IF('Step 6 - Purchasing'!C20="","","Fund Code"))</f>
        <v/>
      </c>
      <c r="G273" s="19" t="str">
        <f>IF('Step 6 - Purchasing'!B20="","",IF('Step 6 - Purchasing'!C20="","","Equals"))</f>
        <v/>
      </c>
      <c r="H273" s="20" t="str">
        <f>IF('Step 6 - Purchasing'!B20="","",IF('Step 6 - Purchasing'!C20="","",'Step 6 - Purchasing'!C20))</f>
        <v/>
      </c>
      <c r="I273" s="20" t="str">
        <f>IF('Step 6 - Purchasing'!B20="","","Organization Code")</f>
        <v/>
      </c>
      <c r="J273" s="19" t="str">
        <f>IF('Step 6 - Purchasing'!B20="","","Equals")</f>
        <v/>
      </c>
      <c r="K273" s="20" t="str">
        <f>IF('Step 6 - Purchasing'!B20="","",'Step 6 - Purchasing'!D20)</f>
        <v/>
      </c>
      <c r="L273" s="20" t="str">
        <f>IF('Step 6 - Purchasing'!B20="","","Other Criteria")</f>
        <v/>
      </c>
      <c r="M273" s="19" t="str">
        <f>IF('Step 6 - Purchasing'!B20="","","Equals")</f>
        <v/>
      </c>
      <c r="N273" s="20" t="str">
        <f>IF('Step 6 - Purchasing'!B20="","",'Step 6 - Purchasing'!E20)</f>
        <v/>
      </c>
      <c r="O273" s="20" t="str">
        <f>""</f>
        <v/>
      </c>
      <c r="P273" s="20" t="str">
        <f>""</f>
        <v/>
      </c>
      <c r="Q273" s="20" t="str">
        <f>""</f>
        <v/>
      </c>
      <c r="R273" s="20" t="str">
        <f>""</f>
        <v/>
      </c>
      <c r="S273" s="20" t="str">
        <f>""</f>
        <v/>
      </c>
      <c r="T273" s="20" t="str">
        <f>""</f>
        <v/>
      </c>
      <c r="U273" s="20" t="str">
        <f>IF('Step 6 - Purchasing'!B20="","",'Step 6 - Purchasing'!H20)</f>
        <v/>
      </c>
      <c r="V273" s="19" t="str">
        <f>IF('Step 6 - Purchasing'!B20="","",'Step 6 - Purchasing'!J20)</f>
        <v/>
      </c>
      <c r="W273" s="20" t="str">
        <f>IF('Step 6 - Purchasing'!B20="","",'Step 6 - Purchasing'!K20)</f>
        <v/>
      </c>
      <c r="X273" s="19" t="str">
        <f>IF('Step 6 - Purchasing'!B20="","",'Step 6 - Purchasing'!M20)</f>
        <v/>
      </c>
      <c r="Y273" s="20" t="str">
        <f>""</f>
        <v/>
      </c>
      <c r="Z273" s="20" t="str">
        <f>""</f>
        <v/>
      </c>
      <c r="AA273" s="20" t="str">
        <f>""</f>
        <v/>
      </c>
      <c r="AB273" s="20" t="str">
        <f>""</f>
        <v/>
      </c>
      <c r="AC273" s="20" t="str">
        <f>""</f>
        <v/>
      </c>
      <c r="AD273" s="20" t="str">
        <f>""</f>
        <v/>
      </c>
      <c r="AE273" s="20" t="str">
        <f>""</f>
        <v/>
      </c>
      <c r="AF273" s="20" t="str">
        <f>""</f>
        <v/>
      </c>
      <c r="AG273" s="20" t="str">
        <f>""</f>
        <v/>
      </c>
      <c r="AH273" s="20" t="str">
        <f>""</f>
        <v/>
      </c>
      <c r="AI273" s="20" t="str">
        <f>""</f>
        <v/>
      </c>
      <c r="AJ273" s="20" t="str">
        <f>""</f>
        <v/>
      </c>
      <c r="AK273" s="20" t="str">
        <f>""</f>
        <v/>
      </c>
      <c r="AL273" s="20" t="str">
        <f>""</f>
        <v/>
      </c>
      <c r="AM273" s="20" t="str">
        <f>""</f>
        <v/>
      </c>
    </row>
    <row r="274" spans="1:39" ht="15.75" customHeight="1" x14ac:dyDescent="0.25">
      <c r="A274" s="17" t="str">
        <f>IF('Step 6 - Purchasing'!B21="","","Active")</f>
        <v/>
      </c>
      <c r="B274" s="18" t="str">
        <f>IF('Step 6 - Purchasing'!B21="","",'Step 6 - Purchasing'!B21)</f>
        <v/>
      </c>
      <c r="C274" s="18" t="str">
        <f>IF('Step 6 - Purchasing'!B21="","",'Step 6 - Purchasing'!B21)</f>
        <v/>
      </c>
      <c r="D274" s="17" t="str">
        <f>IF('Step 6 - Purchasing'!B21="","",'Step 6 - Purchasing'!F21)</f>
        <v/>
      </c>
      <c r="E274" s="17" t="str">
        <f>IF('Step 6 - Purchasing'!B21="","",'Step 6 - Purchasing'!G21)</f>
        <v/>
      </c>
      <c r="F274" s="18" t="str">
        <f>IF('Step 6 - Purchasing'!B21="","",IF('Step 6 - Purchasing'!C21="","","Fund Code"))</f>
        <v/>
      </c>
      <c r="G274" s="17" t="str">
        <f>IF('Step 6 - Purchasing'!B21="","",IF('Step 6 - Purchasing'!C21="","","Equals"))</f>
        <v/>
      </c>
      <c r="H274" s="18" t="str">
        <f>IF('Step 6 - Purchasing'!B21="","",IF('Step 6 - Purchasing'!C21="","",'Step 6 - Purchasing'!C21))</f>
        <v/>
      </c>
      <c r="I274" s="18" t="str">
        <f>IF('Step 6 - Purchasing'!B21="","","Organization Code")</f>
        <v/>
      </c>
      <c r="J274" s="17" t="str">
        <f>IF('Step 6 - Purchasing'!B21="","","Equals")</f>
        <v/>
      </c>
      <c r="K274" s="18" t="str">
        <f>IF('Step 6 - Purchasing'!B21="","",'Step 6 - Purchasing'!D21)</f>
        <v/>
      </c>
      <c r="L274" s="18" t="str">
        <f>IF('Step 6 - Purchasing'!B21="","","Other Criteria")</f>
        <v/>
      </c>
      <c r="M274" s="17" t="str">
        <f>IF('Step 6 - Purchasing'!B21="","","Equals")</f>
        <v/>
      </c>
      <c r="N274" s="18" t="str">
        <f>IF('Step 6 - Purchasing'!B21="","",'Step 6 - Purchasing'!E21)</f>
        <v/>
      </c>
      <c r="O274" s="18" t="str">
        <f>""</f>
        <v/>
      </c>
      <c r="P274" s="18" t="str">
        <f>""</f>
        <v/>
      </c>
      <c r="Q274" s="18" t="str">
        <f>""</f>
        <v/>
      </c>
      <c r="R274" s="18" t="str">
        <f>""</f>
        <v/>
      </c>
      <c r="S274" s="18" t="str">
        <f>""</f>
        <v/>
      </c>
      <c r="T274" s="18" t="str">
        <f>""</f>
        <v/>
      </c>
      <c r="U274" s="18" t="str">
        <f>IF('Step 6 - Purchasing'!B21="","",'Step 6 - Purchasing'!H21)</f>
        <v/>
      </c>
      <c r="V274" s="17" t="str">
        <f>IF('Step 6 - Purchasing'!B21="","",'Step 6 - Purchasing'!J21)</f>
        <v/>
      </c>
      <c r="W274" s="18" t="str">
        <f>IF('Step 6 - Purchasing'!B21="","",'Step 6 - Purchasing'!K21)</f>
        <v/>
      </c>
      <c r="X274" s="17" t="str">
        <f>IF('Step 6 - Purchasing'!B21="","",'Step 6 - Purchasing'!M21)</f>
        <v/>
      </c>
      <c r="Y274" s="18" t="str">
        <f>""</f>
        <v/>
      </c>
      <c r="Z274" s="18" t="str">
        <f>""</f>
        <v/>
      </c>
      <c r="AA274" s="18" t="str">
        <f>""</f>
        <v/>
      </c>
      <c r="AB274" s="18" t="str">
        <f>""</f>
        <v/>
      </c>
      <c r="AC274" s="18" t="str">
        <f>""</f>
        <v/>
      </c>
      <c r="AD274" s="18" t="str">
        <f>""</f>
        <v/>
      </c>
      <c r="AE274" s="18" t="str">
        <f>""</f>
        <v/>
      </c>
      <c r="AF274" s="18" t="str">
        <f>""</f>
        <v/>
      </c>
      <c r="AG274" s="18" t="str">
        <f>""</f>
        <v/>
      </c>
      <c r="AH274" s="18" t="str">
        <f>""</f>
        <v/>
      </c>
      <c r="AI274" s="18" t="str">
        <f>""</f>
        <v/>
      </c>
      <c r="AJ274" s="18" t="str">
        <f>""</f>
        <v/>
      </c>
      <c r="AK274" s="18" t="str">
        <f>""</f>
        <v/>
      </c>
      <c r="AL274" s="18" t="str">
        <f>""</f>
        <v/>
      </c>
      <c r="AM274" s="18" t="str">
        <f>""</f>
        <v/>
      </c>
    </row>
    <row r="275" spans="1:39" ht="15.75" customHeight="1" x14ac:dyDescent="0.25">
      <c r="A275" s="19" t="str">
        <f>IF('Step 6 - Purchasing'!B22="","","Active")</f>
        <v/>
      </c>
      <c r="B275" s="20" t="str">
        <f>IF('Step 6 - Purchasing'!B22="","",'Step 6 - Purchasing'!B22)</f>
        <v/>
      </c>
      <c r="C275" s="20" t="str">
        <f>IF('Step 6 - Purchasing'!B22="","",'Step 6 - Purchasing'!B22)</f>
        <v/>
      </c>
      <c r="D275" s="19" t="str">
        <f>IF('Step 6 - Purchasing'!B22="","",'Step 6 - Purchasing'!F22)</f>
        <v/>
      </c>
      <c r="E275" s="19" t="str">
        <f>IF('Step 6 - Purchasing'!B22="","",'Step 6 - Purchasing'!G22)</f>
        <v/>
      </c>
      <c r="F275" s="20" t="str">
        <f>IF('Step 6 - Purchasing'!B22="","",IF('Step 6 - Purchasing'!C22="","","Fund Code"))</f>
        <v/>
      </c>
      <c r="G275" s="19" t="str">
        <f>IF('Step 6 - Purchasing'!B22="","",IF('Step 6 - Purchasing'!C22="","","Equals"))</f>
        <v/>
      </c>
      <c r="H275" s="20" t="str">
        <f>IF('Step 6 - Purchasing'!B22="","",IF('Step 6 - Purchasing'!C22="","",'Step 6 - Purchasing'!C22))</f>
        <v/>
      </c>
      <c r="I275" s="20" t="str">
        <f>IF('Step 6 - Purchasing'!B22="","","Organization Code")</f>
        <v/>
      </c>
      <c r="J275" s="19" t="str">
        <f>IF('Step 6 - Purchasing'!B22="","","Equals")</f>
        <v/>
      </c>
      <c r="K275" s="20" t="str">
        <f>IF('Step 6 - Purchasing'!B22="","",'Step 6 - Purchasing'!D22)</f>
        <v/>
      </c>
      <c r="L275" s="20" t="str">
        <f>IF('Step 6 - Purchasing'!B22="","","Other Criteria")</f>
        <v/>
      </c>
      <c r="M275" s="19" t="str">
        <f>IF('Step 6 - Purchasing'!B22="","","Equals")</f>
        <v/>
      </c>
      <c r="N275" s="20" t="str">
        <f>IF('Step 6 - Purchasing'!B22="","",'Step 6 - Purchasing'!E22)</f>
        <v/>
      </c>
      <c r="O275" s="20" t="str">
        <f>""</f>
        <v/>
      </c>
      <c r="P275" s="20" t="str">
        <f>""</f>
        <v/>
      </c>
      <c r="Q275" s="20" t="str">
        <f>""</f>
        <v/>
      </c>
      <c r="R275" s="20" t="str">
        <f>""</f>
        <v/>
      </c>
      <c r="S275" s="20" t="str">
        <f>""</f>
        <v/>
      </c>
      <c r="T275" s="20" t="str">
        <f>""</f>
        <v/>
      </c>
      <c r="U275" s="20" t="str">
        <f>IF('Step 6 - Purchasing'!B22="","",'Step 6 - Purchasing'!H22)</f>
        <v/>
      </c>
      <c r="V275" s="19" t="str">
        <f>IF('Step 6 - Purchasing'!B22="","",'Step 6 - Purchasing'!J22)</f>
        <v/>
      </c>
      <c r="W275" s="20" t="str">
        <f>IF('Step 6 - Purchasing'!B22="","",'Step 6 - Purchasing'!K22)</f>
        <v/>
      </c>
      <c r="X275" s="19" t="str">
        <f>IF('Step 6 - Purchasing'!B22="","",'Step 6 - Purchasing'!M22)</f>
        <v/>
      </c>
      <c r="Y275" s="20" t="str">
        <f>""</f>
        <v/>
      </c>
      <c r="Z275" s="20" t="str">
        <f>""</f>
        <v/>
      </c>
      <c r="AA275" s="20" t="str">
        <f>""</f>
        <v/>
      </c>
      <c r="AB275" s="20" t="str">
        <f>""</f>
        <v/>
      </c>
      <c r="AC275" s="20" t="str">
        <f>""</f>
        <v/>
      </c>
      <c r="AD275" s="20" t="str">
        <f>""</f>
        <v/>
      </c>
      <c r="AE275" s="20" t="str">
        <f>""</f>
        <v/>
      </c>
      <c r="AF275" s="20" t="str">
        <f>""</f>
        <v/>
      </c>
      <c r="AG275" s="20" t="str">
        <f>""</f>
        <v/>
      </c>
      <c r="AH275" s="20" t="str">
        <f>""</f>
        <v/>
      </c>
      <c r="AI275" s="20" t="str">
        <f>""</f>
        <v/>
      </c>
      <c r="AJ275" s="20" t="str">
        <f>""</f>
        <v/>
      </c>
      <c r="AK275" s="20" t="str">
        <f>""</f>
        <v/>
      </c>
      <c r="AL275" s="20" t="str">
        <f>""</f>
        <v/>
      </c>
      <c r="AM275" s="20" t="str">
        <f>""</f>
        <v/>
      </c>
    </row>
    <row r="276" spans="1:39" ht="15.75" customHeight="1" x14ac:dyDescent="0.25">
      <c r="A276" s="17" t="str">
        <f>IF('Step 6 - Purchasing'!B23="","","Active")</f>
        <v/>
      </c>
      <c r="B276" s="18" t="str">
        <f>IF('Step 6 - Purchasing'!B23="","",'Step 6 - Purchasing'!B23)</f>
        <v/>
      </c>
      <c r="C276" s="18" t="str">
        <f>IF('Step 6 - Purchasing'!B23="","",'Step 6 - Purchasing'!B23)</f>
        <v/>
      </c>
      <c r="D276" s="17" t="str">
        <f>IF('Step 6 - Purchasing'!B23="","",'Step 6 - Purchasing'!F23)</f>
        <v/>
      </c>
      <c r="E276" s="17" t="str">
        <f>IF('Step 6 - Purchasing'!B23="","",'Step 6 - Purchasing'!G23)</f>
        <v/>
      </c>
      <c r="F276" s="18" t="str">
        <f>IF('Step 6 - Purchasing'!B23="","",IF('Step 6 - Purchasing'!C23="","","Fund Code"))</f>
        <v/>
      </c>
      <c r="G276" s="17" t="str">
        <f>IF('Step 6 - Purchasing'!B23="","",IF('Step 6 - Purchasing'!C23="","","Equals"))</f>
        <v/>
      </c>
      <c r="H276" s="18" t="str">
        <f>IF('Step 6 - Purchasing'!B23="","",IF('Step 6 - Purchasing'!C23="","",'Step 6 - Purchasing'!C23))</f>
        <v/>
      </c>
      <c r="I276" s="18" t="str">
        <f>IF('Step 6 - Purchasing'!B23="","","Organization Code")</f>
        <v/>
      </c>
      <c r="J276" s="17" t="str">
        <f>IF('Step 6 - Purchasing'!B23="","","Equals")</f>
        <v/>
      </c>
      <c r="K276" s="18" t="str">
        <f>IF('Step 6 - Purchasing'!B23="","",'Step 6 - Purchasing'!D23)</f>
        <v/>
      </c>
      <c r="L276" s="18" t="str">
        <f>IF('Step 6 - Purchasing'!B23="","","Other Criteria")</f>
        <v/>
      </c>
      <c r="M276" s="17" t="str">
        <f>IF('Step 6 - Purchasing'!B23="","","Equals")</f>
        <v/>
      </c>
      <c r="N276" s="18" t="str">
        <f>IF('Step 6 - Purchasing'!B23="","",'Step 6 - Purchasing'!E23)</f>
        <v/>
      </c>
      <c r="O276" s="18" t="str">
        <f>""</f>
        <v/>
      </c>
      <c r="P276" s="18" t="str">
        <f>""</f>
        <v/>
      </c>
      <c r="Q276" s="18" t="str">
        <f>""</f>
        <v/>
      </c>
      <c r="R276" s="18" t="str">
        <f>""</f>
        <v/>
      </c>
      <c r="S276" s="18" t="str">
        <f>""</f>
        <v/>
      </c>
      <c r="T276" s="18" t="str">
        <f>""</f>
        <v/>
      </c>
      <c r="U276" s="18" t="str">
        <f>IF('Step 6 - Purchasing'!B23="","",'Step 6 - Purchasing'!H23)</f>
        <v/>
      </c>
      <c r="V276" s="17" t="str">
        <f>IF('Step 6 - Purchasing'!B23="","",'Step 6 - Purchasing'!J23)</f>
        <v/>
      </c>
      <c r="W276" s="18" t="str">
        <f>IF('Step 6 - Purchasing'!B23="","",'Step 6 - Purchasing'!K23)</f>
        <v/>
      </c>
      <c r="X276" s="17" t="str">
        <f>IF('Step 6 - Purchasing'!B23="","",'Step 6 - Purchasing'!M23)</f>
        <v/>
      </c>
      <c r="Y276" s="18" t="str">
        <f>""</f>
        <v/>
      </c>
      <c r="Z276" s="18" t="str">
        <f>""</f>
        <v/>
      </c>
      <c r="AA276" s="18" t="str">
        <f>""</f>
        <v/>
      </c>
      <c r="AB276" s="18" t="str">
        <f>""</f>
        <v/>
      </c>
      <c r="AC276" s="18" t="str">
        <f>""</f>
        <v/>
      </c>
      <c r="AD276" s="18" t="str">
        <f>""</f>
        <v/>
      </c>
      <c r="AE276" s="18" t="str">
        <f>""</f>
        <v/>
      </c>
      <c r="AF276" s="18" t="str">
        <f>""</f>
        <v/>
      </c>
      <c r="AG276" s="18" t="str">
        <f>""</f>
        <v/>
      </c>
      <c r="AH276" s="18" t="str">
        <f>""</f>
        <v/>
      </c>
      <c r="AI276" s="18" t="str">
        <f>""</f>
        <v/>
      </c>
      <c r="AJ276" s="18" t="str">
        <f>""</f>
        <v/>
      </c>
      <c r="AK276" s="18" t="str">
        <f>""</f>
        <v/>
      </c>
      <c r="AL276" s="18" t="str">
        <f>""</f>
        <v/>
      </c>
      <c r="AM276" s="18" t="str">
        <f>""</f>
        <v/>
      </c>
    </row>
    <row r="277" spans="1:39" ht="15.75" customHeight="1" x14ac:dyDescent="0.25">
      <c r="A277" s="19" t="str">
        <f>IF('Step 6 - Purchasing'!B24="","","Active")</f>
        <v/>
      </c>
      <c r="B277" s="20" t="str">
        <f>IF('Step 6 - Purchasing'!B24="","",'Step 6 - Purchasing'!B24)</f>
        <v/>
      </c>
      <c r="C277" s="20" t="str">
        <f>IF('Step 6 - Purchasing'!B24="","",'Step 6 - Purchasing'!B24)</f>
        <v/>
      </c>
      <c r="D277" s="19" t="str">
        <f>IF('Step 6 - Purchasing'!B24="","",'Step 6 - Purchasing'!F24)</f>
        <v/>
      </c>
      <c r="E277" s="19" t="str">
        <f>IF('Step 6 - Purchasing'!B24="","",'Step 6 - Purchasing'!G24)</f>
        <v/>
      </c>
      <c r="F277" s="20" t="str">
        <f>IF('Step 6 - Purchasing'!B24="","",IF('Step 6 - Purchasing'!C24="","","Fund Code"))</f>
        <v/>
      </c>
      <c r="G277" s="19" t="str">
        <f>IF('Step 6 - Purchasing'!B24="","",IF('Step 6 - Purchasing'!C24="","","Equals"))</f>
        <v/>
      </c>
      <c r="H277" s="20" t="str">
        <f>IF('Step 6 - Purchasing'!B24="","",IF('Step 6 - Purchasing'!C24="","",'Step 6 - Purchasing'!C24))</f>
        <v/>
      </c>
      <c r="I277" s="20" t="str">
        <f>IF('Step 6 - Purchasing'!B24="","","Organization Code")</f>
        <v/>
      </c>
      <c r="J277" s="19" t="str">
        <f>IF('Step 6 - Purchasing'!B24="","","Equals")</f>
        <v/>
      </c>
      <c r="K277" s="20" t="str">
        <f>IF('Step 6 - Purchasing'!B24="","",'Step 6 - Purchasing'!D24)</f>
        <v/>
      </c>
      <c r="L277" s="20" t="str">
        <f>IF('Step 6 - Purchasing'!B24="","","Other Criteria")</f>
        <v/>
      </c>
      <c r="M277" s="19" t="str">
        <f>IF('Step 6 - Purchasing'!B24="","","Equals")</f>
        <v/>
      </c>
      <c r="N277" s="20" t="str">
        <f>IF('Step 6 - Purchasing'!B24="","",'Step 6 - Purchasing'!E24)</f>
        <v/>
      </c>
      <c r="O277" s="20" t="str">
        <f>""</f>
        <v/>
      </c>
      <c r="P277" s="20" t="str">
        <f>""</f>
        <v/>
      </c>
      <c r="Q277" s="20" t="str">
        <f>""</f>
        <v/>
      </c>
      <c r="R277" s="20" t="str">
        <f>""</f>
        <v/>
      </c>
      <c r="S277" s="20" t="str">
        <f>""</f>
        <v/>
      </c>
      <c r="T277" s="20" t="str">
        <f>""</f>
        <v/>
      </c>
      <c r="U277" s="20" t="str">
        <f>IF('Step 6 - Purchasing'!B24="","",'Step 6 - Purchasing'!H24)</f>
        <v/>
      </c>
      <c r="V277" s="19" t="str">
        <f>IF('Step 6 - Purchasing'!B24="","",'Step 6 - Purchasing'!J24)</f>
        <v/>
      </c>
      <c r="W277" s="20" t="str">
        <f>IF('Step 6 - Purchasing'!B24="","",'Step 6 - Purchasing'!K24)</f>
        <v/>
      </c>
      <c r="X277" s="19" t="str">
        <f>IF('Step 6 - Purchasing'!B24="","",'Step 6 - Purchasing'!M24)</f>
        <v/>
      </c>
      <c r="Y277" s="20" t="str">
        <f>""</f>
        <v/>
      </c>
      <c r="Z277" s="20" t="str">
        <f>""</f>
        <v/>
      </c>
      <c r="AA277" s="20" t="str">
        <f>""</f>
        <v/>
      </c>
      <c r="AB277" s="20" t="str">
        <f>""</f>
        <v/>
      </c>
      <c r="AC277" s="20" t="str">
        <f>""</f>
        <v/>
      </c>
      <c r="AD277" s="20" t="str">
        <f>""</f>
        <v/>
      </c>
      <c r="AE277" s="20" t="str">
        <f>""</f>
        <v/>
      </c>
      <c r="AF277" s="20" t="str">
        <f>""</f>
        <v/>
      </c>
      <c r="AG277" s="20" t="str">
        <f>""</f>
        <v/>
      </c>
      <c r="AH277" s="20" t="str">
        <f>""</f>
        <v/>
      </c>
      <c r="AI277" s="20" t="str">
        <f>""</f>
        <v/>
      </c>
      <c r="AJ277" s="20" t="str">
        <f>""</f>
        <v/>
      </c>
      <c r="AK277" s="20" t="str">
        <f>""</f>
        <v/>
      </c>
      <c r="AL277" s="20" t="str">
        <f>""</f>
        <v/>
      </c>
      <c r="AM277" s="20" t="str">
        <f>""</f>
        <v/>
      </c>
    </row>
    <row r="278" spans="1:39" ht="15.75" customHeight="1" x14ac:dyDescent="0.25">
      <c r="A278" s="17" t="str">
        <f>IF('Step 6 - Purchasing'!B25="","","Active")</f>
        <v/>
      </c>
      <c r="B278" s="18" t="str">
        <f>IF('Step 6 - Purchasing'!B25="","",'Step 6 - Purchasing'!B25)</f>
        <v/>
      </c>
      <c r="C278" s="18" t="str">
        <f>IF('Step 6 - Purchasing'!B25="","",'Step 6 - Purchasing'!B25)</f>
        <v/>
      </c>
      <c r="D278" s="17" t="str">
        <f>IF('Step 6 - Purchasing'!B25="","",'Step 6 - Purchasing'!F25)</f>
        <v/>
      </c>
      <c r="E278" s="17" t="str">
        <f>IF('Step 6 - Purchasing'!B25="","",'Step 6 - Purchasing'!G25)</f>
        <v/>
      </c>
      <c r="F278" s="18" t="str">
        <f>IF('Step 6 - Purchasing'!B25="","",IF('Step 6 - Purchasing'!C25="","","Fund Code"))</f>
        <v/>
      </c>
      <c r="G278" s="17" t="str">
        <f>IF('Step 6 - Purchasing'!B25="","",IF('Step 6 - Purchasing'!C25="","","Equals"))</f>
        <v/>
      </c>
      <c r="H278" s="18" t="str">
        <f>IF('Step 6 - Purchasing'!B25="","",IF('Step 6 - Purchasing'!C25="","",'Step 6 - Purchasing'!C25))</f>
        <v/>
      </c>
      <c r="I278" s="18" t="str">
        <f>IF('Step 6 - Purchasing'!B25="","","Organization Code")</f>
        <v/>
      </c>
      <c r="J278" s="17" t="str">
        <f>IF('Step 6 - Purchasing'!B25="","","Equals")</f>
        <v/>
      </c>
      <c r="K278" s="18" t="str">
        <f>IF('Step 6 - Purchasing'!B25="","",'Step 6 - Purchasing'!D25)</f>
        <v/>
      </c>
      <c r="L278" s="18" t="str">
        <f>IF('Step 6 - Purchasing'!B25="","","Other Criteria")</f>
        <v/>
      </c>
      <c r="M278" s="17" t="str">
        <f>IF('Step 6 - Purchasing'!B25="","","Equals")</f>
        <v/>
      </c>
      <c r="N278" s="18" t="str">
        <f>IF('Step 6 - Purchasing'!B25="","",'Step 6 - Purchasing'!E25)</f>
        <v/>
      </c>
      <c r="O278" s="18" t="str">
        <f>""</f>
        <v/>
      </c>
      <c r="P278" s="18" t="str">
        <f>""</f>
        <v/>
      </c>
      <c r="Q278" s="18" t="str">
        <f>""</f>
        <v/>
      </c>
      <c r="R278" s="18" t="str">
        <f>""</f>
        <v/>
      </c>
      <c r="S278" s="18" t="str">
        <f>""</f>
        <v/>
      </c>
      <c r="T278" s="18" t="str">
        <f>""</f>
        <v/>
      </c>
      <c r="U278" s="18" t="str">
        <f>IF('Step 6 - Purchasing'!B25="","",'Step 6 - Purchasing'!H25)</f>
        <v/>
      </c>
      <c r="V278" s="17" t="str">
        <f>IF('Step 6 - Purchasing'!B25="","",'Step 6 - Purchasing'!J25)</f>
        <v/>
      </c>
      <c r="W278" s="18" t="str">
        <f>IF('Step 6 - Purchasing'!B25="","",'Step 6 - Purchasing'!K25)</f>
        <v/>
      </c>
      <c r="X278" s="17" t="str">
        <f>IF('Step 6 - Purchasing'!B25="","",'Step 6 - Purchasing'!M25)</f>
        <v/>
      </c>
      <c r="Y278" s="18" t="str">
        <f>""</f>
        <v/>
      </c>
      <c r="Z278" s="18" t="str">
        <f>""</f>
        <v/>
      </c>
      <c r="AA278" s="18" t="str">
        <f>""</f>
        <v/>
      </c>
      <c r="AB278" s="18" t="str">
        <f>""</f>
        <v/>
      </c>
      <c r="AC278" s="18" t="str">
        <f>""</f>
        <v/>
      </c>
      <c r="AD278" s="18" t="str">
        <f>""</f>
        <v/>
      </c>
      <c r="AE278" s="18" t="str">
        <f>""</f>
        <v/>
      </c>
      <c r="AF278" s="18" t="str">
        <f>""</f>
        <v/>
      </c>
      <c r="AG278" s="18" t="str">
        <f>""</f>
        <v/>
      </c>
      <c r="AH278" s="18" t="str">
        <f>""</f>
        <v/>
      </c>
      <c r="AI278" s="18" t="str">
        <f>""</f>
        <v/>
      </c>
      <c r="AJ278" s="18" t="str">
        <f>""</f>
        <v/>
      </c>
      <c r="AK278" s="18" t="str">
        <f>""</f>
        <v/>
      </c>
      <c r="AL278" s="18" t="str">
        <f>""</f>
        <v/>
      </c>
      <c r="AM278" s="18" t="str">
        <f>""</f>
        <v/>
      </c>
    </row>
    <row r="279" spans="1:39" ht="15.75" customHeight="1" x14ac:dyDescent="0.25">
      <c r="A279" s="19" t="str">
        <f>IF('Step 6 - Purchasing'!B26="","","Active")</f>
        <v/>
      </c>
      <c r="B279" s="20" t="str">
        <f>IF('Step 6 - Purchasing'!B26="","",'Step 6 - Purchasing'!B26)</f>
        <v/>
      </c>
      <c r="C279" s="20" t="str">
        <f>IF('Step 6 - Purchasing'!B26="","",'Step 6 - Purchasing'!B26)</f>
        <v/>
      </c>
      <c r="D279" s="19" t="str">
        <f>IF('Step 6 - Purchasing'!B26="","",'Step 6 - Purchasing'!F26)</f>
        <v/>
      </c>
      <c r="E279" s="19" t="str">
        <f>IF('Step 6 - Purchasing'!B26="","",'Step 6 - Purchasing'!G26)</f>
        <v/>
      </c>
      <c r="F279" s="20" t="str">
        <f>IF('Step 6 - Purchasing'!B26="","",IF('Step 6 - Purchasing'!C26="","","Fund Code"))</f>
        <v/>
      </c>
      <c r="G279" s="19" t="str">
        <f>IF('Step 6 - Purchasing'!B26="","",IF('Step 6 - Purchasing'!C26="","","Equals"))</f>
        <v/>
      </c>
      <c r="H279" s="20" t="str">
        <f>IF('Step 6 - Purchasing'!B26="","",IF('Step 6 - Purchasing'!C26="","",'Step 6 - Purchasing'!C26))</f>
        <v/>
      </c>
      <c r="I279" s="20" t="str">
        <f>IF('Step 6 - Purchasing'!B26="","","Organization Code")</f>
        <v/>
      </c>
      <c r="J279" s="19" t="str">
        <f>IF('Step 6 - Purchasing'!B26="","","Equals")</f>
        <v/>
      </c>
      <c r="K279" s="20" t="str">
        <f>IF('Step 6 - Purchasing'!B26="","",'Step 6 - Purchasing'!D26)</f>
        <v/>
      </c>
      <c r="L279" s="20" t="str">
        <f>IF('Step 6 - Purchasing'!B26="","","Other Criteria")</f>
        <v/>
      </c>
      <c r="M279" s="19" t="str">
        <f>IF('Step 6 - Purchasing'!B26="","","Equals")</f>
        <v/>
      </c>
      <c r="N279" s="20" t="str">
        <f>IF('Step 6 - Purchasing'!B26="","",'Step 6 - Purchasing'!E26)</f>
        <v/>
      </c>
      <c r="O279" s="20" t="str">
        <f>""</f>
        <v/>
      </c>
      <c r="P279" s="20" t="str">
        <f>""</f>
        <v/>
      </c>
      <c r="Q279" s="20" t="str">
        <f>""</f>
        <v/>
      </c>
      <c r="R279" s="20" t="str">
        <f>""</f>
        <v/>
      </c>
      <c r="S279" s="20" t="str">
        <f>""</f>
        <v/>
      </c>
      <c r="T279" s="20" t="str">
        <f>""</f>
        <v/>
      </c>
      <c r="U279" s="20" t="str">
        <f>IF('Step 6 - Purchasing'!B26="","",'Step 6 - Purchasing'!H26)</f>
        <v/>
      </c>
      <c r="V279" s="19" t="str">
        <f>IF('Step 6 - Purchasing'!B26="","",'Step 6 - Purchasing'!J26)</f>
        <v/>
      </c>
      <c r="W279" s="20" t="str">
        <f>IF('Step 6 - Purchasing'!B26="","",'Step 6 - Purchasing'!K26)</f>
        <v/>
      </c>
      <c r="X279" s="19" t="str">
        <f>IF('Step 6 - Purchasing'!B26="","",'Step 6 - Purchasing'!M26)</f>
        <v/>
      </c>
      <c r="Y279" s="20" t="str">
        <f>""</f>
        <v/>
      </c>
      <c r="Z279" s="20" t="str">
        <f>""</f>
        <v/>
      </c>
      <c r="AA279" s="20" t="str">
        <f>""</f>
        <v/>
      </c>
      <c r="AB279" s="20" t="str">
        <f>""</f>
        <v/>
      </c>
      <c r="AC279" s="20" t="str">
        <f>""</f>
        <v/>
      </c>
      <c r="AD279" s="20" t="str">
        <f>""</f>
        <v/>
      </c>
      <c r="AE279" s="20" t="str">
        <f>""</f>
        <v/>
      </c>
      <c r="AF279" s="20" t="str">
        <f>""</f>
        <v/>
      </c>
      <c r="AG279" s="20" t="str">
        <f>""</f>
        <v/>
      </c>
      <c r="AH279" s="20" t="str">
        <f>""</f>
        <v/>
      </c>
      <c r="AI279" s="20" t="str">
        <f>""</f>
        <v/>
      </c>
      <c r="AJ279" s="20" t="str">
        <f>""</f>
        <v/>
      </c>
      <c r="AK279" s="20" t="str">
        <f>""</f>
        <v/>
      </c>
      <c r="AL279" s="20" t="str">
        <f>""</f>
        <v/>
      </c>
      <c r="AM279" s="20" t="str">
        <f>""</f>
        <v/>
      </c>
    </row>
    <row r="280" spans="1:39" ht="15.75" customHeight="1" x14ac:dyDescent="0.25">
      <c r="A280" s="17" t="str">
        <f>IF('Step 6 - Purchasing'!B27="","","Active")</f>
        <v/>
      </c>
      <c r="B280" s="18" t="str">
        <f>IF('Step 6 - Purchasing'!B27="","",'Step 6 - Purchasing'!B27)</f>
        <v/>
      </c>
      <c r="C280" s="18" t="str">
        <f>IF('Step 6 - Purchasing'!B27="","",'Step 6 - Purchasing'!B27)</f>
        <v/>
      </c>
      <c r="D280" s="17" t="str">
        <f>IF('Step 6 - Purchasing'!B27="","",'Step 6 - Purchasing'!F27)</f>
        <v/>
      </c>
      <c r="E280" s="17" t="str">
        <f>IF('Step 6 - Purchasing'!B27="","",'Step 6 - Purchasing'!G27)</f>
        <v/>
      </c>
      <c r="F280" s="18" t="str">
        <f>IF('Step 6 - Purchasing'!B27="","",IF('Step 6 - Purchasing'!C27="","","Fund Code"))</f>
        <v/>
      </c>
      <c r="G280" s="17" t="str">
        <f>IF('Step 6 - Purchasing'!B27="","",IF('Step 6 - Purchasing'!C27="","","Equals"))</f>
        <v/>
      </c>
      <c r="H280" s="18" t="str">
        <f>IF('Step 6 - Purchasing'!B27="","",IF('Step 6 - Purchasing'!C27="","",'Step 6 - Purchasing'!C27))</f>
        <v/>
      </c>
      <c r="I280" s="18" t="str">
        <f>IF('Step 6 - Purchasing'!B27="","","Organization Code")</f>
        <v/>
      </c>
      <c r="J280" s="17" t="str">
        <f>IF('Step 6 - Purchasing'!B27="","","Equals")</f>
        <v/>
      </c>
      <c r="K280" s="18" t="str">
        <f>IF('Step 6 - Purchasing'!B27="","",'Step 6 - Purchasing'!D27)</f>
        <v/>
      </c>
      <c r="L280" s="18" t="str">
        <f>IF('Step 6 - Purchasing'!B27="","","Other Criteria")</f>
        <v/>
      </c>
      <c r="M280" s="17" t="str">
        <f>IF('Step 6 - Purchasing'!B27="","","Equals")</f>
        <v/>
      </c>
      <c r="N280" s="18" t="str">
        <f>IF('Step 6 - Purchasing'!B27="","",'Step 6 - Purchasing'!E27)</f>
        <v/>
      </c>
      <c r="O280" s="18" t="str">
        <f>""</f>
        <v/>
      </c>
      <c r="P280" s="18" t="str">
        <f>""</f>
        <v/>
      </c>
      <c r="Q280" s="18" t="str">
        <f>""</f>
        <v/>
      </c>
      <c r="R280" s="18" t="str">
        <f>""</f>
        <v/>
      </c>
      <c r="S280" s="18" t="str">
        <f>""</f>
        <v/>
      </c>
      <c r="T280" s="18" t="str">
        <f>""</f>
        <v/>
      </c>
      <c r="U280" s="18" t="str">
        <f>IF('Step 6 - Purchasing'!B27="","",'Step 6 - Purchasing'!H27)</f>
        <v/>
      </c>
      <c r="V280" s="17" t="str">
        <f>IF('Step 6 - Purchasing'!B27="","",'Step 6 - Purchasing'!J27)</f>
        <v/>
      </c>
      <c r="W280" s="18" t="str">
        <f>IF('Step 6 - Purchasing'!B27="","",'Step 6 - Purchasing'!K27)</f>
        <v/>
      </c>
      <c r="X280" s="17" t="str">
        <f>IF('Step 6 - Purchasing'!B27="","",'Step 6 - Purchasing'!M27)</f>
        <v/>
      </c>
      <c r="Y280" s="18" t="str">
        <f>""</f>
        <v/>
      </c>
      <c r="Z280" s="18" t="str">
        <f>""</f>
        <v/>
      </c>
      <c r="AA280" s="18" t="str">
        <f>""</f>
        <v/>
      </c>
      <c r="AB280" s="18" t="str">
        <f>""</f>
        <v/>
      </c>
      <c r="AC280" s="18" t="str">
        <f>""</f>
        <v/>
      </c>
      <c r="AD280" s="18" t="str">
        <f>""</f>
        <v/>
      </c>
      <c r="AE280" s="18" t="str">
        <f>""</f>
        <v/>
      </c>
      <c r="AF280" s="18" t="str">
        <f>""</f>
        <v/>
      </c>
      <c r="AG280" s="18" t="str">
        <f>""</f>
        <v/>
      </c>
      <c r="AH280" s="18" t="str">
        <f>""</f>
        <v/>
      </c>
      <c r="AI280" s="18" t="str">
        <f>""</f>
        <v/>
      </c>
      <c r="AJ280" s="18" t="str">
        <f>""</f>
        <v/>
      </c>
      <c r="AK280" s="18" t="str">
        <f>""</f>
        <v/>
      </c>
      <c r="AL280" s="18" t="str">
        <f>""</f>
        <v/>
      </c>
      <c r="AM280" s="18" t="str">
        <f>""</f>
        <v/>
      </c>
    </row>
    <row r="281" spans="1:39" ht="15.75" customHeight="1" x14ac:dyDescent="0.25">
      <c r="A281" s="19" t="str">
        <f>IF('Step 6 - Purchasing'!B28="","","Active")</f>
        <v/>
      </c>
      <c r="B281" s="20" t="str">
        <f>IF('Step 6 - Purchasing'!B28="","",'Step 6 - Purchasing'!B28)</f>
        <v/>
      </c>
      <c r="C281" s="20" t="str">
        <f>IF('Step 6 - Purchasing'!B28="","",'Step 6 - Purchasing'!B28)</f>
        <v/>
      </c>
      <c r="D281" s="19" t="str">
        <f>IF('Step 6 - Purchasing'!B28="","",'Step 6 - Purchasing'!F28)</f>
        <v/>
      </c>
      <c r="E281" s="19" t="str">
        <f>IF('Step 6 - Purchasing'!B28="","",'Step 6 - Purchasing'!G28)</f>
        <v/>
      </c>
      <c r="F281" s="20" t="str">
        <f>IF('Step 6 - Purchasing'!B28="","",IF('Step 6 - Purchasing'!C28="","","Fund Code"))</f>
        <v/>
      </c>
      <c r="G281" s="19" t="str">
        <f>IF('Step 6 - Purchasing'!B28="","",IF('Step 6 - Purchasing'!C28="","","Equals"))</f>
        <v/>
      </c>
      <c r="H281" s="20" t="str">
        <f>IF('Step 6 - Purchasing'!B28="","",IF('Step 6 - Purchasing'!C28="","",'Step 6 - Purchasing'!C28))</f>
        <v/>
      </c>
      <c r="I281" s="20" t="str">
        <f>IF('Step 6 - Purchasing'!B28="","","Organization Code")</f>
        <v/>
      </c>
      <c r="J281" s="19" t="str">
        <f>IF('Step 6 - Purchasing'!B28="","","Equals")</f>
        <v/>
      </c>
      <c r="K281" s="20" t="str">
        <f>IF('Step 6 - Purchasing'!B28="","",'Step 6 - Purchasing'!D28)</f>
        <v/>
      </c>
      <c r="L281" s="20" t="str">
        <f>IF('Step 6 - Purchasing'!B28="","","Other Criteria")</f>
        <v/>
      </c>
      <c r="M281" s="19" t="str">
        <f>IF('Step 6 - Purchasing'!B28="","","Equals")</f>
        <v/>
      </c>
      <c r="N281" s="20" t="str">
        <f>IF('Step 6 - Purchasing'!B28="","",'Step 6 - Purchasing'!E28)</f>
        <v/>
      </c>
      <c r="O281" s="20" t="str">
        <f>""</f>
        <v/>
      </c>
      <c r="P281" s="20" t="str">
        <f>""</f>
        <v/>
      </c>
      <c r="Q281" s="20" t="str">
        <f>""</f>
        <v/>
      </c>
      <c r="R281" s="20" t="str">
        <f>""</f>
        <v/>
      </c>
      <c r="S281" s="20" t="str">
        <f>""</f>
        <v/>
      </c>
      <c r="T281" s="20" t="str">
        <f>""</f>
        <v/>
      </c>
      <c r="U281" s="20" t="str">
        <f>IF('Step 6 - Purchasing'!B28="","",'Step 6 - Purchasing'!H28)</f>
        <v/>
      </c>
      <c r="V281" s="19" t="str">
        <f>IF('Step 6 - Purchasing'!B28="","",'Step 6 - Purchasing'!J28)</f>
        <v/>
      </c>
      <c r="W281" s="20" t="str">
        <f>IF('Step 6 - Purchasing'!B28="","",'Step 6 - Purchasing'!K28)</f>
        <v/>
      </c>
      <c r="X281" s="19" t="str">
        <f>IF('Step 6 - Purchasing'!B28="","",'Step 6 - Purchasing'!M28)</f>
        <v/>
      </c>
      <c r="Y281" s="20" t="str">
        <f>""</f>
        <v/>
      </c>
      <c r="Z281" s="20" t="str">
        <f>""</f>
        <v/>
      </c>
      <c r="AA281" s="20" t="str">
        <f>""</f>
        <v/>
      </c>
      <c r="AB281" s="20" t="str">
        <f>""</f>
        <v/>
      </c>
      <c r="AC281" s="20" t="str">
        <f>""</f>
        <v/>
      </c>
      <c r="AD281" s="20" t="str">
        <f>""</f>
        <v/>
      </c>
      <c r="AE281" s="20" t="str">
        <f>""</f>
        <v/>
      </c>
      <c r="AF281" s="20" t="str">
        <f>""</f>
        <v/>
      </c>
      <c r="AG281" s="20" t="str">
        <f>""</f>
        <v/>
      </c>
      <c r="AH281" s="20" t="str">
        <f>""</f>
        <v/>
      </c>
      <c r="AI281" s="20" t="str">
        <f>""</f>
        <v/>
      </c>
      <c r="AJ281" s="20" t="str">
        <f>""</f>
        <v/>
      </c>
      <c r="AK281" s="20" t="str">
        <f>""</f>
        <v/>
      </c>
      <c r="AL281" s="20" t="str">
        <f>""</f>
        <v/>
      </c>
      <c r="AM281" s="20" t="str">
        <f>""</f>
        <v/>
      </c>
    </row>
    <row r="282" spans="1:39" ht="15.75" customHeight="1" x14ac:dyDescent="0.25">
      <c r="A282" s="17" t="str">
        <f>IF('Step 6 - Purchasing'!B29="","","Active")</f>
        <v/>
      </c>
      <c r="B282" s="18" t="str">
        <f>IF('Step 6 - Purchasing'!B29="","",'Step 6 - Purchasing'!B29)</f>
        <v/>
      </c>
      <c r="C282" s="18" t="str">
        <f>IF('Step 6 - Purchasing'!B29="","",'Step 6 - Purchasing'!B29)</f>
        <v/>
      </c>
      <c r="D282" s="17" t="str">
        <f>IF('Step 6 - Purchasing'!B29="","",'Step 6 - Purchasing'!F29)</f>
        <v/>
      </c>
      <c r="E282" s="17" t="str">
        <f>IF('Step 6 - Purchasing'!B29="","",'Step 6 - Purchasing'!G29)</f>
        <v/>
      </c>
      <c r="F282" s="18" t="str">
        <f>IF('Step 6 - Purchasing'!B29="","",IF('Step 6 - Purchasing'!C29="","","Fund Code"))</f>
        <v/>
      </c>
      <c r="G282" s="17" t="str">
        <f>IF('Step 6 - Purchasing'!B29="","",IF('Step 6 - Purchasing'!C29="","","Equals"))</f>
        <v/>
      </c>
      <c r="H282" s="18" t="str">
        <f>IF('Step 6 - Purchasing'!B29="","",IF('Step 6 - Purchasing'!C29="","",'Step 6 - Purchasing'!C29))</f>
        <v/>
      </c>
      <c r="I282" s="18" t="str">
        <f>IF('Step 6 - Purchasing'!B29="","","Organization Code")</f>
        <v/>
      </c>
      <c r="J282" s="17" t="str">
        <f>IF('Step 6 - Purchasing'!B29="","","Equals")</f>
        <v/>
      </c>
      <c r="K282" s="18" t="str">
        <f>IF('Step 6 - Purchasing'!B29="","",'Step 6 - Purchasing'!D29)</f>
        <v/>
      </c>
      <c r="L282" s="18" t="str">
        <f>IF('Step 6 - Purchasing'!B29="","","Other Criteria")</f>
        <v/>
      </c>
      <c r="M282" s="17" t="str">
        <f>IF('Step 6 - Purchasing'!B29="","","Equals")</f>
        <v/>
      </c>
      <c r="N282" s="18" t="str">
        <f>IF('Step 6 - Purchasing'!B29="","",'Step 6 - Purchasing'!E29)</f>
        <v/>
      </c>
      <c r="O282" s="18" t="str">
        <f>""</f>
        <v/>
      </c>
      <c r="P282" s="18" t="str">
        <f>""</f>
        <v/>
      </c>
      <c r="Q282" s="18" t="str">
        <f>""</f>
        <v/>
      </c>
      <c r="R282" s="18" t="str">
        <f>""</f>
        <v/>
      </c>
      <c r="S282" s="18" t="str">
        <f>""</f>
        <v/>
      </c>
      <c r="T282" s="18" t="str">
        <f>""</f>
        <v/>
      </c>
      <c r="U282" s="18" t="str">
        <f>IF('Step 6 - Purchasing'!B29="","",'Step 6 - Purchasing'!H29)</f>
        <v/>
      </c>
      <c r="V282" s="17" t="str">
        <f>IF('Step 6 - Purchasing'!B29="","",'Step 6 - Purchasing'!J29)</f>
        <v/>
      </c>
      <c r="W282" s="18" t="str">
        <f>IF('Step 6 - Purchasing'!B29="","",'Step 6 - Purchasing'!K29)</f>
        <v/>
      </c>
      <c r="X282" s="17" t="str">
        <f>IF('Step 6 - Purchasing'!B29="","",'Step 6 - Purchasing'!M29)</f>
        <v/>
      </c>
      <c r="Y282" s="18" t="str">
        <f>""</f>
        <v/>
      </c>
      <c r="Z282" s="18" t="str">
        <f>""</f>
        <v/>
      </c>
      <c r="AA282" s="18" t="str">
        <f>""</f>
        <v/>
      </c>
      <c r="AB282" s="18" t="str">
        <f>""</f>
        <v/>
      </c>
      <c r="AC282" s="18" t="str">
        <f>""</f>
        <v/>
      </c>
      <c r="AD282" s="18" t="str">
        <f>""</f>
        <v/>
      </c>
      <c r="AE282" s="18" t="str">
        <f>""</f>
        <v/>
      </c>
      <c r="AF282" s="18" t="str">
        <f>""</f>
        <v/>
      </c>
      <c r="AG282" s="18" t="str">
        <f>""</f>
        <v/>
      </c>
      <c r="AH282" s="18" t="str">
        <f>""</f>
        <v/>
      </c>
      <c r="AI282" s="18" t="str">
        <f>""</f>
        <v/>
      </c>
      <c r="AJ282" s="18" t="str">
        <f>""</f>
        <v/>
      </c>
      <c r="AK282" s="18" t="str">
        <f>""</f>
        <v/>
      </c>
      <c r="AL282" s="18" t="str">
        <f>""</f>
        <v/>
      </c>
      <c r="AM282" s="18" t="str">
        <f>""</f>
        <v/>
      </c>
    </row>
    <row r="283" spans="1:39" ht="15.75" customHeight="1" x14ac:dyDescent="0.25">
      <c r="A283" s="19" t="str">
        <f>IF('Step 6 - Purchasing'!B30="","","Active")</f>
        <v/>
      </c>
      <c r="B283" s="20" t="str">
        <f>IF('Step 6 - Purchasing'!B30="","",'Step 6 - Purchasing'!B30)</f>
        <v/>
      </c>
      <c r="C283" s="20" t="str">
        <f>IF('Step 6 - Purchasing'!B30="","",'Step 6 - Purchasing'!B30)</f>
        <v/>
      </c>
      <c r="D283" s="19" t="str">
        <f>IF('Step 6 - Purchasing'!B30="","",'Step 6 - Purchasing'!F30)</f>
        <v/>
      </c>
      <c r="E283" s="19" t="str">
        <f>IF('Step 6 - Purchasing'!B30="","",'Step 6 - Purchasing'!G30)</f>
        <v/>
      </c>
      <c r="F283" s="20" t="str">
        <f>IF('Step 6 - Purchasing'!B30="","",IF('Step 6 - Purchasing'!C30="","","Fund Code"))</f>
        <v/>
      </c>
      <c r="G283" s="19" t="str">
        <f>IF('Step 6 - Purchasing'!B30="","",IF('Step 6 - Purchasing'!C30="","","Equals"))</f>
        <v/>
      </c>
      <c r="H283" s="20" t="str">
        <f>IF('Step 6 - Purchasing'!B30="","",IF('Step 6 - Purchasing'!C30="","",'Step 6 - Purchasing'!C30))</f>
        <v/>
      </c>
      <c r="I283" s="20" t="str">
        <f>IF('Step 6 - Purchasing'!B30="","","Organization Code")</f>
        <v/>
      </c>
      <c r="J283" s="19" t="str">
        <f>IF('Step 6 - Purchasing'!B30="","","Equals")</f>
        <v/>
      </c>
      <c r="K283" s="20" t="str">
        <f>IF('Step 6 - Purchasing'!B30="","",'Step 6 - Purchasing'!D30)</f>
        <v/>
      </c>
      <c r="L283" s="20" t="str">
        <f>IF('Step 6 - Purchasing'!B30="","","Other Criteria")</f>
        <v/>
      </c>
      <c r="M283" s="19" t="str">
        <f>IF('Step 6 - Purchasing'!B30="","","Equals")</f>
        <v/>
      </c>
      <c r="N283" s="20" t="str">
        <f>IF('Step 6 - Purchasing'!B30="","",'Step 6 - Purchasing'!E30)</f>
        <v/>
      </c>
      <c r="O283" s="20" t="str">
        <f>""</f>
        <v/>
      </c>
      <c r="P283" s="20" t="str">
        <f>""</f>
        <v/>
      </c>
      <c r="Q283" s="20" t="str">
        <f>""</f>
        <v/>
      </c>
      <c r="R283" s="20" t="str">
        <f>""</f>
        <v/>
      </c>
      <c r="S283" s="20" t="str">
        <f>""</f>
        <v/>
      </c>
      <c r="T283" s="20" t="str">
        <f>""</f>
        <v/>
      </c>
      <c r="U283" s="20" t="str">
        <f>IF('Step 6 - Purchasing'!B30="","",'Step 6 - Purchasing'!H30)</f>
        <v/>
      </c>
      <c r="V283" s="19" t="str">
        <f>IF('Step 6 - Purchasing'!B30="","",'Step 6 - Purchasing'!J30)</f>
        <v/>
      </c>
      <c r="W283" s="20" t="str">
        <f>IF('Step 6 - Purchasing'!B30="","",'Step 6 - Purchasing'!K30)</f>
        <v/>
      </c>
      <c r="X283" s="19" t="str">
        <f>IF('Step 6 - Purchasing'!B30="","",'Step 6 - Purchasing'!M30)</f>
        <v/>
      </c>
      <c r="Y283" s="20" t="str">
        <f>""</f>
        <v/>
      </c>
      <c r="Z283" s="20" t="str">
        <f>""</f>
        <v/>
      </c>
      <c r="AA283" s="20" t="str">
        <f>""</f>
        <v/>
      </c>
      <c r="AB283" s="20" t="str">
        <f>""</f>
        <v/>
      </c>
      <c r="AC283" s="20" t="str">
        <f>""</f>
        <v/>
      </c>
      <c r="AD283" s="20" t="str">
        <f>""</f>
        <v/>
      </c>
      <c r="AE283" s="20" t="str">
        <f>""</f>
        <v/>
      </c>
      <c r="AF283" s="20" t="str">
        <f>""</f>
        <v/>
      </c>
      <c r="AG283" s="20" t="str">
        <f>""</f>
        <v/>
      </c>
      <c r="AH283" s="20" t="str">
        <f>""</f>
        <v/>
      </c>
      <c r="AI283" s="20" t="str">
        <f>""</f>
        <v/>
      </c>
      <c r="AJ283" s="20" t="str">
        <f>""</f>
        <v/>
      </c>
      <c r="AK283" s="20" t="str">
        <f>""</f>
        <v/>
      </c>
      <c r="AL283" s="20" t="str">
        <f>""</f>
        <v/>
      </c>
      <c r="AM283" s="20" t="str">
        <f>""</f>
        <v/>
      </c>
    </row>
    <row r="284" spans="1:39" ht="15.75" customHeight="1" x14ac:dyDescent="0.25">
      <c r="A284" s="17" t="str">
        <f>IF('Step 6 - Purchasing'!B31="","","Active")</f>
        <v/>
      </c>
      <c r="B284" s="18" t="str">
        <f>IF('Step 6 - Purchasing'!B31="","",'Step 6 - Purchasing'!B31)</f>
        <v/>
      </c>
      <c r="C284" s="18" t="str">
        <f>IF('Step 6 - Purchasing'!B31="","",'Step 6 - Purchasing'!B31)</f>
        <v/>
      </c>
      <c r="D284" s="17" t="str">
        <f>IF('Step 6 - Purchasing'!B31="","",'Step 6 - Purchasing'!F31)</f>
        <v/>
      </c>
      <c r="E284" s="17" t="str">
        <f>IF('Step 6 - Purchasing'!B31="","",'Step 6 - Purchasing'!G31)</f>
        <v/>
      </c>
      <c r="F284" s="18" t="str">
        <f>IF('Step 6 - Purchasing'!B31="","",IF('Step 6 - Purchasing'!C31="","","Fund Code"))</f>
        <v/>
      </c>
      <c r="G284" s="17" t="str">
        <f>IF('Step 6 - Purchasing'!B31="","",IF('Step 6 - Purchasing'!C31="","","Equals"))</f>
        <v/>
      </c>
      <c r="H284" s="18" t="str">
        <f>IF('Step 6 - Purchasing'!B31="","",IF('Step 6 - Purchasing'!C31="","",'Step 6 - Purchasing'!C31))</f>
        <v/>
      </c>
      <c r="I284" s="18" t="str">
        <f>IF('Step 6 - Purchasing'!B31="","","Organization Code")</f>
        <v/>
      </c>
      <c r="J284" s="17" t="str">
        <f>IF('Step 6 - Purchasing'!B31="","","Equals")</f>
        <v/>
      </c>
      <c r="K284" s="18" t="str">
        <f>IF('Step 6 - Purchasing'!B31="","",'Step 6 - Purchasing'!D31)</f>
        <v/>
      </c>
      <c r="L284" s="18" t="str">
        <f>IF('Step 6 - Purchasing'!B31="","","Other Criteria")</f>
        <v/>
      </c>
      <c r="M284" s="17" t="str">
        <f>IF('Step 6 - Purchasing'!B31="","","Equals")</f>
        <v/>
      </c>
      <c r="N284" s="18" t="str">
        <f>IF('Step 6 - Purchasing'!B31="","",'Step 6 - Purchasing'!E31)</f>
        <v/>
      </c>
      <c r="O284" s="18" t="str">
        <f>""</f>
        <v/>
      </c>
      <c r="P284" s="18" t="str">
        <f>""</f>
        <v/>
      </c>
      <c r="Q284" s="18" t="str">
        <f>""</f>
        <v/>
      </c>
      <c r="R284" s="18" t="str">
        <f>""</f>
        <v/>
      </c>
      <c r="S284" s="18" t="str">
        <f>""</f>
        <v/>
      </c>
      <c r="T284" s="18" t="str">
        <f>""</f>
        <v/>
      </c>
      <c r="U284" s="18" t="str">
        <f>IF('Step 6 - Purchasing'!B31="","",'Step 6 - Purchasing'!H31)</f>
        <v/>
      </c>
      <c r="V284" s="17" t="str">
        <f>IF('Step 6 - Purchasing'!B31="","",'Step 6 - Purchasing'!J31)</f>
        <v/>
      </c>
      <c r="W284" s="18" t="str">
        <f>IF('Step 6 - Purchasing'!B31="","",'Step 6 - Purchasing'!K31)</f>
        <v/>
      </c>
      <c r="X284" s="17" t="str">
        <f>IF('Step 6 - Purchasing'!B31="","",'Step 6 - Purchasing'!M31)</f>
        <v/>
      </c>
      <c r="Y284" s="18" t="str">
        <f>""</f>
        <v/>
      </c>
      <c r="Z284" s="18" t="str">
        <f>""</f>
        <v/>
      </c>
      <c r="AA284" s="18" t="str">
        <f>""</f>
        <v/>
      </c>
      <c r="AB284" s="18" t="str">
        <f>""</f>
        <v/>
      </c>
      <c r="AC284" s="18" t="str">
        <f>""</f>
        <v/>
      </c>
      <c r="AD284" s="18" t="str">
        <f>""</f>
        <v/>
      </c>
      <c r="AE284" s="18" t="str">
        <f>""</f>
        <v/>
      </c>
      <c r="AF284" s="18" t="str">
        <f>""</f>
        <v/>
      </c>
      <c r="AG284" s="18" t="str">
        <f>""</f>
        <v/>
      </c>
      <c r="AH284" s="18" t="str">
        <f>""</f>
        <v/>
      </c>
      <c r="AI284" s="18" t="str">
        <f>""</f>
        <v/>
      </c>
      <c r="AJ284" s="18" t="str">
        <f>""</f>
        <v/>
      </c>
      <c r="AK284" s="18" t="str">
        <f>""</f>
        <v/>
      </c>
      <c r="AL284" s="18" t="str">
        <f>""</f>
        <v/>
      </c>
      <c r="AM284" s="18" t="str">
        <f>""</f>
        <v/>
      </c>
    </row>
    <row r="285" spans="1:39" ht="15.75" customHeight="1" x14ac:dyDescent="0.25">
      <c r="A285" s="19" t="str">
        <f>IF('Step 6 - Purchasing'!B32="","","Active")</f>
        <v/>
      </c>
      <c r="B285" s="20" t="str">
        <f>IF('Step 6 - Purchasing'!B32="","",'Step 6 - Purchasing'!B32)</f>
        <v/>
      </c>
      <c r="C285" s="20" t="str">
        <f>IF('Step 6 - Purchasing'!B32="","",'Step 6 - Purchasing'!B32)</f>
        <v/>
      </c>
      <c r="D285" s="19" t="str">
        <f>IF('Step 6 - Purchasing'!B32="","",'Step 6 - Purchasing'!F32)</f>
        <v/>
      </c>
      <c r="E285" s="19" t="str">
        <f>IF('Step 6 - Purchasing'!B32="","",'Step 6 - Purchasing'!G32)</f>
        <v/>
      </c>
      <c r="F285" s="20" t="str">
        <f>IF('Step 6 - Purchasing'!B32="","",IF('Step 6 - Purchasing'!C32="","","Fund Code"))</f>
        <v/>
      </c>
      <c r="G285" s="19" t="str">
        <f>IF('Step 6 - Purchasing'!B32="","",IF('Step 6 - Purchasing'!C32="","","Equals"))</f>
        <v/>
      </c>
      <c r="H285" s="20" t="str">
        <f>IF('Step 6 - Purchasing'!B32="","",IF('Step 6 - Purchasing'!C32="","",'Step 6 - Purchasing'!C32))</f>
        <v/>
      </c>
      <c r="I285" s="20" t="str">
        <f>IF('Step 6 - Purchasing'!B32="","","Organization Code")</f>
        <v/>
      </c>
      <c r="J285" s="19" t="str">
        <f>IF('Step 6 - Purchasing'!B32="","","Equals")</f>
        <v/>
      </c>
      <c r="K285" s="20" t="str">
        <f>IF('Step 6 - Purchasing'!B32="","",'Step 6 - Purchasing'!D32)</f>
        <v/>
      </c>
      <c r="L285" s="20" t="str">
        <f>IF('Step 6 - Purchasing'!B32="","","Other Criteria")</f>
        <v/>
      </c>
      <c r="M285" s="19" t="str">
        <f>IF('Step 6 - Purchasing'!B32="","","Equals")</f>
        <v/>
      </c>
      <c r="N285" s="20" t="str">
        <f>IF('Step 6 - Purchasing'!B32="","",'Step 6 - Purchasing'!E32)</f>
        <v/>
      </c>
      <c r="O285" s="20" t="str">
        <f>""</f>
        <v/>
      </c>
      <c r="P285" s="20" t="str">
        <f>""</f>
        <v/>
      </c>
      <c r="Q285" s="20" t="str">
        <f>""</f>
        <v/>
      </c>
      <c r="R285" s="20" t="str">
        <f>""</f>
        <v/>
      </c>
      <c r="S285" s="20" t="str">
        <f>""</f>
        <v/>
      </c>
      <c r="T285" s="20" t="str">
        <f>""</f>
        <v/>
      </c>
      <c r="U285" s="20" t="str">
        <f>IF('Step 6 - Purchasing'!B32="","",'Step 6 - Purchasing'!H32)</f>
        <v/>
      </c>
      <c r="V285" s="19" t="str">
        <f>IF('Step 6 - Purchasing'!B32="","",'Step 6 - Purchasing'!J32)</f>
        <v/>
      </c>
      <c r="W285" s="20" t="str">
        <f>IF('Step 6 - Purchasing'!B32="","",'Step 6 - Purchasing'!K32)</f>
        <v/>
      </c>
      <c r="X285" s="19" t="str">
        <f>IF('Step 6 - Purchasing'!B32="","",'Step 6 - Purchasing'!M32)</f>
        <v/>
      </c>
      <c r="Y285" s="20" t="str">
        <f>""</f>
        <v/>
      </c>
      <c r="Z285" s="20" t="str">
        <f>""</f>
        <v/>
      </c>
      <c r="AA285" s="20" t="str">
        <f>""</f>
        <v/>
      </c>
      <c r="AB285" s="20" t="str">
        <f>""</f>
        <v/>
      </c>
      <c r="AC285" s="20" t="str">
        <f>""</f>
        <v/>
      </c>
      <c r="AD285" s="20" t="str">
        <f>""</f>
        <v/>
      </c>
      <c r="AE285" s="20" t="str">
        <f>""</f>
        <v/>
      </c>
      <c r="AF285" s="20" t="str">
        <f>""</f>
        <v/>
      </c>
      <c r="AG285" s="20" t="str">
        <f>""</f>
        <v/>
      </c>
      <c r="AH285" s="20" t="str">
        <f>""</f>
        <v/>
      </c>
      <c r="AI285" s="20" t="str">
        <f>""</f>
        <v/>
      </c>
      <c r="AJ285" s="20" t="str">
        <f>""</f>
        <v/>
      </c>
      <c r="AK285" s="20" t="str">
        <f>""</f>
        <v/>
      </c>
      <c r="AL285" s="20" t="str">
        <f>""</f>
        <v/>
      </c>
      <c r="AM285" s="20" t="str">
        <f>""</f>
        <v/>
      </c>
    </row>
    <row r="286" spans="1:39" ht="15.75" customHeight="1" x14ac:dyDescent="0.25">
      <c r="A286" s="17" t="str">
        <f>IF('Step 6 - Purchasing'!B33="","","Active")</f>
        <v/>
      </c>
      <c r="B286" s="18" t="str">
        <f>IF('Step 6 - Purchasing'!B33="","",'Step 6 - Purchasing'!B33)</f>
        <v/>
      </c>
      <c r="C286" s="18" t="str">
        <f>IF('Step 6 - Purchasing'!B33="","",'Step 6 - Purchasing'!B33)</f>
        <v/>
      </c>
      <c r="D286" s="17" t="str">
        <f>IF('Step 6 - Purchasing'!B33="","",'Step 6 - Purchasing'!F33)</f>
        <v/>
      </c>
      <c r="E286" s="17" t="str">
        <f>IF('Step 6 - Purchasing'!B33="","",'Step 6 - Purchasing'!G33)</f>
        <v/>
      </c>
      <c r="F286" s="18" t="str">
        <f>IF('Step 6 - Purchasing'!B33="","",IF('Step 6 - Purchasing'!C33="","","Fund Code"))</f>
        <v/>
      </c>
      <c r="G286" s="17" t="str">
        <f>IF('Step 6 - Purchasing'!B33="","",IF('Step 6 - Purchasing'!C33="","","Equals"))</f>
        <v/>
      </c>
      <c r="H286" s="18" t="str">
        <f>IF('Step 6 - Purchasing'!B33="","",IF('Step 6 - Purchasing'!C33="","",'Step 6 - Purchasing'!C33))</f>
        <v/>
      </c>
      <c r="I286" s="18" t="str">
        <f>IF('Step 6 - Purchasing'!B33="","","Organization Code")</f>
        <v/>
      </c>
      <c r="J286" s="17" t="str">
        <f>IF('Step 6 - Purchasing'!B33="","","Equals")</f>
        <v/>
      </c>
      <c r="K286" s="18" t="str">
        <f>IF('Step 6 - Purchasing'!B33="","",'Step 6 - Purchasing'!D33)</f>
        <v/>
      </c>
      <c r="L286" s="18" t="str">
        <f>IF('Step 6 - Purchasing'!B33="","","Other Criteria")</f>
        <v/>
      </c>
      <c r="M286" s="17" t="str">
        <f>IF('Step 6 - Purchasing'!B33="","","Equals")</f>
        <v/>
      </c>
      <c r="N286" s="18" t="str">
        <f>IF('Step 6 - Purchasing'!B33="","",'Step 6 - Purchasing'!E33)</f>
        <v/>
      </c>
      <c r="O286" s="18" t="str">
        <f>""</f>
        <v/>
      </c>
      <c r="P286" s="18" t="str">
        <f>""</f>
        <v/>
      </c>
      <c r="Q286" s="18" t="str">
        <f>""</f>
        <v/>
      </c>
      <c r="R286" s="18" t="str">
        <f>""</f>
        <v/>
      </c>
      <c r="S286" s="18" t="str">
        <f>""</f>
        <v/>
      </c>
      <c r="T286" s="18" t="str">
        <f>""</f>
        <v/>
      </c>
      <c r="U286" s="18" t="str">
        <f>IF('Step 6 - Purchasing'!B33="","",'Step 6 - Purchasing'!H33)</f>
        <v/>
      </c>
      <c r="V286" s="17" t="str">
        <f>IF('Step 6 - Purchasing'!B33="","",'Step 6 - Purchasing'!J33)</f>
        <v/>
      </c>
      <c r="W286" s="18" t="str">
        <f>IF('Step 6 - Purchasing'!B33="","",'Step 6 - Purchasing'!K33)</f>
        <v/>
      </c>
      <c r="X286" s="17" t="str">
        <f>IF('Step 6 - Purchasing'!B33="","",'Step 6 - Purchasing'!M33)</f>
        <v/>
      </c>
      <c r="Y286" s="18" t="str">
        <f>""</f>
        <v/>
      </c>
      <c r="Z286" s="18" t="str">
        <f>""</f>
        <v/>
      </c>
      <c r="AA286" s="18" t="str">
        <f>""</f>
        <v/>
      </c>
      <c r="AB286" s="18" t="str">
        <f>""</f>
        <v/>
      </c>
      <c r="AC286" s="18" t="str">
        <f>""</f>
        <v/>
      </c>
      <c r="AD286" s="18" t="str">
        <f>""</f>
        <v/>
      </c>
      <c r="AE286" s="18" t="str">
        <f>""</f>
        <v/>
      </c>
      <c r="AF286" s="18" t="str">
        <f>""</f>
        <v/>
      </c>
      <c r="AG286" s="18" t="str">
        <f>""</f>
        <v/>
      </c>
      <c r="AH286" s="18" t="str">
        <f>""</f>
        <v/>
      </c>
      <c r="AI286" s="18" t="str">
        <f>""</f>
        <v/>
      </c>
      <c r="AJ286" s="18" t="str">
        <f>""</f>
        <v/>
      </c>
      <c r="AK286" s="18" t="str">
        <f>""</f>
        <v/>
      </c>
      <c r="AL286" s="18" t="str">
        <f>""</f>
        <v/>
      </c>
      <c r="AM286" s="18" t="str">
        <f>""</f>
        <v/>
      </c>
    </row>
    <row r="287" spans="1:39" ht="15.75" customHeight="1" x14ac:dyDescent="0.25">
      <c r="A287" s="19" t="str">
        <f>IF('Step 6 - Purchasing'!B34="","","Active")</f>
        <v/>
      </c>
      <c r="B287" s="20" t="str">
        <f>IF('Step 6 - Purchasing'!B34="","",'Step 6 - Purchasing'!B34)</f>
        <v/>
      </c>
      <c r="C287" s="20" t="str">
        <f>IF('Step 6 - Purchasing'!B34="","",'Step 6 - Purchasing'!B34)</f>
        <v/>
      </c>
      <c r="D287" s="19" t="str">
        <f>IF('Step 6 - Purchasing'!B34="","",'Step 6 - Purchasing'!F34)</f>
        <v/>
      </c>
      <c r="E287" s="19" t="str">
        <f>IF('Step 6 - Purchasing'!B34="","",'Step 6 - Purchasing'!G34)</f>
        <v/>
      </c>
      <c r="F287" s="20" t="str">
        <f>IF('Step 6 - Purchasing'!B34="","",IF('Step 6 - Purchasing'!C34="","","Fund Code"))</f>
        <v/>
      </c>
      <c r="G287" s="19" t="str">
        <f>IF('Step 6 - Purchasing'!B34="","",IF('Step 6 - Purchasing'!C34="","","Equals"))</f>
        <v/>
      </c>
      <c r="H287" s="20" t="str">
        <f>IF('Step 6 - Purchasing'!B34="","",IF('Step 6 - Purchasing'!C34="","",'Step 6 - Purchasing'!C34))</f>
        <v/>
      </c>
      <c r="I287" s="20" t="str">
        <f>IF('Step 6 - Purchasing'!B34="","","Organization Code")</f>
        <v/>
      </c>
      <c r="J287" s="19" t="str">
        <f>IF('Step 6 - Purchasing'!B34="","","Equals")</f>
        <v/>
      </c>
      <c r="K287" s="20" t="str">
        <f>IF('Step 6 - Purchasing'!B34="","",'Step 6 - Purchasing'!D34)</f>
        <v/>
      </c>
      <c r="L287" s="20" t="str">
        <f>IF('Step 6 - Purchasing'!B34="","","Other Criteria")</f>
        <v/>
      </c>
      <c r="M287" s="19" t="str">
        <f>IF('Step 6 - Purchasing'!B34="","","Equals")</f>
        <v/>
      </c>
      <c r="N287" s="20" t="str">
        <f>IF('Step 6 - Purchasing'!B34="","",'Step 6 - Purchasing'!E34)</f>
        <v/>
      </c>
      <c r="O287" s="20" t="str">
        <f>""</f>
        <v/>
      </c>
      <c r="P287" s="20" t="str">
        <f>""</f>
        <v/>
      </c>
      <c r="Q287" s="20" t="str">
        <f>""</f>
        <v/>
      </c>
      <c r="R287" s="20" t="str">
        <f>""</f>
        <v/>
      </c>
      <c r="S287" s="20" t="str">
        <f>""</f>
        <v/>
      </c>
      <c r="T287" s="20" t="str">
        <f>""</f>
        <v/>
      </c>
      <c r="U287" s="20" t="str">
        <f>IF('Step 6 - Purchasing'!B34="","",'Step 6 - Purchasing'!H34)</f>
        <v/>
      </c>
      <c r="V287" s="19" t="str">
        <f>IF('Step 6 - Purchasing'!B34="","",'Step 6 - Purchasing'!J34)</f>
        <v/>
      </c>
      <c r="W287" s="20" t="str">
        <f>IF('Step 6 - Purchasing'!B34="","",'Step 6 - Purchasing'!K34)</f>
        <v/>
      </c>
      <c r="X287" s="19" t="str">
        <f>IF('Step 6 - Purchasing'!B34="","",'Step 6 - Purchasing'!M34)</f>
        <v/>
      </c>
      <c r="Y287" s="20" t="str">
        <f>""</f>
        <v/>
      </c>
      <c r="Z287" s="20" t="str">
        <f>""</f>
        <v/>
      </c>
      <c r="AA287" s="20" t="str">
        <f>""</f>
        <v/>
      </c>
      <c r="AB287" s="20" t="str">
        <f>""</f>
        <v/>
      </c>
      <c r="AC287" s="20" t="str">
        <f>""</f>
        <v/>
      </c>
      <c r="AD287" s="20" t="str">
        <f>""</f>
        <v/>
      </c>
      <c r="AE287" s="20" t="str">
        <f>""</f>
        <v/>
      </c>
      <c r="AF287" s="20" t="str">
        <f>""</f>
        <v/>
      </c>
      <c r="AG287" s="20" t="str">
        <f>""</f>
        <v/>
      </c>
      <c r="AH287" s="20" t="str">
        <f>""</f>
        <v/>
      </c>
      <c r="AI287" s="20" t="str">
        <f>""</f>
        <v/>
      </c>
      <c r="AJ287" s="20" t="str">
        <f>""</f>
        <v/>
      </c>
      <c r="AK287" s="20" t="str">
        <f>""</f>
        <v/>
      </c>
      <c r="AL287" s="20" t="str">
        <f>""</f>
        <v/>
      </c>
      <c r="AM287" s="20" t="str">
        <f>""</f>
        <v/>
      </c>
    </row>
    <row r="288" spans="1:39" ht="15.75" customHeight="1" x14ac:dyDescent="0.25">
      <c r="A288" s="17" t="str">
        <f>IF('Step 6 - Purchasing'!B35="","","Active")</f>
        <v/>
      </c>
      <c r="B288" s="18" t="str">
        <f>IF('Step 6 - Purchasing'!B35="","",'Step 6 - Purchasing'!B35)</f>
        <v/>
      </c>
      <c r="C288" s="18" t="str">
        <f>IF('Step 6 - Purchasing'!B35="","",'Step 6 - Purchasing'!B35)</f>
        <v/>
      </c>
      <c r="D288" s="17" t="str">
        <f>IF('Step 6 - Purchasing'!B35="","",'Step 6 - Purchasing'!F35)</f>
        <v/>
      </c>
      <c r="E288" s="17" t="str">
        <f>IF('Step 6 - Purchasing'!B35="","",'Step 6 - Purchasing'!G35)</f>
        <v/>
      </c>
      <c r="F288" s="18" t="str">
        <f>IF('Step 6 - Purchasing'!B35="","",IF('Step 6 - Purchasing'!C35="","","Fund Code"))</f>
        <v/>
      </c>
      <c r="G288" s="17" t="str">
        <f>IF('Step 6 - Purchasing'!B35="","",IF('Step 6 - Purchasing'!C35="","","Equals"))</f>
        <v/>
      </c>
      <c r="H288" s="18" t="str">
        <f>IF('Step 6 - Purchasing'!B35="","",IF('Step 6 - Purchasing'!C35="","",'Step 6 - Purchasing'!C35))</f>
        <v/>
      </c>
      <c r="I288" s="18" t="str">
        <f>IF('Step 6 - Purchasing'!B35="","","Organization Code")</f>
        <v/>
      </c>
      <c r="J288" s="17" t="str">
        <f>IF('Step 6 - Purchasing'!B35="","","Equals")</f>
        <v/>
      </c>
      <c r="K288" s="18" t="str">
        <f>IF('Step 6 - Purchasing'!B35="","",'Step 6 - Purchasing'!D35)</f>
        <v/>
      </c>
      <c r="L288" s="18" t="str">
        <f>IF('Step 6 - Purchasing'!B35="","","Other Criteria")</f>
        <v/>
      </c>
      <c r="M288" s="17" t="str">
        <f>IF('Step 6 - Purchasing'!B35="","","Equals")</f>
        <v/>
      </c>
      <c r="N288" s="18" t="str">
        <f>IF('Step 6 - Purchasing'!B35="","",'Step 6 - Purchasing'!E35)</f>
        <v/>
      </c>
      <c r="O288" s="18" t="str">
        <f>""</f>
        <v/>
      </c>
      <c r="P288" s="18" t="str">
        <f>""</f>
        <v/>
      </c>
      <c r="Q288" s="18" t="str">
        <f>""</f>
        <v/>
      </c>
      <c r="R288" s="18" t="str">
        <f>""</f>
        <v/>
      </c>
      <c r="S288" s="18" t="str">
        <f>""</f>
        <v/>
      </c>
      <c r="T288" s="18" t="str">
        <f>""</f>
        <v/>
      </c>
      <c r="U288" s="18" t="str">
        <f>IF('Step 6 - Purchasing'!B35="","",'Step 6 - Purchasing'!H35)</f>
        <v/>
      </c>
      <c r="V288" s="17" t="str">
        <f>IF('Step 6 - Purchasing'!B35="","",'Step 6 - Purchasing'!J35)</f>
        <v/>
      </c>
      <c r="W288" s="18" t="str">
        <f>IF('Step 6 - Purchasing'!B35="","",'Step 6 - Purchasing'!K35)</f>
        <v/>
      </c>
      <c r="X288" s="17" t="str">
        <f>IF('Step 6 - Purchasing'!B35="","",'Step 6 - Purchasing'!M35)</f>
        <v/>
      </c>
      <c r="Y288" s="18" t="str">
        <f>""</f>
        <v/>
      </c>
      <c r="Z288" s="18" t="str">
        <f>""</f>
        <v/>
      </c>
      <c r="AA288" s="18" t="str">
        <f>""</f>
        <v/>
      </c>
      <c r="AB288" s="18" t="str">
        <f>""</f>
        <v/>
      </c>
      <c r="AC288" s="18" t="str">
        <f>""</f>
        <v/>
      </c>
      <c r="AD288" s="18" t="str">
        <f>""</f>
        <v/>
      </c>
      <c r="AE288" s="18" t="str">
        <f>""</f>
        <v/>
      </c>
      <c r="AF288" s="18" t="str">
        <f>""</f>
        <v/>
      </c>
      <c r="AG288" s="18" t="str">
        <f>""</f>
        <v/>
      </c>
      <c r="AH288" s="18" t="str">
        <f>""</f>
        <v/>
      </c>
      <c r="AI288" s="18" t="str">
        <f>""</f>
        <v/>
      </c>
      <c r="AJ288" s="18" t="str">
        <f>""</f>
        <v/>
      </c>
      <c r="AK288" s="18" t="str">
        <f>""</f>
        <v/>
      </c>
      <c r="AL288" s="18" t="str">
        <f>""</f>
        <v/>
      </c>
      <c r="AM288" s="18" t="str">
        <f>""</f>
        <v/>
      </c>
    </row>
    <row r="289" spans="1:39" ht="15.75" customHeight="1" x14ac:dyDescent="0.25">
      <c r="A289" s="19" t="str">
        <f>IF('Step 6 - Purchasing'!B36="","","Active")</f>
        <v/>
      </c>
      <c r="B289" s="20" t="str">
        <f>IF('Step 6 - Purchasing'!B36="","",'Step 6 - Purchasing'!B36)</f>
        <v/>
      </c>
      <c r="C289" s="20" t="str">
        <f>IF('Step 6 - Purchasing'!B36="","",'Step 6 - Purchasing'!B36)</f>
        <v/>
      </c>
      <c r="D289" s="19" t="str">
        <f>IF('Step 6 - Purchasing'!B36="","",'Step 6 - Purchasing'!F36)</f>
        <v/>
      </c>
      <c r="E289" s="19" t="str">
        <f>IF('Step 6 - Purchasing'!B36="","",'Step 6 - Purchasing'!G36)</f>
        <v/>
      </c>
      <c r="F289" s="20" t="str">
        <f>IF('Step 6 - Purchasing'!B36="","",IF('Step 6 - Purchasing'!C36="","","Fund Code"))</f>
        <v/>
      </c>
      <c r="G289" s="19" t="str">
        <f>IF('Step 6 - Purchasing'!B36="","",IF('Step 6 - Purchasing'!C36="","","Equals"))</f>
        <v/>
      </c>
      <c r="H289" s="20" t="str">
        <f>IF('Step 6 - Purchasing'!B36="","",IF('Step 6 - Purchasing'!C36="","",'Step 6 - Purchasing'!C36))</f>
        <v/>
      </c>
      <c r="I289" s="20" t="str">
        <f>IF('Step 6 - Purchasing'!B36="","","Organization Code")</f>
        <v/>
      </c>
      <c r="J289" s="19" t="str">
        <f>IF('Step 6 - Purchasing'!B36="","","Equals")</f>
        <v/>
      </c>
      <c r="K289" s="20" t="str">
        <f>IF('Step 6 - Purchasing'!B36="","",'Step 6 - Purchasing'!D36)</f>
        <v/>
      </c>
      <c r="L289" s="20" t="str">
        <f>IF('Step 6 - Purchasing'!B36="","","Other Criteria")</f>
        <v/>
      </c>
      <c r="M289" s="19" t="str">
        <f>IF('Step 6 - Purchasing'!B36="","","Equals")</f>
        <v/>
      </c>
      <c r="N289" s="20" t="str">
        <f>IF('Step 6 - Purchasing'!B36="","",'Step 6 - Purchasing'!E36)</f>
        <v/>
      </c>
      <c r="O289" s="20" t="str">
        <f>""</f>
        <v/>
      </c>
      <c r="P289" s="20" t="str">
        <f>""</f>
        <v/>
      </c>
      <c r="Q289" s="20" t="str">
        <f>""</f>
        <v/>
      </c>
      <c r="R289" s="20" t="str">
        <f>""</f>
        <v/>
      </c>
      <c r="S289" s="20" t="str">
        <f>""</f>
        <v/>
      </c>
      <c r="T289" s="20" t="str">
        <f>""</f>
        <v/>
      </c>
      <c r="U289" s="20" t="str">
        <f>IF('Step 6 - Purchasing'!B36="","",'Step 6 - Purchasing'!H36)</f>
        <v/>
      </c>
      <c r="V289" s="19" t="str">
        <f>IF('Step 6 - Purchasing'!B36="","",'Step 6 - Purchasing'!J36)</f>
        <v/>
      </c>
      <c r="W289" s="20" t="str">
        <f>IF('Step 6 - Purchasing'!B36="","",'Step 6 - Purchasing'!K36)</f>
        <v/>
      </c>
      <c r="X289" s="19" t="str">
        <f>IF('Step 6 - Purchasing'!B36="","",'Step 6 - Purchasing'!M36)</f>
        <v/>
      </c>
      <c r="Y289" s="20" t="str">
        <f>""</f>
        <v/>
      </c>
      <c r="Z289" s="20" t="str">
        <f>""</f>
        <v/>
      </c>
      <c r="AA289" s="20" t="str">
        <f>""</f>
        <v/>
      </c>
      <c r="AB289" s="20" t="str">
        <f>""</f>
        <v/>
      </c>
      <c r="AC289" s="20" t="str">
        <f>""</f>
        <v/>
      </c>
      <c r="AD289" s="20" t="str">
        <f>""</f>
        <v/>
      </c>
      <c r="AE289" s="20" t="str">
        <f>""</f>
        <v/>
      </c>
      <c r="AF289" s="20" t="str">
        <f>""</f>
        <v/>
      </c>
      <c r="AG289" s="20" t="str">
        <f>""</f>
        <v/>
      </c>
      <c r="AH289" s="20" t="str">
        <f>""</f>
        <v/>
      </c>
      <c r="AI289" s="20" t="str">
        <f>""</f>
        <v/>
      </c>
      <c r="AJ289" s="20" t="str">
        <f>""</f>
        <v/>
      </c>
      <c r="AK289" s="20" t="str">
        <f>""</f>
        <v/>
      </c>
      <c r="AL289" s="20" t="str">
        <f>""</f>
        <v/>
      </c>
      <c r="AM289" s="20" t="str">
        <f>""</f>
        <v/>
      </c>
    </row>
    <row r="290" spans="1:39" ht="15.75" customHeight="1" x14ac:dyDescent="0.25">
      <c r="A290" s="17" t="str">
        <f>IF('Step 6 - Purchasing'!B37="","","Active")</f>
        <v/>
      </c>
      <c r="B290" s="18" t="str">
        <f>IF('Step 6 - Purchasing'!B37="","",'Step 6 - Purchasing'!B37)</f>
        <v/>
      </c>
      <c r="C290" s="18" t="str">
        <f>IF('Step 6 - Purchasing'!B37="","",'Step 6 - Purchasing'!B37)</f>
        <v/>
      </c>
      <c r="D290" s="17" t="str">
        <f>IF('Step 6 - Purchasing'!B37="","",'Step 6 - Purchasing'!F37)</f>
        <v/>
      </c>
      <c r="E290" s="17" t="str">
        <f>IF('Step 6 - Purchasing'!B37="","",'Step 6 - Purchasing'!G37)</f>
        <v/>
      </c>
      <c r="F290" s="18" t="str">
        <f>IF('Step 6 - Purchasing'!B37="","",IF('Step 6 - Purchasing'!C37="","","Fund Code"))</f>
        <v/>
      </c>
      <c r="G290" s="17" t="str">
        <f>IF('Step 6 - Purchasing'!B37="","",IF('Step 6 - Purchasing'!C37="","","Equals"))</f>
        <v/>
      </c>
      <c r="H290" s="18" t="str">
        <f>IF('Step 6 - Purchasing'!B37="","",IF('Step 6 - Purchasing'!C37="","",'Step 6 - Purchasing'!C37))</f>
        <v/>
      </c>
      <c r="I290" s="18" t="str">
        <f>IF('Step 6 - Purchasing'!B37="","","Organization Code")</f>
        <v/>
      </c>
      <c r="J290" s="17" t="str">
        <f>IF('Step 6 - Purchasing'!B37="","","Equals")</f>
        <v/>
      </c>
      <c r="K290" s="18" t="str">
        <f>IF('Step 6 - Purchasing'!B37="","",'Step 6 - Purchasing'!D37)</f>
        <v/>
      </c>
      <c r="L290" s="18" t="str">
        <f>IF('Step 6 - Purchasing'!B37="","","Other Criteria")</f>
        <v/>
      </c>
      <c r="M290" s="17" t="str">
        <f>IF('Step 6 - Purchasing'!B37="","","Equals")</f>
        <v/>
      </c>
      <c r="N290" s="18" t="str">
        <f>IF('Step 6 - Purchasing'!B37="","",'Step 6 - Purchasing'!E37)</f>
        <v/>
      </c>
      <c r="O290" s="18" t="str">
        <f>""</f>
        <v/>
      </c>
      <c r="P290" s="18" t="str">
        <f>""</f>
        <v/>
      </c>
      <c r="Q290" s="18" t="str">
        <f>""</f>
        <v/>
      </c>
      <c r="R290" s="18" t="str">
        <f>""</f>
        <v/>
      </c>
      <c r="S290" s="18" t="str">
        <f>""</f>
        <v/>
      </c>
      <c r="T290" s="18" t="str">
        <f>""</f>
        <v/>
      </c>
      <c r="U290" s="18" t="str">
        <f>IF('Step 6 - Purchasing'!B37="","",'Step 6 - Purchasing'!H37)</f>
        <v/>
      </c>
      <c r="V290" s="17" t="str">
        <f>IF('Step 6 - Purchasing'!B37="","",'Step 6 - Purchasing'!J37)</f>
        <v/>
      </c>
      <c r="W290" s="18" t="str">
        <f>IF('Step 6 - Purchasing'!B37="","",'Step 6 - Purchasing'!K37)</f>
        <v/>
      </c>
      <c r="X290" s="17" t="str">
        <f>IF('Step 6 - Purchasing'!B37="","",'Step 6 - Purchasing'!M37)</f>
        <v/>
      </c>
      <c r="Y290" s="18" t="str">
        <f>""</f>
        <v/>
      </c>
      <c r="Z290" s="18" t="str">
        <f>""</f>
        <v/>
      </c>
      <c r="AA290" s="18" t="str">
        <f>""</f>
        <v/>
      </c>
      <c r="AB290" s="18" t="str">
        <f>""</f>
        <v/>
      </c>
      <c r="AC290" s="18" t="str">
        <f>""</f>
        <v/>
      </c>
      <c r="AD290" s="18" t="str">
        <f>""</f>
        <v/>
      </c>
      <c r="AE290" s="18" t="str">
        <f>""</f>
        <v/>
      </c>
      <c r="AF290" s="18" t="str">
        <f>""</f>
        <v/>
      </c>
      <c r="AG290" s="18" t="str">
        <f>""</f>
        <v/>
      </c>
      <c r="AH290" s="18" t="str">
        <f>""</f>
        <v/>
      </c>
      <c r="AI290" s="18" t="str">
        <f>""</f>
        <v/>
      </c>
      <c r="AJ290" s="18" t="str">
        <f>""</f>
        <v/>
      </c>
      <c r="AK290" s="18" t="str">
        <f>""</f>
        <v/>
      </c>
      <c r="AL290" s="18" t="str">
        <f>""</f>
        <v/>
      </c>
      <c r="AM290" s="18" t="str">
        <f>""</f>
        <v/>
      </c>
    </row>
    <row r="291" spans="1:39" ht="15.75" customHeight="1" x14ac:dyDescent="0.25">
      <c r="A291" s="19" t="str">
        <f>IF('Step 6 - Purchasing'!B38="","","Active")</f>
        <v/>
      </c>
      <c r="B291" s="20" t="str">
        <f>IF('Step 6 - Purchasing'!B38="","",'Step 6 - Purchasing'!B38)</f>
        <v/>
      </c>
      <c r="C291" s="20" t="str">
        <f>IF('Step 6 - Purchasing'!B38="","",'Step 6 - Purchasing'!B38)</f>
        <v/>
      </c>
      <c r="D291" s="19" t="str">
        <f>IF('Step 6 - Purchasing'!B38="","",'Step 6 - Purchasing'!F38)</f>
        <v/>
      </c>
      <c r="E291" s="19" t="str">
        <f>IF('Step 6 - Purchasing'!B38="","",'Step 6 - Purchasing'!G38)</f>
        <v/>
      </c>
      <c r="F291" s="20" t="str">
        <f>IF('Step 6 - Purchasing'!B38="","",IF('Step 6 - Purchasing'!C38="","","Fund Code"))</f>
        <v/>
      </c>
      <c r="G291" s="19" t="str">
        <f>IF('Step 6 - Purchasing'!B38="","",IF('Step 6 - Purchasing'!C38="","","Equals"))</f>
        <v/>
      </c>
      <c r="H291" s="20" t="str">
        <f>IF('Step 6 - Purchasing'!B38="","",IF('Step 6 - Purchasing'!C38="","",'Step 6 - Purchasing'!C38))</f>
        <v/>
      </c>
      <c r="I291" s="20" t="str">
        <f>IF('Step 6 - Purchasing'!B38="","","Organization Code")</f>
        <v/>
      </c>
      <c r="J291" s="19" t="str">
        <f>IF('Step 6 - Purchasing'!B38="","","Equals")</f>
        <v/>
      </c>
      <c r="K291" s="20" t="str">
        <f>IF('Step 6 - Purchasing'!B38="","",'Step 6 - Purchasing'!D38)</f>
        <v/>
      </c>
      <c r="L291" s="20" t="str">
        <f>IF('Step 6 - Purchasing'!B38="","","Other Criteria")</f>
        <v/>
      </c>
      <c r="M291" s="19" t="str">
        <f>IF('Step 6 - Purchasing'!B38="","","Equals")</f>
        <v/>
      </c>
      <c r="N291" s="20" t="str">
        <f>IF('Step 6 - Purchasing'!B38="","",'Step 6 - Purchasing'!E38)</f>
        <v/>
      </c>
      <c r="O291" s="20" t="str">
        <f>""</f>
        <v/>
      </c>
      <c r="P291" s="20" t="str">
        <f>""</f>
        <v/>
      </c>
      <c r="Q291" s="20" t="str">
        <f>""</f>
        <v/>
      </c>
      <c r="R291" s="20" t="str">
        <f>""</f>
        <v/>
      </c>
      <c r="S291" s="20" t="str">
        <f>""</f>
        <v/>
      </c>
      <c r="T291" s="20" t="str">
        <f>""</f>
        <v/>
      </c>
      <c r="U291" s="20" t="str">
        <f>IF('Step 6 - Purchasing'!B38="","",'Step 6 - Purchasing'!H38)</f>
        <v/>
      </c>
      <c r="V291" s="19" t="str">
        <f>IF('Step 6 - Purchasing'!B38="","",'Step 6 - Purchasing'!J38)</f>
        <v/>
      </c>
      <c r="W291" s="20" t="str">
        <f>IF('Step 6 - Purchasing'!B38="","",'Step 6 - Purchasing'!K38)</f>
        <v/>
      </c>
      <c r="X291" s="19" t="str">
        <f>IF('Step 6 - Purchasing'!B38="","",'Step 6 - Purchasing'!M38)</f>
        <v/>
      </c>
      <c r="Y291" s="20" t="str">
        <f>""</f>
        <v/>
      </c>
      <c r="Z291" s="20" t="str">
        <f>""</f>
        <v/>
      </c>
      <c r="AA291" s="20" t="str">
        <f>""</f>
        <v/>
      </c>
      <c r="AB291" s="20" t="str">
        <f>""</f>
        <v/>
      </c>
      <c r="AC291" s="20" t="str">
        <f>""</f>
        <v/>
      </c>
      <c r="AD291" s="20" t="str">
        <f>""</f>
        <v/>
      </c>
      <c r="AE291" s="20" t="str">
        <f>""</f>
        <v/>
      </c>
      <c r="AF291" s="20" t="str">
        <f>""</f>
        <v/>
      </c>
      <c r="AG291" s="20" t="str">
        <f>""</f>
        <v/>
      </c>
      <c r="AH291" s="20" t="str">
        <f>""</f>
        <v/>
      </c>
      <c r="AI291" s="20" t="str">
        <f>""</f>
        <v/>
      </c>
      <c r="AJ291" s="20" t="str">
        <f>""</f>
        <v/>
      </c>
      <c r="AK291" s="20" t="str">
        <f>""</f>
        <v/>
      </c>
      <c r="AL291" s="20" t="str">
        <f>""</f>
        <v/>
      </c>
      <c r="AM291" s="20" t="str">
        <f>""</f>
        <v/>
      </c>
    </row>
    <row r="292" spans="1:39" ht="15.75" customHeight="1" x14ac:dyDescent="0.25">
      <c r="A292" s="17" t="str">
        <f>IF('Step 6 - Purchasing'!B39="","","Active")</f>
        <v/>
      </c>
      <c r="B292" s="18" t="str">
        <f>IF('Step 6 - Purchasing'!B39="","",'Step 6 - Purchasing'!B39)</f>
        <v/>
      </c>
      <c r="C292" s="18" t="str">
        <f>IF('Step 6 - Purchasing'!B39="","",'Step 6 - Purchasing'!B39)</f>
        <v/>
      </c>
      <c r="D292" s="17" t="str">
        <f>IF('Step 6 - Purchasing'!B39="","",'Step 6 - Purchasing'!F39)</f>
        <v/>
      </c>
      <c r="E292" s="17" t="str">
        <f>IF('Step 6 - Purchasing'!B39="","",'Step 6 - Purchasing'!G39)</f>
        <v/>
      </c>
      <c r="F292" s="18" t="str">
        <f>IF('Step 6 - Purchasing'!B39="","",IF('Step 6 - Purchasing'!C39="","","Fund Code"))</f>
        <v/>
      </c>
      <c r="G292" s="17" t="str">
        <f>IF('Step 6 - Purchasing'!B39="","",IF('Step 6 - Purchasing'!C39="","","Equals"))</f>
        <v/>
      </c>
      <c r="H292" s="18" t="str">
        <f>IF('Step 6 - Purchasing'!B39="","",IF('Step 6 - Purchasing'!C39="","",'Step 6 - Purchasing'!C39))</f>
        <v/>
      </c>
      <c r="I292" s="18" t="str">
        <f>IF('Step 6 - Purchasing'!B39="","","Organization Code")</f>
        <v/>
      </c>
      <c r="J292" s="17" t="str">
        <f>IF('Step 6 - Purchasing'!B39="","","Equals")</f>
        <v/>
      </c>
      <c r="K292" s="18" t="str">
        <f>IF('Step 6 - Purchasing'!B39="","",'Step 6 - Purchasing'!D39)</f>
        <v/>
      </c>
      <c r="L292" s="18" t="str">
        <f>IF('Step 6 - Purchasing'!B39="","","Other Criteria")</f>
        <v/>
      </c>
      <c r="M292" s="17" t="str">
        <f>IF('Step 6 - Purchasing'!B39="","","Equals")</f>
        <v/>
      </c>
      <c r="N292" s="18" t="str">
        <f>IF('Step 6 - Purchasing'!B39="","",'Step 6 - Purchasing'!E39)</f>
        <v/>
      </c>
      <c r="O292" s="18" t="str">
        <f>""</f>
        <v/>
      </c>
      <c r="P292" s="18" t="str">
        <f>""</f>
        <v/>
      </c>
      <c r="Q292" s="18" t="str">
        <f>""</f>
        <v/>
      </c>
      <c r="R292" s="18" t="str">
        <f>""</f>
        <v/>
      </c>
      <c r="S292" s="18" t="str">
        <f>""</f>
        <v/>
      </c>
      <c r="T292" s="18" t="str">
        <f>""</f>
        <v/>
      </c>
      <c r="U292" s="18" t="str">
        <f>IF('Step 6 - Purchasing'!B39="","",'Step 6 - Purchasing'!H39)</f>
        <v/>
      </c>
      <c r="V292" s="17" t="str">
        <f>IF('Step 6 - Purchasing'!B39="","",'Step 6 - Purchasing'!J39)</f>
        <v/>
      </c>
      <c r="W292" s="18" t="str">
        <f>IF('Step 6 - Purchasing'!B39="","",'Step 6 - Purchasing'!K39)</f>
        <v/>
      </c>
      <c r="X292" s="17" t="str">
        <f>IF('Step 6 - Purchasing'!B39="","",'Step 6 - Purchasing'!M39)</f>
        <v/>
      </c>
      <c r="Y292" s="18" t="str">
        <f>""</f>
        <v/>
      </c>
      <c r="Z292" s="18" t="str">
        <f>""</f>
        <v/>
      </c>
      <c r="AA292" s="18" t="str">
        <f>""</f>
        <v/>
      </c>
      <c r="AB292" s="18" t="str">
        <f>""</f>
        <v/>
      </c>
      <c r="AC292" s="18" t="str">
        <f>""</f>
        <v/>
      </c>
      <c r="AD292" s="18" t="str">
        <f>""</f>
        <v/>
      </c>
      <c r="AE292" s="18" t="str">
        <f>""</f>
        <v/>
      </c>
      <c r="AF292" s="18" t="str">
        <f>""</f>
        <v/>
      </c>
      <c r="AG292" s="18" t="str">
        <f>""</f>
        <v/>
      </c>
      <c r="AH292" s="18" t="str">
        <f>""</f>
        <v/>
      </c>
      <c r="AI292" s="18" t="str">
        <f>""</f>
        <v/>
      </c>
      <c r="AJ292" s="18" t="str">
        <f>""</f>
        <v/>
      </c>
      <c r="AK292" s="18" t="str">
        <f>""</f>
        <v/>
      </c>
      <c r="AL292" s="18" t="str">
        <f>""</f>
        <v/>
      </c>
      <c r="AM292" s="18" t="str">
        <f>""</f>
        <v/>
      </c>
    </row>
    <row r="293" spans="1:39" ht="15.75" customHeight="1" x14ac:dyDescent="0.25">
      <c r="A293" s="19" t="str">
        <f>IF('Step 6 - Purchasing'!B40="","","Active")</f>
        <v/>
      </c>
      <c r="B293" s="20" t="str">
        <f>IF('Step 6 - Purchasing'!B40="","",'Step 6 - Purchasing'!B40)</f>
        <v/>
      </c>
      <c r="C293" s="20" t="str">
        <f>IF('Step 6 - Purchasing'!B40="","",'Step 6 - Purchasing'!B40)</f>
        <v/>
      </c>
      <c r="D293" s="19" t="str">
        <f>IF('Step 6 - Purchasing'!B40="","",'Step 6 - Purchasing'!F40)</f>
        <v/>
      </c>
      <c r="E293" s="19" t="str">
        <f>IF('Step 6 - Purchasing'!B40="","",'Step 6 - Purchasing'!G40)</f>
        <v/>
      </c>
      <c r="F293" s="20" t="str">
        <f>IF('Step 6 - Purchasing'!B40="","",IF('Step 6 - Purchasing'!C40="","","Fund Code"))</f>
        <v/>
      </c>
      <c r="G293" s="19" t="str">
        <f>IF('Step 6 - Purchasing'!B40="","",IF('Step 6 - Purchasing'!C40="","","Equals"))</f>
        <v/>
      </c>
      <c r="H293" s="20" t="str">
        <f>IF('Step 6 - Purchasing'!B40="","",IF('Step 6 - Purchasing'!C40="","",'Step 6 - Purchasing'!C40))</f>
        <v/>
      </c>
      <c r="I293" s="20" t="str">
        <f>IF('Step 6 - Purchasing'!B40="","","Organization Code")</f>
        <v/>
      </c>
      <c r="J293" s="19" t="str">
        <f>IF('Step 6 - Purchasing'!B40="","","Equals")</f>
        <v/>
      </c>
      <c r="K293" s="20" t="str">
        <f>IF('Step 6 - Purchasing'!B40="","",'Step 6 - Purchasing'!D40)</f>
        <v/>
      </c>
      <c r="L293" s="20" t="str">
        <f>IF('Step 6 - Purchasing'!B40="","","Other Criteria")</f>
        <v/>
      </c>
      <c r="M293" s="19" t="str">
        <f>IF('Step 6 - Purchasing'!B40="","","Equals")</f>
        <v/>
      </c>
      <c r="N293" s="20" t="str">
        <f>IF('Step 6 - Purchasing'!B40="","",'Step 6 - Purchasing'!E40)</f>
        <v/>
      </c>
      <c r="O293" s="20" t="str">
        <f>""</f>
        <v/>
      </c>
      <c r="P293" s="20" t="str">
        <f>""</f>
        <v/>
      </c>
      <c r="Q293" s="20" t="str">
        <f>""</f>
        <v/>
      </c>
      <c r="R293" s="20" t="str">
        <f>""</f>
        <v/>
      </c>
      <c r="S293" s="20" t="str">
        <f>""</f>
        <v/>
      </c>
      <c r="T293" s="20" t="str">
        <f>""</f>
        <v/>
      </c>
      <c r="U293" s="20" t="str">
        <f>IF('Step 6 - Purchasing'!B40="","",'Step 6 - Purchasing'!H40)</f>
        <v/>
      </c>
      <c r="V293" s="19" t="str">
        <f>IF('Step 6 - Purchasing'!B40="","",'Step 6 - Purchasing'!J40)</f>
        <v/>
      </c>
      <c r="W293" s="20" t="str">
        <f>IF('Step 6 - Purchasing'!B40="","",'Step 6 - Purchasing'!K40)</f>
        <v/>
      </c>
      <c r="X293" s="19" t="str">
        <f>IF('Step 6 - Purchasing'!B40="","",'Step 6 - Purchasing'!M40)</f>
        <v/>
      </c>
      <c r="Y293" s="20" t="str">
        <f>""</f>
        <v/>
      </c>
      <c r="Z293" s="20" t="str">
        <f>""</f>
        <v/>
      </c>
      <c r="AA293" s="20" t="str">
        <f>""</f>
        <v/>
      </c>
      <c r="AB293" s="20" t="str">
        <f>""</f>
        <v/>
      </c>
      <c r="AC293" s="20" t="str">
        <f>""</f>
        <v/>
      </c>
      <c r="AD293" s="20" t="str">
        <f>""</f>
        <v/>
      </c>
      <c r="AE293" s="20" t="str">
        <f>""</f>
        <v/>
      </c>
      <c r="AF293" s="20" t="str">
        <f>""</f>
        <v/>
      </c>
      <c r="AG293" s="20" t="str">
        <f>""</f>
        <v/>
      </c>
      <c r="AH293" s="20" t="str">
        <f>""</f>
        <v/>
      </c>
      <c r="AI293" s="20" t="str">
        <f>""</f>
        <v/>
      </c>
      <c r="AJ293" s="20" t="str">
        <f>""</f>
        <v/>
      </c>
      <c r="AK293" s="20" t="str">
        <f>""</f>
        <v/>
      </c>
      <c r="AL293" s="20" t="str">
        <f>""</f>
        <v/>
      </c>
      <c r="AM293" s="20" t="str">
        <f>""</f>
        <v/>
      </c>
    </row>
    <row r="294" spans="1:39" ht="15.75" customHeight="1" x14ac:dyDescent="0.25">
      <c r="A294" s="17" t="str">
        <f>IF('Step 6 - Purchasing'!B41="","","Active")</f>
        <v/>
      </c>
      <c r="B294" s="18" t="str">
        <f>IF('Step 6 - Purchasing'!B41="","",'Step 6 - Purchasing'!B41)</f>
        <v/>
      </c>
      <c r="C294" s="18" t="str">
        <f>IF('Step 6 - Purchasing'!B41="","",'Step 6 - Purchasing'!B41)</f>
        <v/>
      </c>
      <c r="D294" s="17" t="str">
        <f>IF('Step 6 - Purchasing'!B41="","",'Step 6 - Purchasing'!F41)</f>
        <v/>
      </c>
      <c r="E294" s="17" t="str">
        <f>IF('Step 6 - Purchasing'!B41="","",'Step 6 - Purchasing'!G41)</f>
        <v/>
      </c>
      <c r="F294" s="18" t="str">
        <f>IF('Step 6 - Purchasing'!B41="","",IF('Step 6 - Purchasing'!C41="","","Fund Code"))</f>
        <v/>
      </c>
      <c r="G294" s="17" t="str">
        <f>IF('Step 6 - Purchasing'!B41="","",IF('Step 6 - Purchasing'!C41="","","Equals"))</f>
        <v/>
      </c>
      <c r="H294" s="18" t="str">
        <f>IF('Step 6 - Purchasing'!B41="","",IF('Step 6 - Purchasing'!C41="","",'Step 6 - Purchasing'!C41))</f>
        <v/>
      </c>
      <c r="I294" s="18" t="str">
        <f>IF('Step 6 - Purchasing'!B41="","","Organization Code")</f>
        <v/>
      </c>
      <c r="J294" s="17" t="str">
        <f>IF('Step 6 - Purchasing'!B41="","","Equals")</f>
        <v/>
      </c>
      <c r="K294" s="18" t="str">
        <f>IF('Step 6 - Purchasing'!B41="","",'Step 6 - Purchasing'!D41)</f>
        <v/>
      </c>
      <c r="L294" s="18" t="str">
        <f>IF('Step 6 - Purchasing'!B41="","","Other Criteria")</f>
        <v/>
      </c>
      <c r="M294" s="17" t="str">
        <f>IF('Step 6 - Purchasing'!B41="","","Equals")</f>
        <v/>
      </c>
      <c r="N294" s="18" t="str">
        <f>IF('Step 6 - Purchasing'!B41="","",'Step 6 - Purchasing'!E41)</f>
        <v/>
      </c>
      <c r="O294" s="18" t="str">
        <f>""</f>
        <v/>
      </c>
      <c r="P294" s="18" t="str">
        <f>""</f>
        <v/>
      </c>
      <c r="Q294" s="18" t="str">
        <f>""</f>
        <v/>
      </c>
      <c r="R294" s="18" t="str">
        <f>""</f>
        <v/>
      </c>
      <c r="S294" s="18" t="str">
        <f>""</f>
        <v/>
      </c>
      <c r="T294" s="18" t="str">
        <f>""</f>
        <v/>
      </c>
      <c r="U294" s="18" t="str">
        <f>IF('Step 6 - Purchasing'!B41="","",'Step 6 - Purchasing'!H41)</f>
        <v/>
      </c>
      <c r="V294" s="17" t="str">
        <f>IF('Step 6 - Purchasing'!B41="","",'Step 6 - Purchasing'!J41)</f>
        <v/>
      </c>
      <c r="W294" s="18" t="str">
        <f>IF('Step 6 - Purchasing'!B41="","",'Step 6 - Purchasing'!K41)</f>
        <v/>
      </c>
      <c r="X294" s="17" t="str">
        <f>IF('Step 6 - Purchasing'!B41="","",'Step 6 - Purchasing'!M41)</f>
        <v/>
      </c>
      <c r="Y294" s="18" t="str">
        <f>""</f>
        <v/>
      </c>
      <c r="Z294" s="18" t="str">
        <f>""</f>
        <v/>
      </c>
      <c r="AA294" s="18" t="str">
        <f>""</f>
        <v/>
      </c>
      <c r="AB294" s="18" t="str">
        <f>""</f>
        <v/>
      </c>
      <c r="AC294" s="18" t="str">
        <f>""</f>
        <v/>
      </c>
      <c r="AD294" s="18" t="str">
        <f>""</f>
        <v/>
      </c>
      <c r="AE294" s="18" t="str">
        <f>""</f>
        <v/>
      </c>
      <c r="AF294" s="18" t="str">
        <f>""</f>
        <v/>
      </c>
      <c r="AG294" s="18" t="str">
        <f>""</f>
        <v/>
      </c>
      <c r="AH294" s="18" t="str">
        <f>""</f>
        <v/>
      </c>
      <c r="AI294" s="18" t="str">
        <f>""</f>
        <v/>
      </c>
      <c r="AJ294" s="18" t="str">
        <f>""</f>
        <v/>
      </c>
      <c r="AK294" s="18" t="str">
        <f>""</f>
        <v/>
      </c>
      <c r="AL294" s="18" t="str">
        <f>""</f>
        <v/>
      </c>
      <c r="AM294" s="18" t="str">
        <f>""</f>
        <v/>
      </c>
    </row>
    <row r="295" spans="1:39" ht="15.75" customHeight="1" x14ac:dyDescent="0.25">
      <c r="A295" s="19" t="str">
        <f>IF('Step 6 - Purchasing'!B42="","","Active")</f>
        <v/>
      </c>
      <c r="B295" s="20" t="str">
        <f>IF('Step 6 - Purchasing'!B42="","",'Step 6 - Purchasing'!B42)</f>
        <v/>
      </c>
      <c r="C295" s="20" t="str">
        <f>IF('Step 6 - Purchasing'!B42="","",'Step 6 - Purchasing'!B42)</f>
        <v/>
      </c>
      <c r="D295" s="19" t="str">
        <f>IF('Step 6 - Purchasing'!B42="","",'Step 6 - Purchasing'!F42)</f>
        <v/>
      </c>
      <c r="E295" s="19" t="str">
        <f>IF('Step 6 - Purchasing'!B42="","",'Step 6 - Purchasing'!G42)</f>
        <v/>
      </c>
      <c r="F295" s="20" t="str">
        <f>IF('Step 6 - Purchasing'!B42="","",IF('Step 6 - Purchasing'!C42="","","Fund Code"))</f>
        <v/>
      </c>
      <c r="G295" s="19" t="str">
        <f>IF('Step 6 - Purchasing'!B42="","",IF('Step 6 - Purchasing'!C42="","","Equals"))</f>
        <v/>
      </c>
      <c r="H295" s="20" t="str">
        <f>IF('Step 6 - Purchasing'!B42="","",IF('Step 6 - Purchasing'!C42="","",'Step 6 - Purchasing'!C42))</f>
        <v/>
      </c>
      <c r="I295" s="20" t="str">
        <f>IF('Step 6 - Purchasing'!B42="","","Organization Code")</f>
        <v/>
      </c>
      <c r="J295" s="19" t="str">
        <f>IF('Step 6 - Purchasing'!B42="","","Equals")</f>
        <v/>
      </c>
      <c r="K295" s="20" t="str">
        <f>IF('Step 6 - Purchasing'!B42="","",'Step 6 - Purchasing'!D42)</f>
        <v/>
      </c>
      <c r="L295" s="20" t="str">
        <f>IF('Step 6 - Purchasing'!B42="","","Other Criteria")</f>
        <v/>
      </c>
      <c r="M295" s="19" t="str">
        <f>IF('Step 6 - Purchasing'!B42="","","Equals")</f>
        <v/>
      </c>
      <c r="N295" s="20" t="str">
        <f>IF('Step 6 - Purchasing'!B42="","",'Step 6 - Purchasing'!E42)</f>
        <v/>
      </c>
      <c r="O295" s="20" t="str">
        <f>""</f>
        <v/>
      </c>
      <c r="P295" s="20" t="str">
        <f>""</f>
        <v/>
      </c>
      <c r="Q295" s="20" t="str">
        <f>""</f>
        <v/>
      </c>
      <c r="R295" s="20" t="str">
        <f>""</f>
        <v/>
      </c>
      <c r="S295" s="20" t="str">
        <f>""</f>
        <v/>
      </c>
      <c r="T295" s="20" t="str">
        <f>""</f>
        <v/>
      </c>
      <c r="U295" s="20" t="str">
        <f>IF('Step 6 - Purchasing'!B42="","",'Step 6 - Purchasing'!H42)</f>
        <v/>
      </c>
      <c r="V295" s="19" t="str">
        <f>IF('Step 6 - Purchasing'!B42="","",'Step 6 - Purchasing'!J42)</f>
        <v/>
      </c>
      <c r="W295" s="20" t="str">
        <f>IF('Step 6 - Purchasing'!B42="","",'Step 6 - Purchasing'!K42)</f>
        <v/>
      </c>
      <c r="X295" s="19" t="str">
        <f>IF('Step 6 - Purchasing'!B42="","",'Step 6 - Purchasing'!M42)</f>
        <v/>
      </c>
      <c r="Y295" s="20" t="str">
        <f>""</f>
        <v/>
      </c>
      <c r="Z295" s="20" t="str">
        <f>""</f>
        <v/>
      </c>
      <c r="AA295" s="20" t="str">
        <f>""</f>
        <v/>
      </c>
      <c r="AB295" s="20" t="str">
        <f>""</f>
        <v/>
      </c>
      <c r="AC295" s="20" t="str">
        <f>""</f>
        <v/>
      </c>
      <c r="AD295" s="20" t="str">
        <f>""</f>
        <v/>
      </c>
      <c r="AE295" s="20" t="str">
        <f>""</f>
        <v/>
      </c>
      <c r="AF295" s="20" t="str">
        <f>""</f>
        <v/>
      </c>
      <c r="AG295" s="20" t="str">
        <f>""</f>
        <v/>
      </c>
      <c r="AH295" s="20" t="str">
        <f>""</f>
        <v/>
      </c>
      <c r="AI295" s="20" t="str">
        <f>""</f>
        <v/>
      </c>
      <c r="AJ295" s="20" t="str">
        <f>""</f>
        <v/>
      </c>
      <c r="AK295" s="20" t="str">
        <f>""</f>
        <v/>
      </c>
      <c r="AL295" s="20" t="str">
        <f>""</f>
        <v/>
      </c>
      <c r="AM295" s="20" t="str">
        <f>""</f>
        <v/>
      </c>
    </row>
    <row r="296" spans="1:39" ht="15.75" customHeight="1" x14ac:dyDescent="0.25">
      <c r="A296" s="17" t="str">
        <f>IF('Step 6 - Purchasing'!B43="","","Active")</f>
        <v/>
      </c>
      <c r="B296" s="18" t="str">
        <f>IF('Step 6 - Purchasing'!B43="","",'Step 6 - Purchasing'!B43)</f>
        <v/>
      </c>
      <c r="C296" s="18" t="str">
        <f>IF('Step 6 - Purchasing'!B43="","",'Step 6 - Purchasing'!B43)</f>
        <v/>
      </c>
      <c r="D296" s="17" t="str">
        <f>IF('Step 6 - Purchasing'!B43="","",'Step 6 - Purchasing'!F43)</f>
        <v/>
      </c>
      <c r="E296" s="17" t="str">
        <f>IF('Step 6 - Purchasing'!B43="","",'Step 6 - Purchasing'!G43)</f>
        <v/>
      </c>
      <c r="F296" s="18" t="str">
        <f>IF('Step 6 - Purchasing'!B43="","",IF('Step 6 - Purchasing'!C43="","","Fund Code"))</f>
        <v/>
      </c>
      <c r="G296" s="17" t="str">
        <f>IF('Step 6 - Purchasing'!B43="","",IF('Step 6 - Purchasing'!C43="","","Equals"))</f>
        <v/>
      </c>
      <c r="H296" s="18" t="str">
        <f>IF('Step 6 - Purchasing'!B43="","",IF('Step 6 - Purchasing'!C43="","",'Step 6 - Purchasing'!C43))</f>
        <v/>
      </c>
      <c r="I296" s="18" t="str">
        <f>IF('Step 6 - Purchasing'!B43="","","Organization Code")</f>
        <v/>
      </c>
      <c r="J296" s="17" t="str">
        <f>IF('Step 6 - Purchasing'!B43="","","Equals")</f>
        <v/>
      </c>
      <c r="K296" s="18" t="str">
        <f>IF('Step 6 - Purchasing'!B43="","",'Step 6 - Purchasing'!D43)</f>
        <v/>
      </c>
      <c r="L296" s="18" t="str">
        <f>IF('Step 6 - Purchasing'!B43="","","Other Criteria")</f>
        <v/>
      </c>
      <c r="M296" s="17" t="str">
        <f>IF('Step 6 - Purchasing'!B43="","","Equals")</f>
        <v/>
      </c>
      <c r="N296" s="18" t="str">
        <f>IF('Step 6 - Purchasing'!B43="","",'Step 6 - Purchasing'!E43)</f>
        <v/>
      </c>
      <c r="O296" s="18" t="str">
        <f>""</f>
        <v/>
      </c>
      <c r="P296" s="18" t="str">
        <f>""</f>
        <v/>
      </c>
      <c r="Q296" s="18" t="str">
        <f>""</f>
        <v/>
      </c>
      <c r="R296" s="18" t="str">
        <f>""</f>
        <v/>
      </c>
      <c r="S296" s="18" t="str">
        <f>""</f>
        <v/>
      </c>
      <c r="T296" s="18" t="str">
        <f>""</f>
        <v/>
      </c>
      <c r="U296" s="18" t="str">
        <f>IF('Step 6 - Purchasing'!B43="","",'Step 6 - Purchasing'!H43)</f>
        <v/>
      </c>
      <c r="V296" s="17" t="str">
        <f>IF('Step 6 - Purchasing'!B43="","",'Step 6 - Purchasing'!J43)</f>
        <v/>
      </c>
      <c r="W296" s="18" t="str">
        <f>IF('Step 6 - Purchasing'!B43="","",'Step 6 - Purchasing'!K43)</f>
        <v/>
      </c>
      <c r="X296" s="17" t="str">
        <f>IF('Step 6 - Purchasing'!B43="","",'Step 6 - Purchasing'!M43)</f>
        <v/>
      </c>
      <c r="Y296" s="18" t="str">
        <f>""</f>
        <v/>
      </c>
      <c r="Z296" s="18" t="str">
        <f>""</f>
        <v/>
      </c>
      <c r="AA296" s="18" t="str">
        <f>""</f>
        <v/>
      </c>
      <c r="AB296" s="18" t="str">
        <f>""</f>
        <v/>
      </c>
      <c r="AC296" s="18" t="str">
        <f>""</f>
        <v/>
      </c>
      <c r="AD296" s="18" t="str">
        <f>""</f>
        <v/>
      </c>
      <c r="AE296" s="18" t="str">
        <f>""</f>
        <v/>
      </c>
      <c r="AF296" s="18" t="str">
        <f>""</f>
        <v/>
      </c>
      <c r="AG296" s="18" t="str">
        <f>""</f>
        <v/>
      </c>
      <c r="AH296" s="18" t="str">
        <f>""</f>
        <v/>
      </c>
      <c r="AI296" s="18" t="str">
        <f>""</f>
        <v/>
      </c>
      <c r="AJ296" s="18" t="str">
        <f>""</f>
        <v/>
      </c>
      <c r="AK296" s="18" t="str">
        <f>""</f>
        <v/>
      </c>
      <c r="AL296" s="18" t="str">
        <f>""</f>
        <v/>
      </c>
      <c r="AM296" s="18" t="str">
        <f>""</f>
        <v/>
      </c>
    </row>
    <row r="297" spans="1:39" ht="15.75" customHeight="1" x14ac:dyDescent="0.25">
      <c r="A297" s="19" t="str">
        <f>IF('Step 6 - Purchasing'!B44="","","Active")</f>
        <v/>
      </c>
      <c r="B297" s="20" t="str">
        <f>IF('Step 6 - Purchasing'!B44="","",'Step 6 - Purchasing'!B44)</f>
        <v/>
      </c>
      <c r="C297" s="20" t="str">
        <f>IF('Step 6 - Purchasing'!B44="","",'Step 6 - Purchasing'!B44)</f>
        <v/>
      </c>
      <c r="D297" s="19" t="str">
        <f>IF('Step 6 - Purchasing'!B44="","",'Step 6 - Purchasing'!F44)</f>
        <v/>
      </c>
      <c r="E297" s="19" t="str">
        <f>IF('Step 6 - Purchasing'!B44="","",'Step 6 - Purchasing'!G44)</f>
        <v/>
      </c>
      <c r="F297" s="20" t="str">
        <f>IF('Step 6 - Purchasing'!B44="","",IF('Step 6 - Purchasing'!C44="","","Fund Code"))</f>
        <v/>
      </c>
      <c r="G297" s="19" t="str">
        <f>IF('Step 6 - Purchasing'!B44="","",IF('Step 6 - Purchasing'!C44="","","Equals"))</f>
        <v/>
      </c>
      <c r="H297" s="20" t="str">
        <f>IF('Step 6 - Purchasing'!B44="","",IF('Step 6 - Purchasing'!C44="","",'Step 6 - Purchasing'!C44))</f>
        <v/>
      </c>
      <c r="I297" s="20" t="str">
        <f>IF('Step 6 - Purchasing'!B44="","","Organization Code")</f>
        <v/>
      </c>
      <c r="J297" s="19" t="str">
        <f>IF('Step 6 - Purchasing'!B44="","","Equals")</f>
        <v/>
      </c>
      <c r="K297" s="20" t="str">
        <f>IF('Step 6 - Purchasing'!B44="","",'Step 6 - Purchasing'!D44)</f>
        <v/>
      </c>
      <c r="L297" s="20" t="str">
        <f>IF('Step 6 - Purchasing'!B44="","","Other Criteria")</f>
        <v/>
      </c>
      <c r="M297" s="19" t="str">
        <f>IF('Step 6 - Purchasing'!B44="","","Equals")</f>
        <v/>
      </c>
      <c r="N297" s="20" t="str">
        <f>IF('Step 6 - Purchasing'!B44="","",'Step 6 - Purchasing'!E44)</f>
        <v/>
      </c>
      <c r="O297" s="20" t="str">
        <f>""</f>
        <v/>
      </c>
      <c r="P297" s="20" t="str">
        <f>""</f>
        <v/>
      </c>
      <c r="Q297" s="20" t="str">
        <f>""</f>
        <v/>
      </c>
      <c r="R297" s="20" t="str">
        <f>""</f>
        <v/>
      </c>
      <c r="S297" s="20" t="str">
        <f>""</f>
        <v/>
      </c>
      <c r="T297" s="20" t="str">
        <f>""</f>
        <v/>
      </c>
      <c r="U297" s="20" t="str">
        <f>IF('Step 6 - Purchasing'!B44="","",'Step 6 - Purchasing'!H44)</f>
        <v/>
      </c>
      <c r="V297" s="19" t="str">
        <f>IF('Step 6 - Purchasing'!B44="","",'Step 6 - Purchasing'!J44)</f>
        <v/>
      </c>
      <c r="W297" s="20" t="str">
        <f>IF('Step 6 - Purchasing'!B44="","",'Step 6 - Purchasing'!K44)</f>
        <v/>
      </c>
      <c r="X297" s="19" t="str">
        <f>IF('Step 6 - Purchasing'!B44="","",'Step 6 - Purchasing'!M44)</f>
        <v/>
      </c>
      <c r="Y297" s="20" t="str">
        <f>""</f>
        <v/>
      </c>
      <c r="Z297" s="20" t="str">
        <f>""</f>
        <v/>
      </c>
      <c r="AA297" s="20" t="str">
        <f>""</f>
        <v/>
      </c>
      <c r="AB297" s="20" t="str">
        <f>""</f>
        <v/>
      </c>
      <c r="AC297" s="20" t="str">
        <f>""</f>
        <v/>
      </c>
      <c r="AD297" s="20" t="str">
        <f>""</f>
        <v/>
      </c>
      <c r="AE297" s="20" t="str">
        <f>""</f>
        <v/>
      </c>
      <c r="AF297" s="20" t="str">
        <f>""</f>
        <v/>
      </c>
      <c r="AG297" s="20" t="str">
        <f>""</f>
        <v/>
      </c>
      <c r="AH297" s="20" t="str">
        <f>""</f>
        <v/>
      </c>
      <c r="AI297" s="20" t="str">
        <f>""</f>
        <v/>
      </c>
      <c r="AJ297" s="20" t="str">
        <f>""</f>
        <v/>
      </c>
      <c r="AK297" s="20" t="str">
        <f>""</f>
        <v/>
      </c>
      <c r="AL297" s="20" t="str">
        <f>""</f>
        <v/>
      </c>
      <c r="AM297" s="20" t="str">
        <f>""</f>
        <v/>
      </c>
    </row>
    <row r="298" spans="1:39" ht="15.75" customHeight="1" x14ac:dyDescent="0.25">
      <c r="A298" s="17" t="str">
        <f>IF('Step 6 - Purchasing'!B45="","","Active")</f>
        <v/>
      </c>
      <c r="B298" s="18" t="str">
        <f>IF('Step 6 - Purchasing'!B45="","",'Step 6 - Purchasing'!B45)</f>
        <v/>
      </c>
      <c r="C298" s="18" t="str">
        <f>IF('Step 6 - Purchasing'!B45="","",'Step 6 - Purchasing'!B45)</f>
        <v/>
      </c>
      <c r="D298" s="17" t="str">
        <f>IF('Step 6 - Purchasing'!B45="","",'Step 6 - Purchasing'!F45)</f>
        <v/>
      </c>
      <c r="E298" s="17" t="str">
        <f>IF('Step 6 - Purchasing'!B45="","",'Step 6 - Purchasing'!G45)</f>
        <v/>
      </c>
      <c r="F298" s="18" t="str">
        <f>IF('Step 6 - Purchasing'!B45="","",IF('Step 6 - Purchasing'!C45="","","Fund Code"))</f>
        <v/>
      </c>
      <c r="G298" s="17" t="str">
        <f>IF('Step 6 - Purchasing'!B45="","",IF('Step 6 - Purchasing'!C45="","","Equals"))</f>
        <v/>
      </c>
      <c r="H298" s="18" t="str">
        <f>IF('Step 6 - Purchasing'!B45="","",IF('Step 6 - Purchasing'!C45="","",'Step 6 - Purchasing'!C45))</f>
        <v/>
      </c>
      <c r="I298" s="18" t="str">
        <f>IF('Step 6 - Purchasing'!B45="","","Organization Code")</f>
        <v/>
      </c>
      <c r="J298" s="17" t="str">
        <f>IF('Step 6 - Purchasing'!B45="","","Equals")</f>
        <v/>
      </c>
      <c r="K298" s="18" t="str">
        <f>IF('Step 6 - Purchasing'!B45="","",'Step 6 - Purchasing'!D45)</f>
        <v/>
      </c>
      <c r="L298" s="18" t="str">
        <f>IF('Step 6 - Purchasing'!B45="","","Other Criteria")</f>
        <v/>
      </c>
      <c r="M298" s="17" t="str">
        <f>IF('Step 6 - Purchasing'!B45="","","Equals")</f>
        <v/>
      </c>
      <c r="N298" s="18" t="str">
        <f>IF('Step 6 - Purchasing'!B45="","",'Step 6 - Purchasing'!E45)</f>
        <v/>
      </c>
      <c r="O298" s="18" t="str">
        <f>""</f>
        <v/>
      </c>
      <c r="P298" s="18" t="str">
        <f>""</f>
        <v/>
      </c>
      <c r="Q298" s="18" t="str">
        <f>""</f>
        <v/>
      </c>
      <c r="R298" s="18" t="str">
        <f>""</f>
        <v/>
      </c>
      <c r="S298" s="18" t="str">
        <f>""</f>
        <v/>
      </c>
      <c r="T298" s="18" t="str">
        <f>""</f>
        <v/>
      </c>
      <c r="U298" s="18" t="str">
        <f>IF('Step 6 - Purchasing'!B45="","",'Step 6 - Purchasing'!H45)</f>
        <v/>
      </c>
      <c r="V298" s="17" t="str">
        <f>IF('Step 6 - Purchasing'!B45="","",'Step 6 - Purchasing'!J45)</f>
        <v/>
      </c>
      <c r="W298" s="18" t="str">
        <f>IF('Step 6 - Purchasing'!B45="","",'Step 6 - Purchasing'!K45)</f>
        <v/>
      </c>
      <c r="X298" s="17" t="str">
        <f>IF('Step 6 - Purchasing'!B45="","",'Step 6 - Purchasing'!M45)</f>
        <v/>
      </c>
      <c r="Y298" s="18" t="str">
        <f>""</f>
        <v/>
      </c>
      <c r="Z298" s="18" t="str">
        <f>""</f>
        <v/>
      </c>
      <c r="AA298" s="18" t="str">
        <f>""</f>
        <v/>
      </c>
      <c r="AB298" s="18" t="str">
        <f>""</f>
        <v/>
      </c>
      <c r="AC298" s="18" t="str">
        <f>""</f>
        <v/>
      </c>
      <c r="AD298" s="18" t="str">
        <f>""</f>
        <v/>
      </c>
      <c r="AE298" s="18" t="str">
        <f>""</f>
        <v/>
      </c>
      <c r="AF298" s="18" t="str">
        <f>""</f>
        <v/>
      </c>
      <c r="AG298" s="18" t="str">
        <f>""</f>
        <v/>
      </c>
      <c r="AH298" s="18" t="str">
        <f>""</f>
        <v/>
      </c>
      <c r="AI298" s="18" t="str">
        <f>""</f>
        <v/>
      </c>
      <c r="AJ298" s="18" t="str">
        <f>""</f>
        <v/>
      </c>
      <c r="AK298" s="18" t="str">
        <f>""</f>
        <v/>
      </c>
      <c r="AL298" s="18" t="str">
        <f>""</f>
        <v/>
      </c>
      <c r="AM298" s="18" t="str">
        <f>""</f>
        <v/>
      </c>
    </row>
    <row r="299" spans="1:39" ht="15.75" customHeight="1" x14ac:dyDescent="0.25">
      <c r="A299" s="19" t="str">
        <f>IF('Step 6 - Purchasing'!B46="","","Active")</f>
        <v/>
      </c>
      <c r="B299" s="20" t="str">
        <f>IF('Step 6 - Purchasing'!B46="","",'Step 6 - Purchasing'!B46)</f>
        <v/>
      </c>
      <c r="C299" s="20" t="str">
        <f>IF('Step 6 - Purchasing'!B46="","",'Step 6 - Purchasing'!B46)</f>
        <v/>
      </c>
      <c r="D299" s="19" t="str">
        <f>IF('Step 6 - Purchasing'!B46="","",'Step 6 - Purchasing'!F46)</f>
        <v/>
      </c>
      <c r="E299" s="19" t="str">
        <f>IF('Step 6 - Purchasing'!B46="","",'Step 6 - Purchasing'!G46)</f>
        <v/>
      </c>
      <c r="F299" s="20" t="str">
        <f>IF('Step 6 - Purchasing'!B46="","",IF('Step 6 - Purchasing'!C46="","","Fund Code"))</f>
        <v/>
      </c>
      <c r="G299" s="19" t="str">
        <f>IF('Step 6 - Purchasing'!B46="","",IF('Step 6 - Purchasing'!C46="","","Equals"))</f>
        <v/>
      </c>
      <c r="H299" s="20" t="str">
        <f>IF('Step 6 - Purchasing'!B46="","",IF('Step 6 - Purchasing'!C46="","",'Step 6 - Purchasing'!C46))</f>
        <v/>
      </c>
      <c r="I299" s="20" t="str">
        <f>IF('Step 6 - Purchasing'!B46="","","Organization Code")</f>
        <v/>
      </c>
      <c r="J299" s="19" t="str">
        <f>IF('Step 6 - Purchasing'!B46="","","Equals")</f>
        <v/>
      </c>
      <c r="K299" s="20" t="str">
        <f>IF('Step 6 - Purchasing'!B46="","",'Step 6 - Purchasing'!D46)</f>
        <v/>
      </c>
      <c r="L299" s="20" t="str">
        <f>IF('Step 6 - Purchasing'!B46="","","Other Criteria")</f>
        <v/>
      </c>
      <c r="M299" s="19" t="str">
        <f>IF('Step 6 - Purchasing'!B46="","","Equals")</f>
        <v/>
      </c>
      <c r="N299" s="20" t="str">
        <f>IF('Step 6 - Purchasing'!B46="","",'Step 6 - Purchasing'!E46)</f>
        <v/>
      </c>
      <c r="O299" s="20" t="str">
        <f>""</f>
        <v/>
      </c>
      <c r="P299" s="20" t="str">
        <f>""</f>
        <v/>
      </c>
      <c r="Q299" s="20" t="str">
        <f>""</f>
        <v/>
      </c>
      <c r="R299" s="20" t="str">
        <f>""</f>
        <v/>
      </c>
      <c r="S299" s="20" t="str">
        <f>""</f>
        <v/>
      </c>
      <c r="T299" s="20" t="str">
        <f>""</f>
        <v/>
      </c>
      <c r="U299" s="20" t="str">
        <f>IF('Step 6 - Purchasing'!B46="","",'Step 6 - Purchasing'!H46)</f>
        <v/>
      </c>
      <c r="V299" s="19" t="str">
        <f>IF('Step 6 - Purchasing'!B46="","",'Step 6 - Purchasing'!J46)</f>
        <v/>
      </c>
      <c r="W299" s="20" t="str">
        <f>IF('Step 6 - Purchasing'!B46="","",'Step 6 - Purchasing'!K46)</f>
        <v/>
      </c>
      <c r="X299" s="19" t="str">
        <f>IF('Step 6 - Purchasing'!B46="","",'Step 6 - Purchasing'!M46)</f>
        <v/>
      </c>
      <c r="Y299" s="20" t="str">
        <f>""</f>
        <v/>
      </c>
      <c r="Z299" s="20" t="str">
        <f>""</f>
        <v/>
      </c>
      <c r="AA299" s="20" t="str">
        <f>""</f>
        <v/>
      </c>
      <c r="AB299" s="20" t="str">
        <f>""</f>
        <v/>
      </c>
      <c r="AC299" s="20" t="str">
        <f>""</f>
        <v/>
      </c>
      <c r="AD299" s="20" t="str">
        <f>""</f>
        <v/>
      </c>
      <c r="AE299" s="20" t="str">
        <f>""</f>
        <v/>
      </c>
      <c r="AF299" s="20" t="str">
        <f>""</f>
        <v/>
      </c>
      <c r="AG299" s="20" t="str">
        <f>""</f>
        <v/>
      </c>
      <c r="AH299" s="20" t="str">
        <f>""</f>
        <v/>
      </c>
      <c r="AI299" s="20" t="str">
        <f>""</f>
        <v/>
      </c>
      <c r="AJ299" s="20" t="str">
        <f>""</f>
        <v/>
      </c>
      <c r="AK299" s="20" t="str">
        <f>""</f>
        <v/>
      </c>
      <c r="AL299" s="20" t="str">
        <f>""</f>
        <v/>
      </c>
      <c r="AM299" s="20" t="str">
        <f>""</f>
        <v/>
      </c>
    </row>
    <row r="300" spans="1:39" ht="15.75" customHeight="1" x14ac:dyDescent="0.25">
      <c r="A300" s="17" t="str">
        <f>IF('Step 6 - Purchasing'!B47="","","Active")</f>
        <v/>
      </c>
      <c r="B300" s="18" t="str">
        <f>IF('Step 6 - Purchasing'!B47="","",'Step 6 - Purchasing'!B47)</f>
        <v/>
      </c>
      <c r="C300" s="18" t="str">
        <f>IF('Step 6 - Purchasing'!B47="","",'Step 6 - Purchasing'!B47)</f>
        <v/>
      </c>
      <c r="D300" s="17" t="str">
        <f>IF('Step 6 - Purchasing'!B47="","",'Step 6 - Purchasing'!F47)</f>
        <v/>
      </c>
      <c r="E300" s="17" t="str">
        <f>IF('Step 6 - Purchasing'!B47="","",'Step 6 - Purchasing'!G47)</f>
        <v/>
      </c>
      <c r="F300" s="18" t="str">
        <f>IF('Step 6 - Purchasing'!B47="","",IF('Step 6 - Purchasing'!C47="","","Fund Code"))</f>
        <v/>
      </c>
      <c r="G300" s="17" t="str">
        <f>IF('Step 6 - Purchasing'!B47="","",IF('Step 6 - Purchasing'!C47="","","Equals"))</f>
        <v/>
      </c>
      <c r="H300" s="18" t="str">
        <f>IF('Step 6 - Purchasing'!B47="","",IF('Step 6 - Purchasing'!C47="","",'Step 6 - Purchasing'!C47))</f>
        <v/>
      </c>
      <c r="I300" s="18" t="str">
        <f>IF('Step 6 - Purchasing'!B47="","","Organization Code")</f>
        <v/>
      </c>
      <c r="J300" s="17" t="str">
        <f>IF('Step 6 - Purchasing'!B47="","","Equals")</f>
        <v/>
      </c>
      <c r="K300" s="18" t="str">
        <f>IF('Step 6 - Purchasing'!B47="","",'Step 6 - Purchasing'!D47)</f>
        <v/>
      </c>
      <c r="L300" s="18" t="str">
        <f>IF('Step 6 - Purchasing'!B47="","","Other Criteria")</f>
        <v/>
      </c>
      <c r="M300" s="17" t="str">
        <f>IF('Step 6 - Purchasing'!B47="","","Equals")</f>
        <v/>
      </c>
      <c r="N300" s="18" t="str">
        <f>IF('Step 6 - Purchasing'!B47="","",'Step 6 - Purchasing'!E47)</f>
        <v/>
      </c>
      <c r="O300" s="18" t="str">
        <f>""</f>
        <v/>
      </c>
      <c r="P300" s="18" t="str">
        <f>""</f>
        <v/>
      </c>
      <c r="Q300" s="18" t="str">
        <f>""</f>
        <v/>
      </c>
      <c r="R300" s="18" t="str">
        <f>""</f>
        <v/>
      </c>
      <c r="S300" s="18" t="str">
        <f>""</f>
        <v/>
      </c>
      <c r="T300" s="18" t="str">
        <f>""</f>
        <v/>
      </c>
      <c r="U300" s="18" t="str">
        <f>IF('Step 6 - Purchasing'!B47="","",'Step 6 - Purchasing'!H47)</f>
        <v/>
      </c>
      <c r="V300" s="17" t="str">
        <f>IF('Step 6 - Purchasing'!B47="","",'Step 6 - Purchasing'!J47)</f>
        <v/>
      </c>
      <c r="W300" s="18" t="str">
        <f>IF('Step 6 - Purchasing'!B47="","",'Step 6 - Purchasing'!K47)</f>
        <v/>
      </c>
      <c r="X300" s="17" t="str">
        <f>IF('Step 6 - Purchasing'!B47="","",'Step 6 - Purchasing'!M47)</f>
        <v/>
      </c>
      <c r="Y300" s="18" t="str">
        <f>""</f>
        <v/>
      </c>
      <c r="Z300" s="18" t="str">
        <f>""</f>
        <v/>
      </c>
      <c r="AA300" s="18" t="str">
        <f>""</f>
        <v/>
      </c>
      <c r="AB300" s="18" t="str">
        <f>""</f>
        <v/>
      </c>
      <c r="AC300" s="18" t="str">
        <f>""</f>
        <v/>
      </c>
      <c r="AD300" s="18" t="str">
        <f>""</f>
        <v/>
      </c>
      <c r="AE300" s="18" t="str">
        <f>""</f>
        <v/>
      </c>
      <c r="AF300" s="18" t="str">
        <f>""</f>
        <v/>
      </c>
      <c r="AG300" s="18" t="str">
        <f>""</f>
        <v/>
      </c>
      <c r="AH300" s="18" t="str">
        <f>""</f>
        <v/>
      </c>
      <c r="AI300" s="18" t="str">
        <f>""</f>
        <v/>
      </c>
      <c r="AJ300" s="18" t="str">
        <f>""</f>
        <v/>
      </c>
      <c r="AK300" s="18" t="str">
        <f>""</f>
        <v/>
      </c>
      <c r="AL300" s="18" t="str">
        <f>""</f>
        <v/>
      </c>
      <c r="AM300" s="18" t="str">
        <f>""</f>
        <v/>
      </c>
    </row>
    <row r="301" spans="1:39" ht="15.75" customHeight="1" x14ac:dyDescent="0.25">
      <c r="A301" s="19" t="str">
        <f>IF('Step 6 - Purchasing'!B48="","","Active")</f>
        <v/>
      </c>
      <c r="B301" s="20" t="str">
        <f>IF('Step 6 - Purchasing'!B48="","",'Step 6 - Purchasing'!B48)</f>
        <v/>
      </c>
      <c r="C301" s="20" t="str">
        <f>IF('Step 6 - Purchasing'!B48="","",'Step 6 - Purchasing'!B48)</f>
        <v/>
      </c>
      <c r="D301" s="19" t="str">
        <f>IF('Step 6 - Purchasing'!B48="","",'Step 6 - Purchasing'!F48)</f>
        <v/>
      </c>
      <c r="E301" s="19" t="str">
        <f>IF('Step 6 - Purchasing'!B48="","",'Step 6 - Purchasing'!G48)</f>
        <v/>
      </c>
      <c r="F301" s="20" t="str">
        <f>IF('Step 6 - Purchasing'!B48="","",IF('Step 6 - Purchasing'!C48="","","Fund Code"))</f>
        <v/>
      </c>
      <c r="G301" s="19" t="str">
        <f>IF('Step 6 - Purchasing'!B48="","",IF('Step 6 - Purchasing'!C48="","","Equals"))</f>
        <v/>
      </c>
      <c r="H301" s="20" t="str">
        <f>IF('Step 6 - Purchasing'!B48="","",IF('Step 6 - Purchasing'!C48="","",'Step 6 - Purchasing'!C48))</f>
        <v/>
      </c>
      <c r="I301" s="20" t="str">
        <f>IF('Step 6 - Purchasing'!B48="","","Organization Code")</f>
        <v/>
      </c>
      <c r="J301" s="19" t="str">
        <f>IF('Step 6 - Purchasing'!B48="","","Equals")</f>
        <v/>
      </c>
      <c r="K301" s="20" t="str">
        <f>IF('Step 6 - Purchasing'!B48="","",'Step 6 - Purchasing'!D48)</f>
        <v/>
      </c>
      <c r="L301" s="20" t="str">
        <f>IF('Step 6 - Purchasing'!B48="","","Other Criteria")</f>
        <v/>
      </c>
      <c r="M301" s="19" t="str">
        <f>IF('Step 6 - Purchasing'!B48="","","Equals")</f>
        <v/>
      </c>
      <c r="N301" s="20" t="str">
        <f>IF('Step 6 - Purchasing'!B48="","",'Step 6 - Purchasing'!E48)</f>
        <v/>
      </c>
      <c r="O301" s="20" t="str">
        <f>""</f>
        <v/>
      </c>
      <c r="P301" s="20" t="str">
        <f>""</f>
        <v/>
      </c>
      <c r="Q301" s="20" t="str">
        <f>""</f>
        <v/>
      </c>
      <c r="R301" s="20" t="str">
        <f>""</f>
        <v/>
      </c>
      <c r="S301" s="20" t="str">
        <f>""</f>
        <v/>
      </c>
      <c r="T301" s="20" t="str">
        <f>""</f>
        <v/>
      </c>
      <c r="U301" s="20" t="str">
        <f>IF('Step 6 - Purchasing'!B48="","",'Step 6 - Purchasing'!H48)</f>
        <v/>
      </c>
      <c r="V301" s="19" t="str">
        <f>IF('Step 6 - Purchasing'!B48="","",'Step 6 - Purchasing'!J48)</f>
        <v/>
      </c>
      <c r="W301" s="20" t="str">
        <f>IF('Step 6 - Purchasing'!B48="","",'Step 6 - Purchasing'!K48)</f>
        <v/>
      </c>
      <c r="X301" s="19" t="str">
        <f>IF('Step 6 - Purchasing'!B48="","",'Step 6 - Purchasing'!M48)</f>
        <v/>
      </c>
      <c r="Y301" s="20" t="str">
        <f>""</f>
        <v/>
      </c>
      <c r="Z301" s="20" t="str">
        <f>""</f>
        <v/>
      </c>
      <c r="AA301" s="20" t="str">
        <f>""</f>
        <v/>
      </c>
      <c r="AB301" s="20" t="str">
        <f>""</f>
        <v/>
      </c>
      <c r="AC301" s="20" t="str">
        <f>""</f>
        <v/>
      </c>
      <c r="AD301" s="20" t="str">
        <f>""</f>
        <v/>
      </c>
      <c r="AE301" s="20" t="str">
        <f>""</f>
        <v/>
      </c>
      <c r="AF301" s="20" t="str">
        <f>""</f>
        <v/>
      </c>
      <c r="AG301" s="20" t="str">
        <f>""</f>
        <v/>
      </c>
      <c r="AH301" s="20" t="str">
        <f>""</f>
        <v/>
      </c>
      <c r="AI301" s="20" t="str">
        <f>""</f>
        <v/>
      </c>
      <c r="AJ301" s="20" t="str">
        <f>""</f>
        <v/>
      </c>
      <c r="AK301" s="20" t="str">
        <f>""</f>
        <v/>
      </c>
      <c r="AL301" s="20" t="str">
        <f>""</f>
        <v/>
      </c>
      <c r="AM301" s="20" t="str">
        <f>""</f>
        <v/>
      </c>
    </row>
    <row r="302" spans="1:39" ht="15.75" customHeight="1" x14ac:dyDescent="0.25">
      <c r="A302" s="17" t="str">
        <f>IF('Step 6 - Purchasing'!B49="","","Active")</f>
        <v/>
      </c>
      <c r="B302" s="18" t="str">
        <f>IF('Step 6 - Purchasing'!B49="","",'Step 6 - Purchasing'!B49)</f>
        <v/>
      </c>
      <c r="C302" s="18" t="str">
        <f>IF('Step 6 - Purchasing'!B49="","",'Step 6 - Purchasing'!B49)</f>
        <v/>
      </c>
      <c r="D302" s="17" t="str">
        <f>IF('Step 6 - Purchasing'!B49="","",'Step 6 - Purchasing'!F49)</f>
        <v/>
      </c>
      <c r="E302" s="17" t="str">
        <f>IF('Step 6 - Purchasing'!B49="","",'Step 6 - Purchasing'!G49)</f>
        <v/>
      </c>
      <c r="F302" s="18" t="str">
        <f>IF('Step 6 - Purchasing'!B49="","",IF('Step 6 - Purchasing'!C49="","","Fund Code"))</f>
        <v/>
      </c>
      <c r="G302" s="17" t="str">
        <f>IF('Step 6 - Purchasing'!B49="","",IF('Step 6 - Purchasing'!C49="","","Equals"))</f>
        <v/>
      </c>
      <c r="H302" s="18" t="str">
        <f>IF('Step 6 - Purchasing'!B49="","",IF('Step 6 - Purchasing'!C49="","",'Step 6 - Purchasing'!C49))</f>
        <v/>
      </c>
      <c r="I302" s="18" t="str">
        <f>IF('Step 6 - Purchasing'!B49="","","Organization Code")</f>
        <v/>
      </c>
      <c r="J302" s="17" t="str">
        <f>IF('Step 6 - Purchasing'!B49="","","Equals")</f>
        <v/>
      </c>
      <c r="K302" s="18" t="str">
        <f>IF('Step 6 - Purchasing'!B49="","",'Step 6 - Purchasing'!D49)</f>
        <v/>
      </c>
      <c r="L302" s="18" t="str">
        <f>IF('Step 6 - Purchasing'!B49="","","Other Criteria")</f>
        <v/>
      </c>
      <c r="M302" s="17" t="str">
        <f>IF('Step 6 - Purchasing'!B49="","","Equals")</f>
        <v/>
      </c>
      <c r="N302" s="18" t="str">
        <f>IF('Step 6 - Purchasing'!B49="","",'Step 6 - Purchasing'!E49)</f>
        <v/>
      </c>
      <c r="O302" s="18" t="str">
        <f>""</f>
        <v/>
      </c>
      <c r="P302" s="18" t="str">
        <f>""</f>
        <v/>
      </c>
      <c r="Q302" s="18" t="str">
        <f>""</f>
        <v/>
      </c>
      <c r="R302" s="18" t="str">
        <f>""</f>
        <v/>
      </c>
      <c r="S302" s="18" t="str">
        <f>""</f>
        <v/>
      </c>
      <c r="T302" s="18" t="str">
        <f>""</f>
        <v/>
      </c>
      <c r="U302" s="18" t="str">
        <f>IF('Step 6 - Purchasing'!B49="","",'Step 6 - Purchasing'!H49)</f>
        <v/>
      </c>
      <c r="V302" s="17" t="str">
        <f>IF('Step 6 - Purchasing'!B49="","",'Step 6 - Purchasing'!J49)</f>
        <v/>
      </c>
      <c r="W302" s="18" t="str">
        <f>IF('Step 6 - Purchasing'!B49="","",'Step 6 - Purchasing'!K49)</f>
        <v/>
      </c>
      <c r="X302" s="17" t="str">
        <f>IF('Step 6 - Purchasing'!B49="","",'Step 6 - Purchasing'!M49)</f>
        <v/>
      </c>
      <c r="Y302" s="18" t="str">
        <f>""</f>
        <v/>
      </c>
      <c r="Z302" s="18" t="str">
        <f>""</f>
        <v/>
      </c>
      <c r="AA302" s="18" t="str">
        <f>""</f>
        <v/>
      </c>
      <c r="AB302" s="18" t="str">
        <f>""</f>
        <v/>
      </c>
      <c r="AC302" s="18" t="str">
        <f>""</f>
        <v/>
      </c>
      <c r="AD302" s="18" t="str">
        <f>""</f>
        <v/>
      </c>
      <c r="AE302" s="18" t="str">
        <f>""</f>
        <v/>
      </c>
      <c r="AF302" s="18" t="str">
        <f>""</f>
        <v/>
      </c>
      <c r="AG302" s="18" t="str">
        <f>""</f>
        <v/>
      </c>
      <c r="AH302" s="18" t="str">
        <f>""</f>
        <v/>
      </c>
      <c r="AI302" s="18" t="str">
        <f>""</f>
        <v/>
      </c>
      <c r="AJ302" s="18" t="str">
        <f>""</f>
        <v/>
      </c>
      <c r="AK302" s="18" t="str">
        <f>""</f>
        <v/>
      </c>
      <c r="AL302" s="18" t="str">
        <f>""</f>
        <v/>
      </c>
      <c r="AM302" s="18" t="str">
        <f>""</f>
        <v/>
      </c>
    </row>
    <row r="303" spans="1:39" ht="15.75" customHeight="1" x14ac:dyDescent="0.25">
      <c r="A303" s="19" t="str">
        <f>IF('Step 6 - Purchasing'!B50="","","Active")</f>
        <v/>
      </c>
      <c r="B303" s="20" t="str">
        <f>IF('Step 6 - Purchasing'!B50="","",'Step 6 - Purchasing'!B50)</f>
        <v/>
      </c>
      <c r="C303" s="20" t="str">
        <f>IF('Step 6 - Purchasing'!B50="","",'Step 6 - Purchasing'!B50)</f>
        <v/>
      </c>
      <c r="D303" s="19" t="str">
        <f>IF('Step 6 - Purchasing'!B50="","",'Step 6 - Purchasing'!F50)</f>
        <v/>
      </c>
      <c r="E303" s="19" t="str">
        <f>IF('Step 6 - Purchasing'!B50="","",'Step 6 - Purchasing'!G50)</f>
        <v/>
      </c>
      <c r="F303" s="20" t="str">
        <f>IF('Step 6 - Purchasing'!B50="","",IF('Step 6 - Purchasing'!C50="","","Fund Code"))</f>
        <v/>
      </c>
      <c r="G303" s="19" t="str">
        <f>IF('Step 6 - Purchasing'!B50="","",IF('Step 6 - Purchasing'!C50="","","Equals"))</f>
        <v/>
      </c>
      <c r="H303" s="20" t="str">
        <f>IF('Step 6 - Purchasing'!B50="","",IF('Step 6 - Purchasing'!C50="","",'Step 6 - Purchasing'!C50))</f>
        <v/>
      </c>
      <c r="I303" s="20" t="str">
        <f>IF('Step 6 - Purchasing'!B50="","","Organization Code")</f>
        <v/>
      </c>
      <c r="J303" s="19" t="str">
        <f>IF('Step 6 - Purchasing'!B50="","","Equals")</f>
        <v/>
      </c>
      <c r="K303" s="20" t="str">
        <f>IF('Step 6 - Purchasing'!B50="","",'Step 6 - Purchasing'!D50)</f>
        <v/>
      </c>
      <c r="L303" s="20" t="str">
        <f>IF('Step 6 - Purchasing'!B50="","","Other Criteria")</f>
        <v/>
      </c>
      <c r="M303" s="19" t="str">
        <f>IF('Step 6 - Purchasing'!B50="","","Equals")</f>
        <v/>
      </c>
      <c r="N303" s="20" t="str">
        <f>IF('Step 6 - Purchasing'!B50="","",'Step 6 - Purchasing'!E50)</f>
        <v/>
      </c>
      <c r="O303" s="20" t="str">
        <f>""</f>
        <v/>
      </c>
      <c r="P303" s="20" t="str">
        <f>""</f>
        <v/>
      </c>
      <c r="Q303" s="20" t="str">
        <f>""</f>
        <v/>
      </c>
      <c r="R303" s="20" t="str">
        <f>""</f>
        <v/>
      </c>
      <c r="S303" s="20" t="str">
        <f>""</f>
        <v/>
      </c>
      <c r="T303" s="20" t="str">
        <f>""</f>
        <v/>
      </c>
      <c r="U303" s="20" t="str">
        <f>IF('Step 6 - Purchasing'!B50="","",'Step 6 - Purchasing'!H50)</f>
        <v/>
      </c>
      <c r="V303" s="19" t="str">
        <f>IF('Step 6 - Purchasing'!B50="","",'Step 6 - Purchasing'!J50)</f>
        <v/>
      </c>
      <c r="W303" s="20" t="str">
        <f>IF('Step 6 - Purchasing'!B50="","",'Step 6 - Purchasing'!K50)</f>
        <v/>
      </c>
      <c r="X303" s="19" t="str">
        <f>IF('Step 6 - Purchasing'!B50="","",'Step 6 - Purchasing'!M50)</f>
        <v/>
      </c>
      <c r="Y303" s="20" t="str">
        <f>""</f>
        <v/>
      </c>
      <c r="Z303" s="20" t="str">
        <f>""</f>
        <v/>
      </c>
      <c r="AA303" s="20" t="str">
        <f>""</f>
        <v/>
      </c>
      <c r="AB303" s="20" t="str">
        <f>""</f>
        <v/>
      </c>
      <c r="AC303" s="20" t="str">
        <f>""</f>
        <v/>
      </c>
      <c r="AD303" s="20" t="str">
        <f>""</f>
        <v/>
      </c>
      <c r="AE303" s="20" t="str">
        <f>""</f>
        <v/>
      </c>
      <c r="AF303" s="20" t="str">
        <f>""</f>
        <v/>
      </c>
      <c r="AG303" s="20" t="str">
        <f>""</f>
        <v/>
      </c>
      <c r="AH303" s="20" t="str">
        <f>""</f>
        <v/>
      </c>
      <c r="AI303" s="20" t="str">
        <f>""</f>
        <v/>
      </c>
      <c r="AJ303" s="20" t="str">
        <f>""</f>
        <v/>
      </c>
      <c r="AK303" s="20" t="str">
        <f>""</f>
        <v/>
      </c>
      <c r="AL303" s="20" t="str">
        <f>""</f>
        <v/>
      </c>
      <c r="AM303" s="20" t="str">
        <f>""</f>
        <v/>
      </c>
    </row>
    <row r="304" spans="1:39" ht="15.75" customHeight="1" x14ac:dyDescent="0.25">
      <c r="A304" s="17" t="str">
        <f>IF('Step 6 - Purchasing'!B51="","","Active")</f>
        <v/>
      </c>
      <c r="B304" s="18" t="str">
        <f>IF('Step 6 - Purchasing'!B51="","",'Step 6 - Purchasing'!B51)</f>
        <v/>
      </c>
      <c r="C304" s="18" t="str">
        <f>IF('Step 6 - Purchasing'!B51="","",'Step 6 - Purchasing'!B51)</f>
        <v/>
      </c>
      <c r="D304" s="17" t="str">
        <f>IF('Step 6 - Purchasing'!B51="","",'Step 6 - Purchasing'!F51)</f>
        <v/>
      </c>
      <c r="E304" s="17" t="str">
        <f>IF('Step 6 - Purchasing'!B51="","",'Step 6 - Purchasing'!G51)</f>
        <v/>
      </c>
      <c r="F304" s="18" t="str">
        <f>IF('Step 6 - Purchasing'!B51="","",IF('Step 6 - Purchasing'!C51="","","Fund Code"))</f>
        <v/>
      </c>
      <c r="G304" s="17" t="str">
        <f>IF('Step 6 - Purchasing'!B51="","",IF('Step 6 - Purchasing'!C51="","","Equals"))</f>
        <v/>
      </c>
      <c r="H304" s="18" t="str">
        <f>IF('Step 6 - Purchasing'!B51="","",IF('Step 6 - Purchasing'!C51="","",'Step 6 - Purchasing'!C51))</f>
        <v/>
      </c>
      <c r="I304" s="18" t="str">
        <f>IF('Step 6 - Purchasing'!B51="","","Organization Code")</f>
        <v/>
      </c>
      <c r="J304" s="17" t="str">
        <f>IF('Step 6 - Purchasing'!B51="","","Equals")</f>
        <v/>
      </c>
      <c r="K304" s="18" t="str">
        <f>IF('Step 6 - Purchasing'!B51="","",'Step 6 - Purchasing'!D51)</f>
        <v/>
      </c>
      <c r="L304" s="18" t="str">
        <f>IF('Step 6 - Purchasing'!B51="","","Other Criteria")</f>
        <v/>
      </c>
      <c r="M304" s="17" t="str">
        <f>IF('Step 6 - Purchasing'!B51="","","Equals")</f>
        <v/>
      </c>
      <c r="N304" s="18" t="str">
        <f>IF('Step 6 - Purchasing'!B51="","",'Step 6 - Purchasing'!E51)</f>
        <v/>
      </c>
      <c r="O304" s="18" t="str">
        <f>""</f>
        <v/>
      </c>
      <c r="P304" s="18" t="str">
        <f>""</f>
        <v/>
      </c>
      <c r="Q304" s="18" t="str">
        <f>""</f>
        <v/>
      </c>
      <c r="R304" s="18" t="str">
        <f>""</f>
        <v/>
      </c>
      <c r="S304" s="18" t="str">
        <f>""</f>
        <v/>
      </c>
      <c r="T304" s="18" t="str">
        <f>""</f>
        <v/>
      </c>
      <c r="U304" s="18" t="str">
        <f>IF('Step 6 - Purchasing'!B51="","",'Step 6 - Purchasing'!H51)</f>
        <v/>
      </c>
      <c r="V304" s="17" t="str">
        <f>IF('Step 6 - Purchasing'!B51="","",'Step 6 - Purchasing'!J51)</f>
        <v/>
      </c>
      <c r="W304" s="18" t="str">
        <f>IF('Step 6 - Purchasing'!B51="","",'Step 6 - Purchasing'!K51)</f>
        <v/>
      </c>
      <c r="X304" s="17" t="str">
        <f>IF('Step 6 - Purchasing'!B51="","",'Step 6 - Purchasing'!M51)</f>
        <v/>
      </c>
      <c r="Y304" s="18" t="str">
        <f>""</f>
        <v/>
      </c>
      <c r="Z304" s="18" t="str">
        <f>""</f>
        <v/>
      </c>
      <c r="AA304" s="18" t="str">
        <f>""</f>
        <v/>
      </c>
      <c r="AB304" s="18" t="str">
        <f>""</f>
        <v/>
      </c>
      <c r="AC304" s="18" t="str">
        <f>""</f>
        <v/>
      </c>
      <c r="AD304" s="18" t="str">
        <f>""</f>
        <v/>
      </c>
      <c r="AE304" s="18" t="str">
        <f>""</f>
        <v/>
      </c>
      <c r="AF304" s="18" t="str">
        <f>""</f>
        <v/>
      </c>
      <c r="AG304" s="18" t="str">
        <f>""</f>
        <v/>
      </c>
      <c r="AH304" s="18" t="str">
        <f>""</f>
        <v/>
      </c>
      <c r="AI304" s="18" t="str">
        <f>""</f>
        <v/>
      </c>
      <c r="AJ304" s="18" t="str">
        <f>""</f>
        <v/>
      </c>
      <c r="AK304" s="18" t="str">
        <f>""</f>
        <v/>
      </c>
      <c r="AL304" s="18" t="str">
        <f>""</f>
        <v/>
      </c>
      <c r="AM304" s="18" t="str">
        <f>""</f>
        <v/>
      </c>
    </row>
    <row r="305" spans="1:39" ht="15.75" customHeight="1" x14ac:dyDescent="0.25">
      <c r="A305" s="19" t="str">
        <f>IF('Step 6 - Purchasing'!B52="","","Active")</f>
        <v/>
      </c>
      <c r="B305" s="20" t="str">
        <f>IF('Step 6 - Purchasing'!B52="","",'Step 6 - Purchasing'!B52)</f>
        <v/>
      </c>
      <c r="C305" s="20" t="str">
        <f>IF('Step 6 - Purchasing'!B52="","",'Step 6 - Purchasing'!B52)</f>
        <v/>
      </c>
      <c r="D305" s="19" t="str">
        <f>IF('Step 6 - Purchasing'!B52="","",'Step 6 - Purchasing'!F52)</f>
        <v/>
      </c>
      <c r="E305" s="19" t="str">
        <f>IF('Step 6 - Purchasing'!B52="","",'Step 6 - Purchasing'!G52)</f>
        <v/>
      </c>
      <c r="F305" s="20" t="str">
        <f>IF('Step 6 - Purchasing'!B52="","",IF('Step 6 - Purchasing'!C52="","","Fund Code"))</f>
        <v/>
      </c>
      <c r="G305" s="19" t="str">
        <f>IF('Step 6 - Purchasing'!B52="","",IF('Step 6 - Purchasing'!C52="","","Equals"))</f>
        <v/>
      </c>
      <c r="H305" s="20" t="str">
        <f>IF('Step 6 - Purchasing'!B52="","",IF('Step 6 - Purchasing'!C52="","",'Step 6 - Purchasing'!C52))</f>
        <v/>
      </c>
      <c r="I305" s="20" t="str">
        <f>IF('Step 6 - Purchasing'!B52="","","Organization Code")</f>
        <v/>
      </c>
      <c r="J305" s="19" t="str">
        <f>IF('Step 6 - Purchasing'!B52="","","Equals")</f>
        <v/>
      </c>
      <c r="K305" s="20" t="str">
        <f>IF('Step 6 - Purchasing'!B52="","",'Step 6 - Purchasing'!D52)</f>
        <v/>
      </c>
      <c r="L305" s="20" t="str">
        <f>IF('Step 6 - Purchasing'!B52="","","Other Criteria")</f>
        <v/>
      </c>
      <c r="M305" s="19" t="str">
        <f>IF('Step 6 - Purchasing'!B52="","","Equals")</f>
        <v/>
      </c>
      <c r="N305" s="20" t="str">
        <f>IF('Step 6 - Purchasing'!B52="","",'Step 6 - Purchasing'!E52)</f>
        <v/>
      </c>
      <c r="O305" s="20" t="str">
        <f>""</f>
        <v/>
      </c>
      <c r="P305" s="20" t="str">
        <f>""</f>
        <v/>
      </c>
      <c r="Q305" s="20" t="str">
        <f>""</f>
        <v/>
      </c>
      <c r="R305" s="20" t="str">
        <f>""</f>
        <v/>
      </c>
      <c r="S305" s="20" t="str">
        <f>""</f>
        <v/>
      </c>
      <c r="T305" s="20" t="str">
        <f>""</f>
        <v/>
      </c>
      <c r="U305" s="20" t="str">
        <f>IF('Step 6 - Purchasing'!B52="","",'Step 6 - Purchasing'!H52)</f>
        <v/>
      </c>
      <c r="V305" s="19" t="str">
        <f>IF('Step 6 - Purchasing'!B52="","",'Step 6 - Purchasing'!J52)</f>
        <v/>
      </c>
      <c r="W305" s="20" t="str">
        <f>IF('Step 6 - Purchasing'!B52="","",'Step 6 - Purchasing'!K52)</f>
        <v/>
      </c>
      <c r="X305" s="19" t="str">
        <f>IF('Step 6 - Purchasing'!B52="","",'Step 6 - Purchasing'!M52)</f>
        <v/>
      </c>
      <c r="Y305" s="20" t="str">
        <f>""</f>
        <v/>
      </c>
      <c r="Z305" s="20" t="str">
        <f>""</f>
        <v/>
      </c>
      <c r="AA305" s="20" t="str">
        <f>""</f>
        <v/>
      </c>
      <c r="AB305" s="20" t="str">
        <f>""</f>
        <v/>
      </c>
      <c r="AC305" s="20" t="str">
        <f>""</f>
        <v/>
      </c>
      <c r="AD305" s="20" t="str">
        <f>""</f>
        <v/>
      </c>
      <c r="AE305" s="20" t="str">
        <f>""</f>
        <v/>
      </c>
      <c r="AF305" s="20" t="str">
        <f>""</f>
        <v/>
      </c>
      <c r="AG305" s="20" t="str">
        <f>""</f>
        <v/>
      </c>
      <c r="AH305" s="20" t="str">
        <f>""</f>
        <v/>
      </c>
      <c r="AI305" s="20" t="str">
        <f>""</f>
        <v/>
      </c>
      <c r="AJ305" s="20" t="str">
        <f>""</f>
        <v/>
      </c>
      <c r="AK305" s="20" t="str">
        <f>""</f>
        <v/>
      </c>
      <c r="AL305" s="20" t="str">
        <f>""</f>
        <v/>
      </c>
      <c r="AM305" s="20" t="str">
        <f>""</f>
        <v/>
      </c>
    </row>
    <row r="306" spans="1:39" ht="15.75" customHeight="1" x14ac:dyDescent="0.25">
      <c r="A306" s="17" t="str">
        <f>IF('Step 6 - Purchasing'!B53="","","Active")</f>
        <v/>
      </c>
      <c r="B306" s="18" t="str">
        <f>IF('Step 6 - Purchasing'!B53="","",'Step 6 - Purchasing'!B53)</f>
        <v/>
      </c>
      <c r="C306" s="18" t="str">
        <f>IF('Step 6 - Purchasing'!B53="","",'Step 6 - Purchasing'!B53)</f>
        <v/>
      </c>
      <c r="D306" s="17" t="str">
        <f>IF('Step 6 - Purchasing'!B53="","",'Step 6 - Purchasing'!F53)</f>
        <v/>
      </c>
      <c r="E306" s="17" t="str">
        <f>IF('Step 6 - Purchasing'!B53="","",'Step 6 - Purchasing'!G53)</f>
        <v/>
      </c>
      <c r="F306" s="18" t="str">
        <f>IF('Step 6 - Purchasing'!B53="","",IF('Step 6 - Purchasing'!C53="","","Fund Code"))</f>
        <v/>
      </c>
      <c r="G306" s="17" t="str">
        <f>IF('Step 6 - Purchasing'!B53="","",IF('Step 6 - Purchasing'!C53="","","Equals"))</f>
        <v/>
      </c>
      <c r="H306" s="18" t="str">
        <f>IF('Step 6 - Purchasing'!B53="","",IF('Step 6 - Purchasing'!C53="","",'Step 6 - Purchasing'!C53))</f>
        <v/>
      </c>
      <c r="I306" s="18" t="str">
        <f>IF('Step 6 - Purchasing'!B53="","","Organization Code")</f>
        <v/>
      </c>
      <c r="J306" s="17" t="str">
        <f>IF('Step 6 - Purchasing'!B53="","","Equals")</f>
        <v/>
      </c>
      <c r="K306" s="18" t="str">
        <f>IF('Step 6 - Purchasing'!B53="","",'Step 6 - Purchasing'!D53)</f>
        <v/>
      </c>
      <c r="L306" s="18" t="str">
        <f>IF('Step 6 - Purchasing'!B53="","","Other Criteria")</f>
        <v/>
      </c>
      <c r="M306" s="17" t="str">
        <f>IF('Step 6 - Purchasing'!B53="","","Equals")</f>
        <v/>
      </c>
      <c r="N306" s="18" t="str">
        <f>IF('Step 6 - Purchasing'!B53="","",'Step 6 - Purchasing'!E53)</f>
        <v/>
      </c>
      <c r="O306" s="18" t="str">
        <f>""</f>
        <v/>
      </c>
      <c r="P306" s="18" t="str">
        <f>""</f>
        <v/>
      </c>
      <c r="Q306" s="18" t="str">
        <f>""</f>
        <v/>
      </c>
      <c r="R306" s="18" t="str">
        <f>""</f>
        <v/>
      </c>
      <c r="S306" s="18" t="str">
        <f>""</f>
        <v/>
      </c>
      <c r="T306" s="18" t="str">
        <f>""</f>
        <v/>
      </c>
      <c r="U306" s="18" t="str">
        <f>IF('Step 6 - Purchasing'!B53="","",'Step 6 - Purchasing'!H53)</f>
        <v/>
      </c>
      <c r="V306" s="17" t="str">
        <f>IF('Step 6 - Purchasing'!B53="","",'Step 6 - Purchasing'!J53)</f>
        <v/>
      </c>
      <c r="W306" s="18" t="str">
        <f>IF('Step 6 - Purchasing'!B53="","",'Step 6 - Purchasing'!K53)</f>
        <v/>
      </c>
      <c r="X306" s="17" t="str">
        <f>IF('Step 6 - Purchasing'!B53="","",'Step 6 - Purchasing'!M53)</f>
        <v/>
      </c>
      <c r="Y306" s="18" t="str">
        <f>""</f>
        <v/>
      </c>
      <c r="Z306" s="18" t="str">
        <f>""</f>
        <v/>
      </c>
      <c r="AA306" s="18" t="str">
        <f>""</f>
        <v/>
      </c>
      <c r="AB306" s="18" t="str">
        <f>""</f>
        <v/>
      </c>
      <c r="AC306" s="18" t="str">
        <f>""</f>
        <v/>
      </c>
      <c r="AD306" s="18" t="str">
        <f>""</f>
        <v/>
      </c>
      <c r="AE306" s="18" t="str">
        <f>""</f>
        <v/>
      </c>
      <c r="AF306" s="18" t="str">
        <f>""</f>
        <v/>
      </c>
      <c r="AG306" s="18" t="str">
        <f>""</f>
        <v/>
      </c>
      <c r="AH306" s="18" t="str">
        <f>""</f>
        <v/>
      </c>
      <c r="AI306" s="18" t="str">
        <f>""</f>
        <v/>
      </c>
      <c r="AJ306" s="18" t="str">
        <f>""</f>
        <v/>
      </c>
      <c r="AK306" s="18" t="str">
        <f>""</f>
        <v/>
      </c>
      <c r="AL306" s="18" t="str">
        <f>""</f>
        <v/>
      </c>
      <c r="AM306" s="18" t="str">
        <f>""</f>
        <v/>
      </c>
    </row>
    <row r="307" spans="1:39" ht="13.5" customHeight="1" x14ac:dyDescent="0.25">
      <c r="A307" s="29" t="s">
        <v>193</v>
      </c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 ht="15.75" customHeight="1" x14ac:dyDescent="0.25">
      <c r="A308" s="17" t="str">
        <f>IF('Step 7 - Dept Head'!B5="","","Active")</f>
        <v/>
      </c>
      <c r="B308" s="18" t="str">
        <f>IF('Step 7 - Dept Head'!B5="","",'Step 7 - Dept Head'!B5)</f>
        <v/>
      </c>
      <c r="C308" s="18" t="str">
        <f>IF('Step 7 - Dept Head'!B5="","",'Step 7 - Dept Head'!B5)</f>
        <v/>
      </c>
      <c r="D308" s="17" t="str">
        <f>IF('Step 7 - Dept Head'!B5="","",'Step 7 - Dept Head'!G5)</f>
        <v/>
      </c>
      <c r="E308" s="17" t="str">
        <f>IF('Step 7 - Dept Head'!B5="","",'Step 7 - Dept Head'!H5)</f>
        <v/>
      </c>
      <c r="F308" s="18" t="str">
        <f>IF('Step 7 - Dept Head'!B5="","",IF('Step 7 - Dept Head'!C5="","","Fund Code"))</f>
        <v/>
      </c>
      <c r="G308" s="17" t="str">
        <f>IF('Step 7 - Dept Head'!B5="","",IF('Step 7 - Dept Head'!C5="","","Equals"))</f>
        <v/>
      </c>
      <c r="H308" s="18" t="str">
        <f>IF('Step 7 - Dept Head'!B5="","",IF('Step 7 - Dept Head'!C5="","",'Step 7 - Dept Head'!C5))</f>
        <v/>
      </c>
      <c r="I308" s="18" t="str">
        <f>IF('Step 7 - Dept Head'!B5="","","Organization Code")</f>
        <v/>
      </c>
      <c r="J308" s="17" t="str">
        <f>IF('Step 7 - Dept Head'!B5="","","Equals")</f>
        <v/>
      </c>
      <c r="K308" s="18" t="str">
        <f>IF('Step 7 - Dept Head'!B5="","",'Step 7 - Dept Head'!D5)</f>
        <v/>
      </c>
      <c r="L308" s="18" t="str">
        <f>IF('Step 7 - Dept Head'!B5="","","Other Criteria")</f>
        <v/>
      </c>
      <c r="M308" s="17" t="str">
        <f>IF('Step 7 - Dept Head'!B5="","","Equals")</f>
        <v/>
      </c>
      <c r="N308" s="18" t="str">
        <f>IF('Step 7 - Dept Head'!B5="","",'Step 7 - Dept Head'!E5)</f>
        <v/>
      </c>
      <c r="O308" s="18" t="str">
        <f>IF('Step 7 - Dept Head'!B5="","",IF('Step 7 - Dept Head'!F5="","","Total"))</f>
        <v/>
      </c>
      <c r="P308" s="17" t="str">
        <f>IF('Step 7 - Dept Head'!B5="","",IF('Step 7 - Dept Head'!F5="","","&gt;="))</f>
        <v/>
      </c>
      <c r="Q308" s="18" t="str">
        <f>IF('Step 7 - Dept Head'!B5="","",IF('Step 7 - Dept Head'!F5="","",'Step 7 - Dept Head'!F5))</f>
        <v/>
      </c>
      <c r="R308" s="18" t="str">
        <f>""</f>
        <v/>
      </c>
      <c r="S308" s="18" t="str">
        <f>""</f>
        <v/>
      </c>
      <c r="T308" s="18" t="str">
        <f>""</f>
        <v/>
      </c>
      <c r="U308" s="18" t="str">
        <f>IF('Step 7 - Dept Head'!B5="","",'Step 7 - Dept Head'!I5)</f>
        <v/>
      </c>
      <c r="V308" s="17" t="str">
        <f>IF('Step 7 - Dept Head'!B5="","",'Step 7 - Dept Head'!K5)</f>
        <v/>
      </c>
      <c r="W308" s="18" t="str">
        <f>IF('Step 7 - Dept Head'!B5="","",'Step 7 - Dept Head'!L5)</f>
        <v/>
      </c>
      <c r="X308" s="17" t="str">
        <f>IF('Step 7 - Dept Head'!B5="","",'Step 7 - Dept Head'!N5)</f>
        <v/>
      </c>
      <c r="Y308" s="18" t="str">
        <f>""</f>
        <v/>
      </c>
      <c r="Z308" s="18" t="str">
        <f>""</f>
        <v/>
      </c>
      <c r="AA308" s="18" t="str">
        <f>""</f>
        <v/>
      </c>
      <c r="AB308" s="18" t="str">
        <f>""</f>
        <v/>
      </c>
      <c r="AC308" s="18" t="str">
        <f>""</f>
        <v/>
      </c>
      <c r="AD308" s="18" t="str">
        <f>""</f>
        <v/>
      </c>
      <c r="AE308" s="18" t="str">
        <f>""</f>
        <v/>
      </c>
      <c r="AF308" s="18" t="str">
        <f>""</f>
        <v/>
      </c>
      <c r="AG308" s="18" t="str">
        <f>""</f>
        <v/>
      </c>
      <c r="AH308" s="18" t="str">
        <f>""</f>
        <v/>
      </c>
      <c r="AI308" s="18" t="str">
        <f>""</f>
        <v/>
      </c>
      <c r="AJ308" s="18" t="str">
        <f>""</f>
        <v/>
      </c>
      <c r="AK308" s="18" t="str">
        <f>""</f>
        <v/>
      </c>
      <c r="AL308" s="18" t="str">
        <f>""</f>
        <v/>
      </c>
      <c r="AM308" s="18" t="str">
        <f>""</f>
        <v/>
      </c>
    </row>
    <row r="309" spans="1:39" ht="15.75" customHeight="1" x14ac:dyDescent="0.25">
      <c r="A309" s="19" t="str">
        <f>IF('Step 7 - Dept Head'!B6="","","Active")</f>
        <v/>
      </c>
      <c r="B309" s="20" t="str">
        <f>IF('Step 7 - Dept Head'!B6="","",'Step 7 - Dept Head'!B6)</f>
        <v/>
      </c>
      <c r="C309" s="20" t="str">
        <f>IF('Step 7 - Dept Head'!B6="","",'Step 7 - Dept Head'!B6)</f>
        <v/>
      </c>
      <c r="D309" s="19" t="str">
        <f>IF('Step 7 - Dept Head'!B6="","",'Step 7 - Dept Head'!G6)</f>
        <v/>
      </c>
      <c r="E309" s="19" t="str">
        <f>IF('Step 7 - Dept Head'!B6="","",'Step 7 - Dept Head'!H6)</f>
        <v/>
      </c>
      <c r="F309" s="20" t="str">
        <f>IF('Step 7 - Dept Head'!B6="","",IF('Step 7 - Dept Head'!C6="","","Fund Code"))</f>
        <v/>
      </c>
      <c r="G309" s="19" t="str">
        <f>IF('Step 7 - Dept Head'!B6="","",IF('Step 7 - Dept Head'!C6="","","Equals"))</f>
        <v/>
      </c>
      <c r="H309" s="20" t="str">
        <f>IF('Step 7 - Dept Head'!B6="","",IF('Step 7 - Dept Head'!C6="","",'Step 7 - Dept Head'!C6))</f>
        <v/>
      </c>
      <c r="I309" s="20" t="str">
        <f>IF('Step 7 - Dept Head'!B6="","","Organization Code")</f>
        <v/>
      </c>
      <c r="J309" s="19" t="str">
        <f>IF('Step 7 - Dept Head'!B6="","","Equals")</f>
        <v/>
      </c>
      <c r="K309" s="20" t="str">
        <f>IF('Step 7 - Dept Head'!B6="","",'Step 7 - Dept Head'!D6)</f>
        <v/>
      </c>
      <c r="L309" s="20" t="str">
        <f>IF('Step 7 - Dept Head'!B6="","","Other Criteria")</f>
        <v/>
      </c>
      <c r="M309" s="19" t="str">
        <f>IF('Step 7 - Dept Head'!B6="","","Equals")</f>
        <v/>
      </c>
      <c r="N309" s="20" t="str">
        <f>IF('Step 7 - Dept Head'!B6="","",'Step 7 - Dept Head'!E6)</f>
        <v/>
      </c>
      <c r="O309" s="20" t="str">
        <f>IF('Step 7 - Dept Head'!B6="","",IF('Step 7 - Dept Head'!F6="","","Total"))</f>
        <v/>
      </c>
      <c r="P309" s="19" t="str">
        <f>IF('Step 7 - Dept Head'!B6="","",IF('Step 7 - Dept Head'!F6="","","&gt;="))</f>
        <v/>
      </c>
      <c r="Q309" s="20" t="str">
        <f>IF('Step 7 - Dept Head'!B6="","",IF('Step 7 - Dept Head'!F6="","",'Step 7 - Dept Head'!F6))</f>
        <v/>
      </c>
      <c r="R309" s="20" t="str">
        <f>""</f>
        <v/>
      </c>
      <c r="S309" s="20" t="str">
        <f>""</f>
        <v/>
      </c>
      <c r="T309" s="20" t="str">
        <f>""</f>
        <v/>
      </c>
      <c r="U309" s="20" t="str">
        <f>IF('Step 7 - Dept Head'!B6="","",'Step 7 - Dept Head'!I6)</f>
        <v/>
      </c>
      <c r="V309" s="19" t="str">
        <f>IF('Step 7 - Dept Head'!B6="","",'Step 7 - Dept Head'!K6)</f>
        <v/>
      </c>
      <c r="W309" s="20" t="str">
        <f>IF('Step 7 - Dept Head'!B6="","",'Step 7 - Dept Head'!L6)</f>
        <v/>
      </c>
      <c r="X309" s="19" t="str">
        <f>IF('Step 7 - Dept Head'!B6="","",'Step 7 - Dept Head'!N6)</f>
        <v/>
      </c>
      <c r="Y309" s="20" t="str">
        <f>""</f>
        <v/>
      </c>
      <c r="Z309" s="20" t="str">
        <f>""</f>
        <v/>
      </c>
      <c r="AA309" s="20" t="str">
        <f>""</f>
        <v/>
      </c>
      <c r="AB309" s="20" t="str">
        <f>""</f>
        <v/>
      </c>
      <c r="AC309" s="20" t="str">
        <f>""</f>
        <v/>
      </c>
      <c r="AD309" s="20" t="str">
        <f>""</f>
        <v/>
      </c>
      <c r="AE309" s="20" t="str">
        <f>""</f>
        <v/>
      </c>
      <c r="AF309" s="20" t="str">
        <f>""</f>
        <v/>
      </c>
      <c r="AG309" s="20" t="str">
        <f>""</f>
        <v/>
      </c>
      <c r="AH309" s="20" t="str">
        <f>""</f>
        <v/>
      </c>
      <c r="AI309" s="20" t="str">
        <f>""</f>
        <v/>
      </c>
      <c r="AJ309" s="20" t="str">
        <f>""</f>
        <v/>
      </c>
      <c r="AK309" s="20" t="str">
        <f>""</f>
        <v/>
      </c>
      <c r="AL309" s="20" t="str">
        <f>""</f>
        <v/>
      </c>
      <c r="AM309" s="20" t="str">
        <f>""</f>
        <v/>
      </c>
    </row>
    <row r="310" spans="1:39" ht="15.75" customHeight="1" x14ac:dyDescent="0.25">
      <c r="A310" s="17" t="str">
        <f>IF('Step 7 - Dept Head'!B7="","","Active")</f>
        <v/>
      </c>
      <c r="B310" s="18" t="str">
        <f>IF('Step 7 - Dept Head'!B7="","",'Step 7 - Dept Head'!B7)</f>
        <v/>
      </c>
      <c r="C310" s="18" t="str">
        <f>IF('Step 7 - Dept Head'!B7="","",'Step 7 - Dept Head'!B7)</f>
        <v/>
      </c>
      <c r="D310" s="17" t="str">
        <f>IF('Step 7 - Dept Head'!B7="","",'Step 7 - Dept Head'!G7)</f>
        <v/>
      </c>
      <c r="E310" s="17" t="str">
        <f>IF('Step 7 - Dept Head'!B7="","",'Step 7 - Dept Head'!H7)</f>
        <v/>
      </c>
      <c r="F310" s="18" t="str">
        <f>IF('Step 7 - Dept Head'!B7="","",IF('Step 7 - Dept Head'!C7="","","Fund Code"))</f>
        <v/>
      </c>
      <c r="G310" s="17" t="str">
        <f>IF('Step 7 - Dept Head'!B7="","",IF('Step 7 - Dept Head'!C7="","","Equals"))</f>
        <v/>
      </c>
      <c r="H310" s="18" t="str">
        <f>IF('Step 7 - Dept Head'!B7="","",IF('Step 7 - Dept Head'!C7="","",'Step 7 - Dept Head'!C7))</f>
        <v/>
      </c>
      <c r="I310" s="18" t="str">
        <f>IF('Step 7 - Dept Head'!B7="","","Organization Code")</f>
        <v/>
      </c>
      <c r="J310" s="17" t="str">
        <f>IF('Step 7 - Dept Head'!B7="","","Equals")</f>
        <v/>
      </c>
      <c r="K310" s="18" t="str">
        <f>IF('Step 7 - Dept Head'!B7="","",'Step 7 - Dept Head'!D7)</f>
        <v/>
      </c>
      <c r="L310" s="18" t="str">
        <f>IF('Step 7 - Dept Head'!B7="","","Other Criteria")</f>
        <v/>
      </c>
      <c r="M310" s="17" t="str">
        <f>IF('Step 7 - Dept Head'!B7="","","Equals")</f>
        <v/>
      </c>
      <c r="N310" s="18" t="str">
        <f>IF('Step 7 - Dept Head'!B7="","",'Step 7 - Dept Head'!E7)</f>
        <v/>
      </c>
      <c r="O310" s="18" t="str">
        <f>IF('Step 7 - Dept Head'!B7="","",IF('Step 7 - Dept Head'!F7="","","Total"))</f>
        <v/>
      </c>
      <c r="P310" s="17" t="str">
        <f>IF('Step 7 - Dept Head'!B7="","",IF('Step 7 - Dept Head'!F7="","","&gt;="))</f>
        <v/>
      </c>
      <c r="Q310" s="18" t="str">
        <f>IF('Step 7 - Dept Head'!B7="","",IF('Step 7 - Dept Head'!F7="","",'Step 7 - Dept Head'!F7))</f>
        <v/>
      </c>
      <c r="R310" s="18" t="str">
        <f>""</f>
        <v/>
      </c>
      <c r="S310" s="18" t="str">
        <f>""</f>
        <v/>
      </c>
      <c r="T310" s="18" t="str">
        <f>""</f>
        <v/>
      </c>
      <c r="U310" s="18" t="str">
        <f>IF('Step 7 - Dept Head'!B7="","",'Step 7 - Dept Head'!I7)</f>
        <v/>
      </c>
      <c r="V310" s="17" t="str">
        <f>IF('Step 7 - Dept Head'!B7="","",'Step 7 - Dept Head'!K7)</f>
        <v/>
      </c>
      <c r="W310" s="18" t="str">
        <f>IF('Step 7 - Dept Head'!B7="","",'Step 7 - Dept Head'!L7)</f>
        <v/>
      </c>
      <c r="X310" s="17" t="str">
        <f>IF('Step 7 - Dept Head'!B7="","",'Step 7 - Dept Head'!N7)</f>
        <v/>
      </c>
      <c r="Y310" s="18" t="str">
        <f>""</f>
        <v/>
      </c>
      <c r="Z310" s="18" t="str">
        <f>""</f>
        <v/>
      </c>
      <c r="AA310" s="18" t="str">
        <f>""</f>
        <v/>
      </c>
      <c r="AB310" s="18" t="str">
        <f>""</f>
        <v/>
      </c>
      <c r="AC310" s="18" t="str">
        <f>""</f>
        <v/>
      </c>
      <c r="AD310" s="18" t="str">
        <f>""</f>
        <v/>
      </c>
      <c r="AE310" s="18" t="str">
        <f>""</f>
        <v/>
      </c>
      <c r="AF310" s="18" t="str">
        <f>""</f>
        <v/>
      </c>
      <c r="AG310" s="18" t="str">
        <f>""</f>
        <v/>
      </c>
      <c r="AH310" s="18" t="str">
        <f>""</f>
        <v/>
      </c>
      <c r="AI310" s="18" t="str">
        <f>""</f>
        <v/>
      </c>
      <c r="AJ310" s="18" t="str">
        <f>""</f>
        <v/>
      </c>
      <c r="AK310" s="18" t="str">
        <f>""</f>
        <v/>
      </c>
      <c r="AL310" s="18" t="str">
        <f>""</f>
        <v/>
      </c>
      <c r="AM310" s="18" t="str">
        <f>""</f>
        <v/>
      </c>
    </row>
    <row r="311" spans="1:39" ht="15.75" customHeight="1" x14ac:dyDescent="0.25">
      <c r="A311" s="19" t="str">
        <f>IF('Step 7 - Dept Head'!B8="","","Active")</f>
        <v/>
      </c>
      <c r="B311" s="20" t="str">
        <f>IF('Step 7 - Dept Head'!B8="","",'Step 7 - Dept Head'!B8)</f>
        <v/>
      </c>
      <c r="C311" s="20" t="str">
        <f>IF('Step 7 - Dept Head'!B8="","",'Step 7 - Dept Head'!B8)</f>
        <v/>
      </c>
      <c r="D311" s="19" t="str">
        <f>IF('Step 7 - Dept Head'!B8="","",'Step 7 - Dept Head'!G8)</f>
        <v/>
      </c>
      <c r="E311" s="19" t="str">
        <f>IF('Step 7 - Dept Head'!B8="","",'Step 7 - Dept Head'!H8)</f>
        <v/>
      </c>
      <c r="F311" s="20" t="str">
        <f>IF('Step 7 - Dept Head'!B8="","",IF('Step 7 - Dept Head'!C8="","","Fund Code"))</f>
        <v/>
      </c>
      <c r="G311" s="19" t="str">
        <f>IF('Step 7 - Dept Head'!B8="","",IF('Step 7 - Dept Head'!C8="","","Equals"))</f>
        <v/>
      </c>
      <c r="H311" s="20" t="str">
        <f>IF('Step 7 - Dept Head'!B8="","",IF('Step 7 - Dept Head'!C8="","",'Step 7 - Dept Head'!C8))</f>
        <v/>
      </c>
      <c r="I311" s="20" t="str">
        <f>IF('Step 7 - Dept Head'!B8="","","Organization Code")</f>
        <v/>
      </c>
      <c r="J311" s="19" t="str">
        <f>IF('Step 7 - Dept Head'!B8="","","Equals")</f>
        <v/>
      </c>
      <c r="K311" s="20" t="str">
        <f>IF('Step 7 - Dept Head'!B8="","",'Step 7 - Dept Head'!D8)</f>
        <v/>
      </c>
      <c r="L311" s="20" t="str">
        <f>IF('Step 7 - Dept Head'!B8="","","Other Criteria")</f>
        <v/>
      </c>
      <c r="M311" s="19" t="str">
        <f>IF('Step 7 - Dept Head'!B8="","","Equals")</f>
        <v/>
      </c>
      <c r="N311" s="20" t="str">
        <f>IF('Step 7 - Dept Head'!B8="","",'Step 7 - Dept Head'!E8)</f>
        <v/>
      </c>
      <c r="O311" s="20" t="str">
        <f>IF('Step 7 - Dept Head'!B8="","",IF('Step 7 - Dept Head'!F8="","","Total"))</f>
        <v/>
      </c>
      <c r="P311" s="19" t="str">
        <f>IF('Step 7 - Dept Head'!B8="","",IF('Step 7 - Dept Head'!F8="","","&gt;="))</f>
        <v/>
      </c>
      <c r="Q311" s="20" t="str">
        <f>IF('Step 7 - Dept Head'!B8="","",IF('Step 7 - Dept Head'!F8="","",'Step 7 - Dept Head'!F8))</f>
        <v/>
      </c>
      <c r="R311" s="20" t="str">
        <f>""</f>
        <v/>
      </c>
      <c r="S311" s="20" t="str">
        <f>""</f>
        <v/>
      </c>
      <c r="T311" s="20" t="str">
        <f>""</f>
        <v/>
      </c>
      <c r="U311" s="20" t="str">
        <f>IF('Step 7 - Dept Head'!B8="","",'Step 7 - Dept Head'!I8)</f>
        <v/>
      </c>
      <c r="V311" s="19" t="str">
        <f>IF('Step 7 - Dept Head'!B8="","",'Step 7 - Dept Head'!K8)</f>
        <v/>
      </c>
      <c r="W311" s="20" t="str">
        <f>IF('Step 7 - Dept Head'!B8="","",'Step 7 - Dept Head'!L8)</f>
        <v/>
      </c>
      <c r="X311" s="19" t="str">
        <f>IF('Step 7 - Dept Head'!B8="","",'Step 7 - Dept Head'!N8)</f>
        <v/>
      </c>
      <c r="Y311" s="20" t="str">
        <f>""</f>
        <v/>
      </c>
      <c r="Z311" s="20" t="str">
        <f>""</f>
        <v/>
      </c>
      <c r="AA311" s="20" t="str">
        <f>""</f>
        <v/>
      </c>
      <c r="AB311" s="20" t="str">
        <f>""</f>
        <v/>
      </c>
      <c r="AC311" s="20" t="str">
        <f>""</f>
        <v/>
      </c>
      <c r="AD311" s="20" t="str">
        <f>""</f>
        <v/>
      </c>
      <c r="AE311" s="20" t="str">
        <f>""</f>
        <v/>
      </c>
      <c r="AF311" s="20" t="str">
        <f>""</f>
        <v/>
      </c>
      <c r="AG311" s="20" t="str">
        <f>""</f>
        <v/>
      </c>
      <c r="AH311" s="20" t="str">
        <f>""</f>
        <v/>
      </c>
      <c r="AI311" s="20" t="str">
        <f>""</f>
        <v/>
      </c>
      <c r="AJ311" s="20" t="str">
        <f>""</f>
        <v/>
      </c>
      <c r="AK311" s="20" t="str">
        <f>""</f>
        <v/>
      </c>
      <c r="AL311" s="20" t="str">
        <f>""</f>
        <v/>
      </c>
      <c r="AM311" s="20" t="str">
        <f>""</f>
        <v/>
      </c>
    </row>
    <row r="312" spans="1:39" ht="15.75" customHeight="1" x14ac:dyDescent="0.25">
      <c r="A312" s="17" t="str">
        <f>IF('Step 7 - Dept Head'!B9="","","Active")</f>
        <v/>
      </c>
      <c r="B312" s="18" t="str">
        <f>IF('Step 7 - Dept Head'!B9="","",'Step 7 - Dept Head'!B9)</f>
        <v/>
      </c>
      <c r="C312" s="18" t="str">
        <f>IF('Step 7 - Dept Head'!B9="","",'Step 7 - Dept Head'!B9)</f>
        <v/>
      </c>
      <c r="D312" s="17" t="str">
        <f>IF('Step 7 - Dept Head'!B9="","",'Step 7 - Dept Head'!G9)</f>
        <v/>
      </c>
      <c r="E312" s="17" t="str">
        <f>IF('Step 7 - Dept Head'!B9="","",'Step 7 - Dept Head'!H9)</f>
        <v/>
      </c>
      <c r="F312" s="18" t="str">
        <f>IF('Step 7 - Dept Head'!B9="","",IF('Step 7 - Dept Head'!C9="","","Fund Code"))</f>
        <v/>
      </c>
      <c r="G312" s="17" t="str">
        <f>IF('Step 7 - Dept Head'!B9="","",IF('Step 7 - Dept Head'!C9="","","Equals"))</f>
        <v/>
      </c>
      <c r="H312" s="18" t="str">
        <f>IF('Step 7 - Dept Head'!B9="","",IF('Step 7 - Dept Head'!C9="","",'Step 7 - Dept Head'!C9))</f>
        <v/>
      </c>
      <c r="I312" s="18" t="str">
        <f>IF('Step 7 - Dept Head'!B9="","","Organization Code")</f>
        <v/>
      </c>
      <c r="J312" s="17" t="str">
        <f>IF('Step 7 - Dept Head'!B9="","","Equals")</f>
        <v/>
      </c>
      <c r="K312" s="18" t="str">
        <f>IF('Step 7 - Dept Head'!B9="","",'Step 7 - Dept Head'!D9)</f>
        <v/>
      </c>
      <c r="L312" s="18" t="str">
        <f>IF('Step 7 - Dept Head'!B9="","","Other Criteria")</f>
        <v/>
      </c>
      <c r="M312" s="17" t="str">
        <f>IF('Step 7 - Dept Head'!B9="","","Equals")</f>
        <v/>
      </c>
      <c r="N312" s="18" t="str">
        <f>IF('Step 7 - Dept Head'!B9="","",'Step 7 - Dept Head'!E9)</f>
        <v/>
      </c>
      <c r="O312" s="18" t="str">
        <f>IF('Step 7 - Dept Head'!B9="","",IF('Step 7 - Dept Head'!F9="","","Total"))</f>
        <v/>
      </c>
      <c r="P312" s="17" t="str">
        <f>IF('Step 7 - Dept Head'!B9="","",IF('Step 7 - Dept Head'!F9="","","&gt;="))</f>
        <v/>
      </c>
      <c r="Q312" s="18" t="str">
        <f>IF('Step 7 - Dept Head'!B9="","",IF('Step 7 - Dept Head'!F9="","",'Step 7 - Dept Head'!F9))</f>
        <v/>
      </c>
      <c r="R312" s="18" t="str">
        <f>""</f>
        <v/>
      </c>
      <c r="S312" s="18" t="str">
        <f>""</f>
        <v/>
      </c>
      <c r="T312" s="18" t="str">
        <f>""</f>
        <v/>
      </c>
      <c r="U312" s="18" t="str">
        <f>IF('Step 7 - Dept Head'!B9="","",'Step 7 - Dept Head'!I9)</f>
        <v/>
      </c>
      <c r="V312" s="17" t="str">
        <f>IF('Step 7 - Dept Head'!B9="","",'Step 7 - Dept Head'!K9)</f>
        <v/>
      </c>
      <c r="W312" s="18" t="str">
        <f>IF('Step 7 - Dept Head'!B9="","",'Step 7 - Dept Head'!L9)</f>
        <v/>
      </c>
      <c r="X312" s="17" t="str">
        <f>IF('Step 7 - Dept Head'!B9="","",'Step 7 - Dept Head'!N9)</f>
        <v/>
      </c>
      <c r="Y312" s="18" t="str">
        <f>""</f>
        <v/>
      </c>
      <c r="Z312" s="18" t="str">
        <f>""</f>
        <v/>
      </c>
      <c r="AA312" s="18" t="str">
        <f>""</f>
        <v/>
      </c>
      <c r="AB312" s="18" t="str">
        <f>""</f>
        <v/>
      </c>
      <c r="AC312" s="18" t="str">
        <f>""</f>
        <v/>
      </c>
      <c r="AD312" s="18" t="str">
        <f>""</f>
        <v/>
      </c>
      <c r="AE312" s="18" t="str">
        <f>""</f>
        <v/>
      </c>
      <c r="AF312" s="18" t="str">
        <f>""</f>
        <v/>
      </c>
      <c r="AG312" s="18" t="str">
        <f>""</f>
        <v/>
      </c>
      <c r="AH312" s="18" t="str">
        <f>""</f>
        <v/>
      </c>
      <c r="AI312" s="18" t="str">
        <f>""</f>
        <v/>
      </c>
      <c r="AJ312" s="18" t="str">
        <f>""</f>
        <v/>
      </c>
      <c r="AK312" s="18" t="str">
        <f>""</f>
        <v/>
      </c>
      <c r="AL312" s="18" t="str">
        <f>""</f>
        <v/>
      </c>
      <c r="AM312" s="18" t="str">
        <f>""</f>
        <v/>
      </c>
    </row>
    <row r="313" spans="1:39" ht="15.75" customHeight="1" x14ac:dyDescent="0.25">
      <c r="A313" s="19" t="str">
        <f>IF('Step 7 - Dept Head'!B10="","","Active")</f>
        <v/>
      </c>
      <c r="B313" s="20" t="str">
        <f>IF('Step 7 - Dept Head'!B10="","",'Step 7 - Dept Head'!B10)</f>
        <v/>
      </c>
      <c r="C313" s="20" t="str">
        <f>IF('Step 7 - Dept Head'!B10="","",'Step 7 - Dept Head'!B10)</f>
        <v/>
      </c>
      <c r="D313" s="19" t="str">
        <f>IF('Step 7 - Dept Head'!B10="","",'Step 7 - Dept Head'!G10)</f>
        <v/>
      </c>
      <c r="E313" s="19" t="str">
        <f>IF('Step 7 - Dept Head'!B10="","",'Step 7 - Dept Head'!H10)</f>
        <v/>
      </c>
      <c r="F313" s="20" t="str">
        <f>IF('Step 7 - Dept Head'!B10="","",IF('Step 7 - Dept Head'!C10="","","Fund Code"))</f>
        <v/>
      </c>
      <c r="G313" s="19" t="str">
        <f>IF('Step 7 - Dept Head'!B10="","",IF('Step 7 - Dept Head'!C10="","","Equals"))</f>
        <v/>
      </c>
      <c r="H313" s="20" t="str">
        <f>IF('Step 7 - Dept Head'!B10="","",IF('Step 7 - Dept Head'!C10="","",'Step 7 - Dept Head'!C10))</f>
        <v/>
      </c>
      <c r="I313" s="20" t="str">
        <f>IF('Step 7 - Dept Head'!B10="","","Organization Code")</f>
        <v/>
      </c>
      <c r="J313" s="19" t="str">
        <f>IF('Step 7 - Dept Head'!B10="","","Equals")</f>
        <v/>
      </c>
      <c r="K313" s="20" t="str">
        <f>IF('Step 7 - Dept Head'!B10="","",'Step 7 - Dept Head'!D10)</f>
        <v/>
      </c>
      <c r="L313" s="20" t="str">
        <f>IF('Step 7 - Dept Head'!B10="","","Other Criteria")</f>
        <v/>
      </c>
      <c r="M313" s="19" t="str">
        <f>IF('Step 7 - Dept Head'!B10="","","Equals")</f>
        <v/>
      </c>
      <c r="N313" s="20" t="str">
        <f>IF('Step 7 - Dept Head'!B10="","",'Step 7 - Dept Head'!E10)</f>
        <v/>
      </c>
      <c r="O313" s="20" t="str">
        <f>IF('Step 7 - Dept Head'!B10="","",IF('Step 7 - Dept Head'!F10="","","Total"))</f>
        <v/>
      </c>
      <c r="P313" s="19" t="str">
        <f>IF('Step 7 - Dept Head'!B10="","",IF('Step 7 - Dept Head'!F10="","","&gt;="))</f>
        <v/>
      </c>
      <c r="Q313" s="20" t="str">
        <f>IF('Step 7 - Dept Head'!B10="","",IF('Step 7 - Dept Head'!F10="","",'Step 7 - Dept Head'!F10))</f>
        <v/>
      </c>
      <c r="R313" s="20" t="str">
        <f>""</f>
        <v/>
      </c>
      <c r="S313" s="20" t="str">
        <f>""</f>
        <v/>
      </c>
      <c r="T313" s="20" t="str">
        <f>""</f>
        <v/>
      </c>
      <c r="U313" s="20" t="str">
        <f>IF('Step 7 - Dept Head'!B10="","",'Step 7 - Dept Head'!I10)</f>
        <v/>
      </c>
      <c r="V313" s="19" t="str">
        <f>IF('Step 7 - Dept Head'!B10="","",'Step 7 - Dept Head'!K10)</f>
        <v/>
      </c>
      <c r="W313" s="20" t="str">
        <f>IF('Step 7 - Dept Head'!B10="","",'Step 7 - Dept Head'!L10)</f>
        <v/>
      </c>
      <c r="X313" s="19" t="str">
        <f>IF('Step 7 - Dept Head'!B10="","",'Step 7 - Dept Head'!N10)</f>
        <v/>
      </c>
      <c r="Y313" s="20" t="str">
        <f>""</f>
        <v/>
      </c>
      <c r="Z313" s="20" t="str">
        <f>""</f>
        <v/>
      </c>
      <c r="AA313" s="20" t="str">
        <f>""</f>
        <v/>
      </c>
      <c r="AB313" s="20" t="str">
        <f>""</f>
        <v/>
      </c>
      <c r="AC313" s="20" t="str">
        <f>""</f>
        <v/>
      </c>
      <c r="AD313" s="20" t="str">
        <f>""</f>
        <v/>
      </c>
      <c r="AE313" s="20" t="str">
        <f>""</f>
        <v/>
      </c>
      <c r="AF313" s="20" t="str">
        <f>""</f>
        <v/>
      </c>
      <c r="AG313" s="20" t="str">
        <f>""</f>
        <v/>
      </c>
      <c r="AH313" s="20" t="str">
        <f>""</f>
        <v/>
      </c>
      <c r="AI313" s="20" t="str">
        <f>""</f>
        <v/>
      </c>
      <c r="AJ313" s="20" t="str">
        <f>""</f>
        <v/>
      </c>
      <c r="AK313" s="20" t="str">
        <f>""</f>
        <v/>
      </c>
      <c r="AL313" s="20" t="str">
        <f>""</f>
        <v/>
      </c>
      <c r="AM313" s="20" t="str">
        <f>""</f>
        <v/>
      </c>
    </row>
    <row r="314" spans="1:39" ht="15.75" customHeight="1" x14ac:dyDescent="0.25">
      <c r="A314" s="17" t="str">
        <f>IF('Step 7 - Dept Head'!B11="","","Active")</f>
        <v/>
      </c>
      <c r="B314" s="18" t="str">
        <f>IF('Step 7 - Dept Head'!B11="","",'Step 7 - Dept Head'!B11)</f>
        <v/>
      </c>
      <c r="C314" s="18" t="str">
        <f>IF('Step 7 - Dept Head'!B11="","",'Step 7 - Dept Head'!B11)</f>
        <v/>
      </c>
      <c r="D314" s="17" t="str">
        <f>IF('Step 7 - Dept Head'!B11="","",'Step 7 - Dept Head'!G11)</f>
        <v/>
      </c>
      <c r="E314" s="17" t="str">
        <f>IF('Step 7 - Dept Head'!B11="","",'Step 7 - Dept Head'!H11)</f>
        <v/>
      </c>
      <c r="F314" s="18" t="str">
        <f>IF('Step 7 - Dept Head'!B11="","",IF('Step 7 - Dept Head'!C11="","","Fund Code"))</f>
        <v/>
      </c>
      <c r="G314" s="17" t="str">
        <f>IF('Step 7 - Dept Head'!B11="","",IF('Step 7 - Dept Head'!C11="","","Equals"))</f>
        <v/>
      </c>
      <c r="H314" s="18" t="str">
        <f>IF('Step 7 - Dept Head'!B11="","",IF('Step 7 - Dept Head'!C11="","",'Step 7 - Dept Head'!C11))</f>
        <v/>
      </c>
      <c r="I314" s="18" t="str">
        <f>IF('Step 7 - Dept Head'!B11="","","Organization Code")</f>
        <v/>
      </c>
      <c r="J314" s="17" t="str">
        <f>IF('Step 7 - Dept Head'!B11="","","Equals")</f>
        <v/>
      </c>
      <c r="K314" s="18" t="str">
        <f>IF('Step 7 - Dept Head'!B11="","",'Step 7 - Dept Head'!D11)</f>
        <v/>
      </c>
      <c r="L314" s="18" t="str">
        <f>IF('Step 7 - Dept Head'!B11="","","Other Criteria")</f>
        <v/>
      </c>
      <c r="M314" s="17" t="str">
        <f>IF('Step 7 - Dept Head'!B11="","","Equals")</f>
        <v/>
      </c>
      <c r="N314" s="18" t="str">
        <f>IF('Step 7 - Dept Head'!B11="","",'Step 7 - Dept Head'!E11)</f>
        <v/>
      </c>
      <c r="O314" s="18" t="str">
        <f>IF('Step 7 - Dept Head'!B11="","",IF('Step 7 - Dept Head'!F11="","","Total"))</f>
        <v/>
      </c>
      <c r="P314" s="17" t="str">
        <f>IF('Step 7 - Dept Head'!B11="","",IF('Step 7 - Dept Head'!F11="","","&gt;="))</f>
        <v/>
      </c>
      <c r="Q314" s="18" t="str">
        <f>IF('Step 7 - Dept Head'!B11="","",IF('Step 7 - Dept Head'!F11="","",'Step 7 - Dept Head'!F11))</f>
        <v/>
      </c>
      <c r="R314" s="18" t="str">
        <f>""</f>
        <v/>
      </c>
      <c r="S314" s="18" t="str">
        <f>""</f>
        <v/>
      </c>
      <c r="T314" s="18" t="str">
        <f>""</f>
        <v/>
      </c>
      <c r="U314" s="18" t="str">
        <f>IF('Step 7 - Dept Head'!B11="","",'Step 7 - Dept Head'!I11)</f>
        <v/>
      </c>
      <c r="V314" s="17" t="str">
        <f>IF('Step 7 - Dept Head'!B11="","",'Step 7 - Dept Head'!K11)</f>
        <v/>
      </c>
      <c r="W314" s="18" t="str">
        <f>IF('Step 7 - Dept Head'!B11="","",'Step 7 - Dept Head'!L11)</f>
        <v/>
      </c>
      <c r="X314" s="17" t="str">
        <f>IF('Step 7 - Dept Head'!B11="","",'Step 7 - Dept Head'!N11)</f>
        <v/>
      </c>
      <c r="Y314" s="18" t="str">
        <f>""</f>
        <v/>
      </c>
      <c r="Z314" s="18" t="str">
        <f>""</f>
        <v/>
      </c>
      <c r="AA314" s="18" t="str">
        <f>""</f>
        <v/>
      </c>
      <c r="AB314" s="18" t="str">
        <f>""</f>
        <v/>
      </c>
      <c r="AC314" s="18" t="str">
        <f>""</f>
        <v/>
      </c>
      <c r="AD314" s="18" t="str">
        <f>""</f>
        <v/>
      </c>
      <c r="AE314" s="18" t="str">
        <f>""</f>
        <v/>
      </c>
      <c r="AF314" s="18" t="str">
        <f>""</f>
        <v/>
      </c>
      <c r="AG314" s="18" t="str">
        <f>""</f>
        <v/>
      </c>
      <c r="AH314" s="18" t="str">
        <f>""</f>
        <v/>
      </c>
      <c r="AI314" s="18" t="str">
        <f>""</f>
        <v/>
      </c>
      <c r="AJ314" s="18" t="str">
        <f>""</f>
        <v/>
      </c>
      <c r="AK314" s="18" t="str">
        <f>""</f>
        <v/>
      </c>
      <c r="AL314" s="18" t="str">
        <f>""</f>
        <v/>
      </c>
      <c r="AM314" s="18" t="str">
        <f>""</f>
        <v/>
      </c>
    </row>
    <row r="315" spans="1:39" ht="15.75" customHeight="1" x14ac:dyDescent="0.25">
      <c r="A315" s="19" t="str">
        <f>IF('Step 7 - Dept Head'!B12="","","Active")</f>
        <v/>
      </c>
      <c r="B315" s="20" t="str">
        <f>IF('Step 7 - Dept Head'!B12="","",'Step 7 - Dept Head'!B12)</f>
        <v/>
      </c>
      <c r="C315" s="20" t="str">
        <f>IF('Step 7 - Dept Head'!B12="","",'Step 7 - Dept Head'!B12)</f>
        <v/>
      </c>
      <c r="D315" s="19" t="str">
        <f>IF('Step 7 - Dept Head'!B12="","",'Step 7 - Dept Head'!G12)</f>
        <v/>
      </c>
      <c r="E315" s="19" t="str">
        <f>IF('Step 7 - Dept Head'!B12="","",'Step 7 - Dept Head'!H12)</f>
        <v/>
      </c>
      <c r="F315" s="20" t="str">
        <f>IF('Step 7 - Dept Head'!B12="","",IF('Step 7 - Dept Head'!C12="","","Fund Code"))</f>
        <v/>
      </c>
      <c r="G315" s="19" t="str">
        <f>IF('Step 7 - Dept Head'!B12="","",IF('Step 7 - Dept Head'!C12="","","Equals"))</f>
        <v/>
      </c>
      <c r="H315" s="20" t="str">
        <f>IF('Step 7 - Dept Head'!B12="","",IF('Step 7 - Dept Head'!C12="","",'Step 7 - Dept Head'!C12))</f>
        <v/>
      </c>
      <c r="I315" s="20" t="str">
        <f>IF('Step 7 - Dept Head'!B12="","","Organization Code")</f>
        <v/>
      </c>
      <c r="J315" s="19" t="str">
        <f>IF('Step 7 - Dept Head'!B12="","","Equals")</f>
        <v/>
      </c>
      <c r="K315" s="20" t="str">
        <f>IF('Step 7 - Dept Head'!B12="","",'Step 7 - Dept Head'!D12)</f>
        <v/>
      </c>
      <c r="L315" s="20" t="str">
        <f>IF('Step 7 - Dept Head'!B12="","","Other Criteria")</f>
        <v/>
      </c>
      <c r="M315" s="19" t="str">
        <f>IF('Step 7 - Dept Head'!B12="","","Equals")</f>
        <v/>
      </c>
      <c r="N315" s="20" t="str">
        <f>IF('Step 7 - Dept Head'!B12="","",'Step 7 - Dept Head'!E12)</f>
        <v/>
      </c>
      <c r="O315" s="20" t="str">
        <f>IF('Step 7 - Dept Head'!B12="","",IF('Step 7 - Dept Head'!F12="","","Total"))</f>
        <v/>
      </c>
      <c r="P315" s="19" t="str">
        <f>IF('Step 7 - Dept Head'!B12="","",IF('Step 7 - Dept Head'!F12="","","&gt;="))</f>
        <v/>
      </c>
      <c r="Q315" s="20" t="str">
        <f>IF('Step 7 - Dept Head'!B12="","",IF('Step 7 - Dept Head'!F12="","",'Step 7 - Dept Head'!F12))</f>
        <v/>
      </c>
      <c r="R315" s="20" t="str">
        <f>""</f>
        <v/>
      </c>
      <c r="S315" s="20" t="str">
        <f>""</f>
        <v/>
      </c>
      <c r="T315" s="20" t="str">
        <f>""</f>
        <v/>
      </c>
      <c r="U315" s="20" t="str">
        <f>IF('Step 7 - Dept Head'!B12="","",'Step 7 - Dept Head'!I12)</f>
        <v/>
      </c>
      <c r="V315" s="19" t="str">
        <f>IF('Step 7 - Dept Head'!B12="","",'Step 7 - Dept Head'!K12)</f>
        <v/>
      </c>
      <c r="W315" s="20" t="str">
        <f>IF('Step 7 - Dept Head'!B12="","",'Step 7 - Dept Head'!L12)</f>
        <v/>
      </c>
      <c r="X315" s="19" t="str">
        <f>IF('Step 7 - Dept Head'!B12="","",'Step 7 - Dept Head'!N12)</f>
        <v/>
      </c>
      <c r="Y315" s="20" t="str">
        <f>""</f>
        <v/>
      </c>
      <c r="Z315" s="20" t="str">
        <f>""</f>
        <v/>
      </c>
      <c r="AA315" s="20" t="str">
        <f>""</f>
        <v/>
      </c>
      <c r="AB315" s="20" t="str">
        <f>""</f>
        <v/>
      </c>
      <c r="AC315" s="20" t="str">
        <f>""</f>
        <v/>
      </c>
      <c r="AD315" s="20" t="str">
        <f>""</f>
        <v/>
      </c>
      <c r="AE315" s="20" t="str">
        <f>""</f>
        <v/>
      </c>
      <c r="AF315" s="20" t="str">
        <f>""</f>
        <v/>
      </c>
      <c r="AG315" s="20" t="str">
        <f>""</f>
        <v/>
      </c>
      <c r="AH315" s="20" t="str">
        <f>""</f>
        <v/>
      </c>
      <c r="AI315" s="20" t="str">
        <f>""</f>
        <v/>
      </c>
      <c r="AJ315" s="20" t="str">
        <f>""</f>
        <v/>
      </c>
      <c r="AK315" s="20" t="str">
        <f>""</f>
        <v/>
      </c>
      <c r="AL315" s="20" t="str">
        <f>""</f>
        <v/>
      </c>
      <c r="AM315" s="20" t="str">
        <f>""</f>
        <v/>
      </c>
    </row>
    <row r="316" spans="1:39" ht="15.75" customHeight="1" x14ac:dyDescent="0.25">
      <c r="A316" s="17" t="str">
        <f>IF('Step 7 - Dept Head'!B13="","","Active")</f>
        <v/>
      </c>
      <c r="B316" s="18" t="str">
        <f>IF('Step 7 - Dept Head'!B13="","",'Step 7 - Dept Head'!B13)</f>
        <v/>
      </c>
      <c r="C316" s="18" t="str">
        <f>IF('Step 7 - Dept Head'!B13="","",'Step 7 - Dept Head'!B13)</f>
        <v/>
      </c>
      <c r="D316" s="17" t="str">
        <f>IF('Step 7 - Dept Head'!B13="","",'Step 7 - Dept Head'!G13)</f>
        <v/>
      </c>
      <c r="E316" s="17" t="str">
        <f>IF('Step 7 - Dept Head'!B13="","",'Step 7 - Dept Head'!H13)</f>
        <v/>
      </c>
      <c r="F316" s="18" t="str">
        <f>IF('Step 7 - Dept Head'!B13="","",IF('Step 7 - Dept Head'!C13="","","Fund Code"))</f>
        <v/>
      </c>
      <c r="G316" s="17" t="str">
        <f>IF('Step 7 - Dept Head'!B13="","",IF('Step 7 - Dept Head'!C13="","","Equals"))</f>
        <v/>
      </c>
      <c r="H316" s="18" t="str">
        <f>IF('Step 7 - Dept Head'!B13="","",IF('Step 7 - Dept Head'!C13="","",'Step 7 - Dept Head'!C13))</f>
        <v/>
      </c>
      <c r="I316" s="18" t="str">
        <f>IF('Step 7 - Dept Head'!B13="","","Organization Code")</f>
        <v/>
      </c>
      <c r="J316" s="17" t="str">
        <f>IF('Step 7 - Dept Head'!B13="","","Equals")</f>
        <v/>
      </c>
      <c r="K316" s="18" t="str">
        <f>IF('Step 7 - Dept Head'!B13="","",'Step 7 - Dept Head'!D13)</f>
        <v/>
      </c>
      <c r="L316" s="18" t="str">
        <f>IF('Step 7 - Dept Head'!B13="","","Other Criteria")</f>
        <v/>
      </c>
      <c r="M316" s="17" t="str">
        <f>IF('Step 7 - Dept Head'!B13="","","Equals")</f>
        <v/>
      </c>
      <c r="N316" s="18" t="str">
        <f>IF('Step 7 - Dept Head'!B13="","",'Step 7 - Dept Head'!E13)</f>
        <v/>
      </c>
      <c r="O316" s="18" t="str">
        <f>IF('Step 7 - Dept Head'!B13="","",IF('Step 7 - Dept Head'!F13="","","Total"))</f>
        <v/>
      </c>
      <c r="P316" s="17" t="str">
        <f>IF('Step 7 - Dept Head'!B13="","",IF('Step 7 - Dept Head'!F13="","","&gt;="))</f>
        <v/>
      </c>
      <c r="Q316" s="18" t="str">
        <f>IF('Step 7 - Dept Head'!B13="","",IF('Step 7 - Dept Head'!F13="","",'Step 7 - Dept Head'!F13))</f>
        <v/>
      </c>
      <c r="R316" s="18" t="str">
        <f>""</f>
        <v/>
      </c>
      <c r="S316" s="18" t="str">
        <f>""</f>
        <v/>
      </c>
      <c r="T316" s="18" t="str">
        <f>""</f>
        <v/>
      </c>
      <c r="U316" s="18" t="str">
        <f>IF('Step 7 - Dept Head'!B13="","",'Step 7 - Dept Head'!I13)</f>
        <v/>
      </c>
      <c r="V316" s="17" t="str">
        <f>IF('Step 7 - Dept Head'!B13="","",'Step 7 - Dept Head'!K13)</f>
        <v/>
      </c>
      <c r="W316" s="18" t="str">
        <f>IF('Step 7 - Dept Head'!B13="","",'Step 7 - Dept Head'!L13)</f>
        <v/>
      </c>
      <c r="X316" s="17" t="str">
        <f>IF('Step 7 - Dept Head'!B13="","",'Step 7 - Dept Head'!N13)</f>
        <v/>
      </c>
      <c r="Y316" s="18" t="str">
        <f>""</f>
        <v/>
      </c>
      <c r="Z316" s="18" t="str">
        <f>""</f>
        <v/>
      </c>
      <c r="AA316" s="18" t="str">
        <f>""</f>
        <v/>
      </c>
      <c r="AB316" s="18" t="str">
        <f>""</f>
        <v/>
      </c>
      <c r="AC316" s="18" t="str">
        <f>""</f>
        <v/>
      </c>
      <c r="AD316" s="18" t="str">
        <f>""</f>
        <v/>
      </c>
      <c r="AE316" s="18" t="str">
        <f>""</f>
        <v/>
      </c>
      <c r="AF316" s="18" t="str">
        <f>""</f>
        <v/>
      </c>
      <c r="AG316" s="18" t="str">
        <f>""</f>
        <v/>
      </c>
      <c r="AH316" s="18" t="str">
        <f>""</f>
        <v/>
      </c>
      <c r="AI316" s="18" t="str">
        <f>""</f>
        <v/>
      </c>
      <c r="AJ316" s="18" t="str">
        <f>""</f>
        <v/>
      </c>
      <c r="AK316" s="18" t="str">
        <f>""</f>
        <v/>
      </c>
      <c r="AL316" s="18" t="str">
        <f>""</f>
        <v/>
      </c>
      <c r="AM316" s="18" t="str">
        <f>""</f>
        <v/>
      </c>
    </row>
    <row r="317" spans="1:39" ht="15.75" customHeight="1" x14ac:dyDescent="0.25">
      <c r="A317" s="19" t="str">
        <f>IF('Step 7 - Dept Head'!B14="","","Active")</f>
        <v/>
      </c>
      <c r="B317" s="20" t="str">
        <f>IF('Step 7 - Dept Head'!B14="","",'Step 7 - Dept Head'!B14)</f>
        <v/>
      </c>
      <c r="C317" s="20" t="str">
        <f>IF('Step 7 - Dept Head'!B14="","",'Step 7 - Dept Head'!B14)</f>
        <v/>
      </c>
      <c r="D317" s="19" t="str">
        <f>IF('Step 7 - Dept Head'!B14="","",'Step 7 - Dept Head'!G14)</f>
        <v/>
      </c>
      <c r="E317" s="19" t="str">
        <f>IF('Step 7 - Dept Head'!B14="","",'Step 7 - Dept Head'!H14)</f>
        <v/>
      </c>
      <c r="F317" s="20" t="str">
        <f>IF('Step 7 - Dept Head'!B14="","",IF('Step 7 - Dept Head'!C14="","","Fund Code"))</f>
        <v/>
      </c>
      <c r="G317" s="19" t="str">
        <f>IF('Step 7 - Dept Head'!B14="","",IF('Step 7 - Dept Head'!C14="","","Equals"))</f>
        <v/>
      </c>
      <c r="H317" s="20" t="str">
        <f>IF('Step 7 - Dept Head'!B14="","",IF('Step 7 - Dept Head'!C14="","",'Step 7 - Dept Head'!C14))</f>
        <v/>
      </c>
      <c r="I317" s="20" t="str">
        <f>IF('Step 7 - Dept Head'!B14="","","Organization Code")</f>
        <v/>
      </c>
      <c r="J317" s="19" t="str">
        <f>IF('Step 7 - Dept Head'!B14="","","Equals")</f>
        <v/>
      </c>
      <c r="K317" s="20" t="str">
        <f>IF('Step 7 - Dept Head'!B14="","",'Step 7 - Dept Head'!D14)</f>
        <v/>
      </c>
      <c r="L317" s="20" t="str">
        <f>IF('Step 7 - Dept Head'!B14="","","Other Criteria")</f>
        <v/>
      </c>
      <c r="M317" s="19" t="str">
        <f>IF('Step 7 - Dept Head'!B14="","","Equals")</f>
        <v/>
      </c>
      <c r="N317" s="20" t="str">
        <f>IF('Step 7 - Dept Head'!B14="","",'Step 7 - Dept Head'!E14)</f>
        <v/>
      </c>
      <c r="O317" s="20" t="str">
        <f>IF('Step 7 - Dept Head'!B14="","",IF('Step 7 - Dept Head'!F14="","","Total"))</f>
        <v/>
      </c>
      <c r="P317" s="19" t="str">
        <f>IF('Step 7 - Dept Head'!B14="","",IF('Step 7 - Dept Head'!F14="","","&gt;="))</f>
        <v/>
      </c>
      <c r="Q317" s="20" t="str">
        <f>IF('Step 7 - Dept Head'!B14="","",IF('Step 7 - Dept Head'!F14="","",'Step 7 - Dept Head'!F14))</f>
        <v/>
      </c>
      <c r="R317" s="20" t="str">
        <f>""</f>
        <v/>
      </c>
      <c r="S317" s="20" t="str">
        <f>""</f>
        <v/>
      </c>
      <c r="T317" s="20" t="str">
        <f>""</f>
        <v/>
      </c>
      <c r="U317" s="20" t="str">
        <f>IF('Step 7 - Dept Head'!B14="","",'Step 7 - Dept Head'!I14)</f>
        <v/>
      </c>
      <c r="V317" s="19" t="str">
        <f>IF('Step 7 - Dept Head'!B14="","",'Step 7 - Dept Head'!K14)</f>
        <v/>
      </c>
      <c r="W317" s="20" t="str">
        <f>IF('Step 7 - Dept Head'!B14="","",'Step 7 - Dept Head'!L14)</f>
        <v/>
      </c>
      <c r="X317" s="19" t="str">
        <f>IF('Step 7 - Dept Head'!B14="","",'Step 7 - Dept Head'!N14)</f>
        <v/>
      </c>
      <c r="Y317" s="20" t="str">
        <f>""</f>
        <v/>
      </c>
      <c r="Z317" s="20" t="str">
        <f>""</f>
        <v/>
      </c>
      <c r="AA317" s="20" t="str">
        <f>""</f>
        <v/>
      </c>
      <c r="AB317" s="20" t="str">
        <f>""</f>
        <v/>
      </c>
      <c r="AC317" s="20" t="str">
        <f>""</f>
        <v/>
      </c>
      <c r="AD317" s="20" t="str">
        <f>""</f>
        <v/>
      </c>
      <c r="AE317" s="20" t="str">
        <f>""</f>
        <v/>
      </c>
      <c r="AF317" s="20" t="str">
        <f>""</f>
        <v/>
      </c>
      <c r="AG317" s="20" t="str">
        <f>""</f>
        <v/>
      </c>
      <c r="AH317" s="20" t="str">
        <f>""</f>
        <v/>
      </c>
      <c r="AI317" s="20" t="str">
        <f>""</f>
        <v/>
      </c>
      <c r="AJ317" s="20" t="str">
        <f>""</f>
        <v/>
      </c>
      <c r="AK317" s="20" t="str">
        <f>""</f>
        <v/>
      </c>
      <c r="AL317" s="20" t="str">
        <f>""</f>
        <v/>
      </c>
      <c r="AM317" s="20" t="str">
        <f>""</f>
        <v/>
      </c>
    </row>
    <row r="318" spans="1:39" ht="15.75" customHeight="1" x14ac:dyDescent="0.25">
      <c r="A318" s="17" t="str">
        <f>IF('Step 7 - Dept Head'!B15="","","Active")</f>
        <v/>
      </c>
      <c r="B318" s="18" t="str">
        <f>IF('Step 7 - Dept Head'!B15="","",'Step 7 - Dept Head'!B15)</f>
        <v/>
      </c>
      <c r="C318" s="18" t="str">
        <f>IF('Step 7 - Dept Head'!B15="","",'Step 7 - Dept Head'!B15)</f>
        <v/>
      </c>
      <c r="D318" s="17" t="str">
        <f>IF('Step 7 - Dept Head'!B15="","",'Step 7 - Dept Head'!G15)</f>
        <v/>
      </c>
      <c r="E318" s="17" t="str">
        <f>IF('Step 7 - Dept Head'!B15="","",'Step 7 - Dept Head'!H15)</f>
        <v/>
      </c>
      <c r="F318" s="18" t="str">
        <f>IF('Step 7 - Dept Head'!B15="","",IF('Step 7 - Dept Head'!C15="","","Fund Code"))</f>
        <v/>
      </c>
      <c r="G318" s="17" t="str">
        <f>IF('Step 7 - Dept Head'!B15="","",IF('Step 7 - Dept Head'!C15="","","Equals"))</f>
        <v/>
      </c>
      <c r="H318" s="18" t="str">
        <f>IF('Step 7 - Dept Head'!B15="","",IF('Step 7 - Dept Head'!C15="","",'Step 7 - Dept Head'!C15))</f>
        <v/>
      </c>
      <c r="I318" s="18" t="str">
        <f>IF('Step 7 - Dept Head'!B15="","","Organization Code")</f>
        <v/>
      </c>
      <c r="J318" s="17" t="str">
        <f>IF('Step 7 - Dept Head'!B15="","","Equals")</f>
        <v/>
      </c>
      <c r="K318" s="18" t="str">
        <f>IF('Step 7 - Dept Head'!B15="","",'Step 7 - Dept Head'!D15)</f>
        <v/>
      </c>
      <c r="L318" s="18" t="str">
        <f>IF('Step 7 - Dept Head'!B15="","","Other Criteria")</f>
        <v/>
      </c>
      <c r="M318" s="17" t="str">
        <f>IF('Step 7 - Dept Head'!B15="","","Equals")</f>
        <v/>
      </c>
      <c r="N318" s="18" t="str">
        <f>IF('Step 7 - Dept Head'!B15="","",'Step 7 - Dept Head'!E15)</f>
        <v/>
      </c>
      <c r="O318" s="18" t="str">
        <f>IF('Step 7 - Dept Head'!B15="","",IF('Step 7 - Dept Head'!F15="","","Total"))</f>
        <v/>
      </c>
      <c r="P318" s="17" t="str">
        <f>IF('Step 7 - Dept Head'!B15="","",IF('Step 7 - Dept Head'!F15="","","&gt;="))</f>
        <v/>
      </c>
      <c r="Q318" s="18" t="str">
        <f>IF('Step 7 - Dept Head'!B15="","",IF('Step 7 - Dept Head'!F15="","",'Step 7 - Dept Head'!F15))</f>
        <v/>
      </c>
      <c r="R318" s="18" t="str">
        <f>""</f>
        <v/>
      </c>
      <c r="S318" s="18" t="str">
        <f>""</f>
        <v/>
      </c>
      <c r="T318" s="18" t="str">
        <f>""</f>
        <v/>
      </c>
      <c r="U318" s="18" t="str">
        <f>IF('Step 7 - Dept Head'!B15="","",'Step 7 - Dept Head'!I15)</f>
        <v/>
      </c>
      <c r="V318" s="17" t="str">
        <f>IF('Step 7 - Dept Head'!B15="","",'Step 7 - Dept Head'!K15)</f>
        <v/>
      </c>
      <c r="W318" s="18" t="str">
        <f>IF('Step 7 - Dept Head'!B15="","",'Step 7 - Dept Head'!L15)</f>
        <v/>
      </c>
      <c r="X318" s="17" t="str">
        <f>IF('Step 7 - Dept Head'!B15="","",'Step 7 - Dept Head'!N15)</f>
        <v/>
      </c>
      <c r="Y318" s="18" t="str">
        <f>""</f>
        <v/>
      </c>
      <c r="Z318" s="18" t="str">
        <f>""</f>
        <v/>
      </c>
      <c r="AA318" s="18" t="str">
        <f>""</f>
        <v/>
      </c>
      <c r="AB318" s="18" t="str">
        <f>""</f>
        <v/>
      </c>
      <c r="AC318" s="18" t="str">
        <f>""</f>
        <v/>
      </c>
      <c r="AD318" s="18" t="str">
        <f>""</f>
        <v/>
      </c>
      <c r="AE318" s="18" t="str">
        <f>""</f>
        <v/>
      </c>
      <c r="AF318" s="18" t="str">
        <f>""</f>
        <v/>
      </c>
      <c r="AG318" s="18" t="str">
        <f>""</f>
        <v/>
      </c>
      <c r="AH318" s="18" t="str">
        <f>""</f>
        <v/>
      </c>
      <c r="AI318" s="18" t="str">
        <f>""</f>
        <v/>
      </c>
      <c r="AJ318" s="18" t="str">
        <f>""</f>
        <v/>
      </c>
      <c r="AK318" s="18" t="str">
        <f>""</f>
        <v/>
      </c>
      <c r="AL318" s="18" t="str">
        <f>""</f>
        <v/>
      </c>
      <c r="AM318" s="18" t="str">
        <f>""</f>
        <v/>
      </c>
    </row>
    <row r="319" spans="1:39" ht="15.75" customHeight="1" x14ac:dyDescent="0.25">
      <c r="A319" s="19" t="str">
        <f>IF('Step 7 - Dept Head'!B16="","","Active")</f>
        <v/>
      </c>
      <c r="B319" s="20" t="str">
        <f>IF('Step 7 - Dept Head'!B16="","",'Step 7 - Dept Head'!B16)</f>
        <v/>
      </c>
      <c r="C319" s="20" t="str">
        <f>IF('Step 7 - Dept Head'!B16="","",'Step 7 - Dept Head'!B16)</f>
        <v/>
      </c>
      <c r="D319" s="19" t="str">
        <f>IF('Step 7 - Dept Head'!B16="","",'Step 7 - Dept Head'!G16)</f>
        <v/>
      </c>
      <c r="E319" s="19" t="str">
        <f>IF('Step 7 - Dept Head'!B16="","",'Step 7 - Dept Head'!H16)</f>
        <v/>
      </c>
      <c r="F319" s="20" t="str">
        <f>IF('Step 7 - Dept Head'!B16="","",IF('Step 7 - Dept Head'!C16="","","Fund Code"))</f>
        <v/>
      </c>
      <c r="G319" s="19" t="str">
        <f>IF('Step 7 - Dept Head'!B16="","",IF('Step 7 - Dept Head'!C16="","","Equals"))</f>
        <v/>
      </c>
      <c r="H319" s="20" t="str">
        <f>IF('Step 7 - Dept Head'!B16="","",IF('Step 7 - Dept Head'!C16="","",'Step 7 - Dept Head'!C16))</f>
        <v/>
      </c>
      <c r="I319" s="20" t="str">
        <f>IF('Step 7 - Dept Head'!B16="","","Organization Code")</f>
        <v/>
      </c>
      <c r="J319" s="19" t="str">
        <f>IF('Step 7 - Dept Head'!B16="","","Equals")</f>
        <v/>
      </c>
      <c r="K319" s="20" t="str">
        <f>IF('Step 7 - Dept Head'!B16="","",'Step 7 - Dept Head'!D16)</f>
        <v/>
      </c>
      <c r="L319" s="20" t="str">
        <f>IF('Step 7 - Dept Head'!B16="","","Other Criteria")</f>
        <v/>
      </c>
      <c r="M319" s="19" t="str">
        <f>IF('Step 7 - Dept Head'!B16="","","Equals")</f>
        <v/>
      </c>
      <c r="N319" s="20" t="str">
        <f>IF('Step 7 - Dept Head'!B16="","",'Step 7 - Dept Head'!E16)</f>
        <v/>
      </c>
      <c r="O319" s="20" t="str">
        <f>IF('Step 7 - Dept Head'!B16="","",IF('Step 7 - Dept Head'!F16="","","Total"))</f>
        <v/>
      </c>
      <c r="P319" s="19" t="str">
        <f>IF('Step 7 - Dept Head'!B16="","",IF('Step 7 - Dept Head'!F16="","","&gt;="))</f>
        <v/>
      </c>
      <c r="Q319" s="20" t="str">
        <f>IF('Step 7 - Dept Head'!B16="","",IF('Step 7 - Dept Head'!F16="","",'Step 7 - Dept Head'!F16))</f>
        <v/>
      </c>
      <c r="R319" s="20" t="str">
        <f>""</f>
        <v/>
      </c>
      <c r="S319" s="20" t="str">
        <f>""</f>
        <v/>
      </c>
      <c r="T319" s="20" t="str">
        <f>""</f>
        <v/>
      </c>
      <c r="U319" s="20" t="str">
        <f>IF('Step 7 - Dept Head'!B16="","",'Step 7 - Dept Head'!I16)</f>
        <v/>
      </c>
      <c r="V319" s="19" t="str">
        <f>IF('Step 7 - Dept Head'!B16="","",'Step 7 - Dept Head'!K16)</f>
        <v/>
      </c>
      <c r="W319" s="20" t="str">
        <f>IF('Step 7 - Dept Head'!B16="","",'Step 7 - Dept Head'!L16)</f>
        <v/>
      </c>
      <c r="X319" s="19" t="str">
        <f>IF('Step 7 - Dept Head'!B16="","",'Step 7 - Dept Head'!N16)</f>
        <v/>
      </c>
      <c r="Y319" s="20" t="str">
        <f>""</f>
        <v/>
      </c>
      <c r="Z319" s="20" t="str">
        <f>""</f>
        <v/>
      </c>
      <c r="AA319" s="20" t="str">
        <f>""</f>
        <v/>
      </c>
      <c r="AB319" s="20" t="str">
        <f>""</f>
        <v/>
      </c>
      <c r="AC319" s="20" t="str">
        <f>""</f>
        <v/>
      </c>
      <c r="AD319" s="20" t="str">
        <f>""</f>
        <v/>
      </c>
      <c r="AE319" s="20" t="str">
        <f>""</f>
        <v/>
      </c>
      <c r="AF319" s="20" t="str">
        <f>""</f>
        <v/>
      </c>
      <c r="AG319" s="20" t="str">
        <f>""</f>
        <v/>
      </c>
      <c r="AH319" s="20" t="str">
        <f>""</f>
        <v/>
      </c>
      <c r="AI319" s="20" t="str">
        <f>""</f>
        <v/>
      </c>
      <c r="AJ319" s="20" t="str">
        <f>""</f>
        <v/>
      </c>
      <c r="AK319" s="20" t="str">
        <f>""</f>
        <v/>
      </c>
      <c r="AL319" s="20" t="str">
        <f>""</f>
        <v/>
      </c>
      <c r="AM319" s="20" t="str">
        <f>""</f>
        <v/>
      </c>
    </row>
    <row r="320" spans="1:39" ht="15.75" customHeight="1" x14ac:dyDescent="0.25">
      <c r="A320" s="17" t="str">
        <f>IF('Step 7 - Dept Head'!B17="","","Active")</f>
        <v/>
      </c>
      <c r="B320" s="18" t="str">
        <f>IF('Step 7 - Dept Head'!B17="","",'Step 7 - Dept Head'!B17)</f>
        <v/>
      </c>
      <c r="C320" s="18" t="str">
        <f>IF('Step 7 - Dept Head'!B17="","",'Step 7 - Dept Head'!B17)</f>
        <v/>
      </c>
      <c r="D320" s="17" t="str">
        <f>IF('Step 7 - Dept Head'!B17="","",'Step 7 - Dept Head'!G17)</f>
        <v/>
      </c>
      <c r="E320" s="17" t="str">
        <f>IF('Step 7 - Dept Head'!B17="","",'Step 7 - Dept Head'!H17)</f>
        <v/>
      </c>
      <c r="F320" s="18" t="str">
        <f>IF('Step 7 - Dept Head'!B17="","",IF('Step 7 - Dept Head'!C17="","","Fund Code"))</f>
        <v/>
      </c>
      <c r="G320" s="17" t="str">
        <f>IF('Step 7 - Dept Head'!B17="","",IF('Step 7 - Dept Head'!C17="","","Equals"))</f>
        <v/>
      </c>
      <c r="H320" s="18" t="str">
        <f>IF('Step 7 - Dept Head'!B17="","",IF('Step 7 - Dept Head'!C17="","",'Step 7 - Dept Head'!C17))</f>
        <v/>
      </c>
      <c r="I320" s="18" t="str">
        <f>IF('Step 7 - Dept Head'!B17="","","Organization Code")</f>
        <v/>
      </c>
      <c r="J320" s="17" t="str">
        <f>IF('Step 7 - Dept Head'!B17="","","Equals")</f>
        <v/>
      </c>
      <c r="K320" s="18" t="str">
        <f>IF('Step 7 - Dept Head'!B17="","",'Step 7 - Dept Head'!D17)</f>
        <v/>
      </c>
      <c r="L320" s="18" t="str">
        <f>IF('Step 7 - Dept Head'!B17="","","Other Criteria")</f>
        <v/>
      </c>
      <c r="M320" s="17" t="str">
        <f>IF('Step 7 - Dept Head'!B17="","","Equals")</f>
        <v/>
      </c>
      <c r="N320" s="18" t="str">
        <f>IF('Step 7 - Dept Head'!B17="","",'Step 7 - Dept Head'!E17)</f>
        <v/>
      </c>
      <c r="O320" s="18" t="str">
        <f>IF('Step 7 - Dept Head'!B17="","",IF('Step 7 - Dept Head'!F17="","","Total"))</f>
        <v/>
      </c>
      <c r="P320" s="17" t="str">
        <f>IF('Step 7 - Dept Head'!B17="","",IF('Step 7 - Dept Head'!F17="","","&gt;="))</f>
        <v/>
      </c>
      <c r="Q320" s="18" t="str">
        <f>IF('Step 7 - Dept Head'!B17="","",IF('Step 7 - Dept Head'!F17="","",'Step 7 - Dept Head'!F17))</f>
        <v/>
      </c>
      <c r="R320" s="18" t="str">
        <f>""</f>
        <v/>
      </c>
      <c r="S320" s="18" t="str">
        <f>""</f>
        <v/>
      </c>
      <c r="T320" s="18" t="str">
        <f>""</f>
        <v/>
      </c>
      <c r="U320" s="18" t="str">
        <f>IF('Step 7 - Dept Head'!B17="","",'Step 7 - Dept Head'!I17)</f>
        <v/>
      </c>
      <c r="V320" s="17" t="str">
        <f>IF('Step 7 - Dept Head'!B17="","",'Step 7 - Dept Head'!K17)</f>
        <v/>
      </c>
      <c r="W320" s="18" t="str">
        <f>IF('Step 7 - Dept Head'!B17="","",'Step 7 - Dept Head'!L17)</f>
        <v/>
      </c>
      <c r="X320" s="17" t="str">
        <f>IF('Step 7 - Dept Head'!B17="","",'Step 7 - Dept Head'!N17)</f>
        <v/>
      </c>
      <c r="Y320" s="18" t="str">
        <f>""</f>
        <v/>
      </c>
      <c r="Z320" s="18" t="str">
        <f>""</f>
        <v/>
      </c>
      <c r="AA320" s="18" t="str">
        <f>""</f>
        <v/>
      </c>
      <c r="AB320" s="18" t="str">
        <f>""</f>
        <v/>
      </c>
      <c r="AC320" s="18" t="str">
        <f>""</f>
        <v/>
      </c>
      <c r="AD320" s="18" t="str">
        <f>""</f>
        <v/>
      </c>
      <c r="AE320" s="18" t="str">
        <f>""</f>
        <v/>
      </c>
      <c r="AF320" s="18" t="str">
        <f>""</f>
        <v/>
      </c>
      <c r="AG320" s="18" t="str">
        <f>""</f>
        <v/>
      </c>
      <c r="AH320" s="18" t="str">
        <f>""</f>
        <v/>
      </c>
      <c r="AI320" s="18" t="str">
        <f>""</f>
        <v/>
      </c>
      <c r="AJ320" s="18" t="str">
        <f>""</f>
        <v/>
      </c>
      <c r="AK320" s="18" t="str">
        <f>""</f>
        <v/>
      </c>
      <c r="AL320" s="18" t="str">
        <f>""</f>
        <v/>
      </c>
      <c r="AM320" s="18" t="str">
        <f>""</f>
        <v/>
      </c>
    </row>
    <row r="321" spans="1:39" ht="15.75" customHeight="1" x14ac:dyDescent="0.25">
      <c r="A321" s="19" t="str">
        <f>IF('Step 7 - Dept Head'!B18="","","Active")</f>
        <v/>
      </c>
      <c r="B321" s="20" t="str">
        <f>IF('Step 7 - Dept Head'!B18="","",'Step 7 - Dept Head'!B18)</f>
        <v/>
      </c>
      <c r="C321" s="20" t="str">
        <f>IF('Step 7 - Dept Head'!B18="","",'Step 7 - Dept Head'!B18)</f>
        <v/>
      </c>
      <c r="D321" s="19" t="str">
        <f>IF('Step 7 - Dept Head'!B18="","",'Step 7 - Dept Head'!G18)</f>
        <v/>
      </c>
      <c r="E321" s="19" t="str">
        <f>IF('Step 7 - Dept Head'!B18="","",'Step 7 - Dept Head'!H18)</f>
        <v/>
      </c>
      <c r="F321" s="20" t="str">
        <f>IF('Step 7 - Dept Head'!B18="","",IF('Step 7 - Dept Head'!C18="","","Fund Code"))</f>
        <v/>
      </c>
      <c r="G321" s="19" t="str">
        <f>IF('Step 7 - Dept Head'!B18="","",IF('Step 7 - Dept Head'!C18="","","Equals"))</f>
        <v/>
      </c>
      <c r="H321" s="20" t="str">
        <f>IF('Step 7 - Dept Head'!B18="","",IF('Step 7 - Dept Head'!C18="","",'Step 7 - Dept Head'!C18))</f>
        <v/>
      </c>
      <c r="I321" s="20" t="str">
        <f>IF('Step 7 - Dept Head'!B18="","","Organization Code")</f>
        <v/>
      </c>
      <c r="J321" s="19" t="str">
        <f>IF('Step 7 - Dept Head'!B18="","","Equals")</f>
        <v/>
      </c>
      <c r="K321" s="20" t="str">
        <f>IF('Step 7 - Dept Head'!B18="","",'Step 7 - Dept Head'!D18)</f>
        <v/>
      </c>
      <c r="L321" s="20" t="str">
        <f>IF('Step 7 - Dept Head'!B18="","","Other Criteria")</f>
        <v/>
      </c>
      <c r="M321" s="19" t="str">
        <f>IF('Step 7 - Dept Head'!B18="","","Equals")</f>
        <v/>
      </c>
      <c r="N321" s="20" t="str">
        <f>IF('Step 7 - Dept Head'!B18="","",'Step 7 - Dept Head'!E18)</f>
        <v/>
      </c>
      <c r="O321" s="20" t="str">
        <f>IF('Step 7 - Dept Head'!B18="","",IF('Step 7 - Dept Head'!F18="","","Total"))</f>
        <v/>
      </c>
      <c r="P321" s="19" t="str">
        <f>IF('Step 7 - Dept Head'!B18="","",IF('Step 7 - Dept Head'!F18="","","&gt;="))</f>
        <v/>
      </c>
      <c r="Q321" s="20" t="str">
        <f>IF('Step 7 - Dept Head'!B18="","",IF('Step 7 - Dept Head'!F18="","",'Step 7 - Dept Head'!F18))</f>
        <v/>
      </c>
      <c r="R321" s="20" t="str">
        <f>""</f>
        <v/>
      </c>
      <c r="S321" s="20" t="str">
        <f>""</f>
        <v/>
      </c>
      <c r="T321" s="20" t="str">
        <f>""</f>
        <v/>
      </c>
      <c r="U321" s="20" t="str">
        <f>IF('Step 7 - Dept Head'!B18="","",'Step 7 - Dept Head'!I18)</f>
        <v/>
      </c>
      <c r="V321" s="19" t="str">
        <f>IF('Step 7 - Dept Head'!B18="","",'Step 7 - Dept Head'!K18)</f>
        <v/>
      </c>
      <c r="W321" s="20" t="str">
        <f>IF('Step 7 - Dept Head'!B18="","",'Step 7 - Dept Head'!L18)</f>
        <v/>
      </c>
      <c r="X321" s="19" t="str">
        <f>IF('Step 7 - Dept Head'!B18="","",'Step 7 - Dept Head'!N18)</f>
        <v/>
      </c>
      <c r="Y321" s="20" t="str">
        <f>""</f>
        <v/>
      </c>
      <c r="Z321" s="20" t="str">
        <f>""</f>
        <v/>
      </c>
      <c r="AA321" s="20" t="str">
        <f>""</f>
        <v/>
      </c>
      <c r="AB321" s="20" t="str">
        <f>""</f>
        <v/>
      </c>
      <c r="AC321" s="20" t="str">
        <f>""</f>
        <v/>
      </c>
      <c r="AD321" s="20" t="str">
        <f>""</f>
        <v/>
      </c>
      <c r="AE321" s="20" t="str">
        <f>""</f>
        <v/>
      </c>
      <c r="AF321" s="20" t="str">
        <f>""</f>
        <v/>
      </c>
      <c r="AG321" s="20" t="str">
        <f>""</f>
        <v/>
      </c>
      <c r="AH321" s="20" t="str">
        <f>""</f>
        <v/>
      </c>
      <c r="AI321" s="20" t="str">
        <f>""</f>
        <v/>
      </c>
      <c r="AJ321" s="20" t="str">
        <f>""</f>
        <v/>
      </c>
      <c r="AK321" s="20" t="str">
        <f>""</f>
        <v/>
      </c>
      <c r="AL321" s="20" t="str">
        <f>""</f>
        <v/>
      </c>
      <c r="AM321" s="20" t="str">
        <f>""</f>
        <v/>
      </c>
    </row>
    <row r="322" spans="1:39" ht="15.75" customHeight="1" x14ac:dyDescent="0.25">
      <c r="A322" s="17" t="str">
        <f>IF('Step 7 - Dept Head'!B19="","","Active")</f>
        <v/>
      </c>
      <c r="B322" s="18" t="str">
        <f>IF('Step 7 - Dept Head'!B19="","",'Step 7 - Dept Head'!B19)</f>
        <v/>
      </c>
      <c r="C322" s="18" t="str">
        <f>IF('Step 7 - Dept Head'!B19="","",'Step 7 - Dept Head'!B19)</f>
        <v/>
      </c>
      <c r="D322" s="17" t="str">
        <f>IF('Step 7 - Dept Head'!B19="","",'Step 7 - Dept Head'!G19)</f>
        <v/>
      </c>
      <c r="E322" s="17" t="str">
        <f>IF('Step 7 - Dept Head'!B19="","",'Step 7 - Dept Head'!H19)</f>
        <v/>
      </c>
      <c r="F322" s="18" t="str">
        <f>IF('Step 7 - Dept Head'!B19="","",IF('Step 7 - Dept Head'!C19="","","Fund Code"))</f>
        <v/>
      </c>
      <c r="G322" s="17" t="str">
        <f>IF('Step 7 - Dept Head'!B19="","",IF('Step 7 - Dept Head'!C19="","","Equals"))</f>
        <v/>
      </c>
      <c r="H322" s="18" t="str">
        <f>IF('Step 7 - Dept Head'!B19="","",IF('Step 7 - Dept Head'!C19="","",'Step 7 - Dept Head'!C19))</f>
        <v/>
      </c>
      <c r="I322" s="18" t="str">
        <f>IF('Step 7 - Dept Head'!B19="","","Organization Code")</f>
        <v/>
      </c>
      <c r="J322" s="17" t="str">
        <f>IF('Step 7 - Dept Head'!B19="","","Equals")</f>
        <v/>
      </c>
      <c r="K322" s="18" t="str">
        <f>IF('Step 7 - Dept Head'!B19="","",'Step 7 - Dept Head'!D19)</f>
        <v/>
      </c>
      <c r="L322" s="18" t="str">
        <f>IF('Step 7 - Dept Head'!B19="","","Other Criteria")</f>
        <v/>
      </c>
      <c r="M322" s="17" t="str">
        <f>IF('Step 7 - Dept Head'!B19="","","Equals")</f>
        <v/>
      </c>
      <c r="N322" s="18" t="str">
        <f>IF('Step 7 - Dept Head'!B19="","",'Step 7 - Dept Head'!E19)</f>
        <v/>
      </c>
      <c r="O322" s="18" t="str">
        <f>IF('Step 7 - Dept Head'!B19="","",IF('Step 7 - Dept Head'!F19="","","Total"))</f>
        <v/>
      </c>
      <c r="P322" s="17" t="str">
        <f>IF('Step 7 - Dept Head'!B19="","",IF('Step 7 - Dept Head'!F19="","","&gt;="))</f>
        <v/>
      </c>
      <c r="Q322" s="18" t="str">
        <f>IF('Step 7 - Dept Head'!B19="","",IF('Step 7 - Dept Head'!F19="","",'Step 7 - Dept Head'!F19))</f>
        <v/>
      </c>
      <c r="R322" s="18" t="str">
        <f>""</f>
        <v/>
      </c>
      <c r="S322" s="18" t="str">
        <f>""</f>
        <v/>
      </c>
      <c r="T322" s="18" t="str">
        <f>""</f>
        <v/>
      </c>
      <c r="U322" s="18" t="str">
        <f>IF('Step 7 - Dept Head'!B19="","",'Step 7 - Dept Head'!I19)</f>
        <v/>
      </c>
      <c r="V322" s="17" t="str">
        <f>IF('Step 7 - Dept Head'!B19="","",'Step 7 - Dept Head'!K19)</f>
        <v/>
      </c>
      <c r="W322" s="18" t="str">
        <f>IF('Step 7 - Dept Head'!B19="","",'Step 7 - Dept Head'!L19)</f>
        <v/>
      </c>
      <c r="X322" s="17" t="str">
        <f>IF('Step 7 - Dept Head'!B19="","",'Step 7 - Dept Head'!N19)</f>
        <v/>
      </c>
      <c r="Y322" s="18" t="str">
        <f>""</f>
        <v/>
      </c>
      <c r="Z322" s="18" t="str">
        <f>""</f>
        <v/>
      </c>
      <c r="AA322" s="18" t="str">
        <f>""</f>
        <v/>
      </c>
      <c r="AB322" s="18" t="str">
        <f>""</f>
        <v/>
      </c>
      <c r="AC322" s="18" t="str">
        <f>""</f>
        <v/>
      </c>
      <c r="AD322" s="18" t="str">
        <f>""</f>
        <v/>
      </c>
      <c r="AE322" s="18" t="str">
        <f>""</f>
        <v/>
      </c>
      <c r="AF322" s="18" t="str">
        <f>""</f>
        <v/>
      </c>
      <c r="AG322" s="18" t="str">
        <f>""</f>
        <v/>
      </c>
      <c r="AH322" s="18" t="str">
        <f>""</f>
        <v/>
      </c>
      <c r="AI322" s="18" t="str">
        <f>""</f>
        <v/>
      </c>
      <c r="AJ322" s="18" t="str">
        <f>""</f>
        <v/>
      </c>
      <c r="AK322" s="18" t="str">
        <f>""</f>
        <v/>
      </c>
      <c r="AL322" s="18" t="str">
        <f>""</f>
        <v/>
      </c>
      <c r="AM322" s="18" t="str">
        <f>""</f>
        <v/>
      </c>
    </row>
    <row r="323" spans="1:39" ht="15.75" customHeight="1" x14ac:dyDescent="0.25">
      <c r="A323" s="19" t="str">
        <f>IF('Step 7 - Dept Head'!B20="","","Active")</f>
        <v/>
      </c>
      <c r="B323" s="20" t="str">
        <f>IF('Step 7 - Dept Head'!B20="","",'Step 7 - Dept Head'!B20)</f>
        <v/>
      </c>
      <c r="C323" s="20" t="str">
        <f>IF('Step 7 - Dept Head'!B20="","",'Step 7 - Dept Head'!B20)</f>
        <v/>
      </c>
      <c r="D323" s="19" t="str">
        <f>IF('Step 7 - Dept Head'!B20="","",'Step 7 - Dept Head'!G20)</f>
        <v/>
      </c>
      <c r="E323" s="19" t="str">
        <f>IF('Step 7 - Dept Head'!B20="","",'Step 7 - Dept Head'!H20)</f>
        <v/>
      </c>
      <c r="F323" s="20" t="str">
        <f>IF('Step 7 - Dept Head'!B20="","",IF('Step 7 - Dept Head'!C20="","","Fund Code"))</f>
        <v/>
      </c>
      <c r="G323" s="19" t="str">
        <f>IF('Step 7 - Dept Head'!B20="","",IF('Step 7 - Dept Head'!C20="","","Equals"))</f>
        <v/>
      </c>
      <c r="H323" s="20" t="str">
        <f>IF('Step 7 - Dept Head'!B20="","",IF('Step 7 - Dept Head'!C20="","",'Step 7 - Dept Head'!C20))</f>
        <v/>
      </c>
      <c r="I323" s="20" t="str">
        <f>IF('Step 7 - Dept Head'!B20="","","Organization Code")</f>
        <v/>
      </c>
      <c r="J323" s="19" t="str">
        <f>IF('Step 7 - Dept Head'!B20="","","Equals")</f>
        <v/>
      </c>
      <c r="K323" s="20" t="str">
        <f>IF('Step 7 - Dept Head'!B20="","",'Step 7 - Dept Head'!D20)</f>
        <v/>
      </c>
      <c r="L323" s="20" t="str">
        <f>IF('Step 7 - Dept Head'!B20="","","Other Criteria")</f>
        <v/>
      </c>
      <c r="M323" s="19" t="str">
        <f>IF('Step 7 - Dept Head'!B20="","","Equals")</f>
        <v/>
      </c>
      <c r="N323" s="20" t="str">
        <f>IF('Step 7 - Dept Head'!B20="","",'Step 7 - Dept Head'!E20)</f>
        <v/>
      </c>
      <c r="O323" s="20" t="str">
        <f>IF('Step 7 - Dept Head'!B20="","",IF('Step 7 - Dept Head'!F20="","","Total"))</f>
        <v/>
      </c>
      <c r="P323" s="19" t="str">
        <f>IF('Step 7 - Dept Head'!B20="","",IF('Step 7 - Dept Head'!F20="","","&gt;="))</f>
        <v/>
      </c>
      <c r="Q323" s="20" t="str">
        <f>IF('Step 7 - Dept Head'!B20="","",IF('Step 7 - Dept Head'!F20="","",'Step 7 - Dept Head'!F20))</f>
        <v/>
      </c>
      <c r="R323" s="20" t="str">
        <f>""</f>
        <v/>
      </c>
      <c r="S323" s="20" t="str">
        <f>""</f>
        <v/>
      </c>
      <c r="T323" s="20" t="str">
        <f>""</f>
        <v/>
      </c>
      <c r="U323" s="20" t="str">
        <f>IF('Step 7 - Dept Head'!B20="","",'Step 7 - Dept Head'!I20)</f>
        <v/>
      </c>
      <c r="V323" s="19" t="str">
        <f>IF('Step 7 - Dept Head'!B20="","",'Step 7 - Dept Head'!K20)</f>
        <v/>
      </c>
      <c r="W323" s="20" t="str">
        <f>IF('Step 7 - Dept Head'!B20="","",'Step 7 - Dept Head'!L20)</f>
        <v/>
      </c>
      <c r="X323" s="19" t="str">
        <f>IF('Step 7 - Dept Head'!B20="","",'Step 7 - Dept Head'!N20)</f>
        <v/>
      </c>
      <c r="Y323" s="20" t="str">
        <f>""</f>
        <v/>
      </c>
      <c r="Z323" s="20" t="str">
        <f>""</f>
        <v/>
      </c>
      <c r="AA323" s="20" t="str">
        <f>""</f>
        <v/>
      </c>
      <c r="AB323" s="20" t="str">
        <f>""</f>
        <v/>
      </c>
      <c r="AC323" s="20" t="str">
        <f>""</f>
        <v/>
      </c>
      <c r="AD323" s="20" t="str">
        <f>""</f>
        <v/>
      </c>
      <c r="AE323" s="20" t="str">
        <f>""</f>
        <v/>
      </c>
      <c r="AF323" s="20" t="str">
        <f>""</f>
        <v/>
      </c>
      <c r="AG323" s="20" t="str">
        <f>""</f>
        <v/>
      </c>
      <c r="AH323" s="20" t="str">
        <f>""</f>
        <v/>
      </c>
      <c r="AI323" s="20" t="str">
        <f>""</f>
        <v/>
      </c>
      <c r="AJ323" s="20" t="str">
        <f>""</f>
        <v/>
      </c>
      <c r="AK323" s="20" t="str">
        <f>""</f>
        <v/>
      </c>
      <c r="AL323" s="20" t="str">
        <f>""</f>
        <v/>
      </c>
      <c r="AM323" s="20" t="str">
        <f>""</f>
        <v/>
      </c>
    </row>
    <row r="324" spans="1:39" ht="15.75" customHeight="1" x14ac:dyDescent="0.25">
      <c r="A324" s="17" t="str">
        <f>IF('Step 7 - Dept Head'!B21="","","Active")</f>
        <v/>
      </c>
      <c r="B324" s="18" t="str">
        <f>IF('Step 7 - Dept Head'!B21="","",'Step 7 - Dept Head'!B21)</f>
        <v/>
      </c>
      <c r="C324" s="18" t="str">
        <f>IF('Step 7 - Dept Head'!B21="","",'Step 7 - Dept Head'!B21)</f>
        <v/>
      </c>
      <c r="D324" s="17" t="str">
        <f>IF('Step 7 - Dept Head'!B21="","",'Step 7 - Dept Head'!G21)</f>
        <v/>
      </c>
      <c r="E324" s="17" t="str">
        <f>IF('Step 7 - Dept Head'!B21="","",'Step 7 - Dept Head'!H21)</f>
        <v/>
      </c>
      <c r="F324" s="18" t="str">
        <f>IF('Step 7 - Dept Head'!B21="","",IF('Step 7 - Dept Head'!C21="","","Fund Code"))</f>
        <v/>
      </c>
      <c r="G324" s="17" t="str">
        <f>IF('Step 7 - Dept Head'!B21="","",IF('Step 7 - Dept Head'!C21="","","Equals"))</f>
        <v/>
      </c>
      <c r="H324" s="18" t="str">
        <f>IF('Step 7 - Dept Head'!B21="","",IF('Step 7 - Dept Head'!C21="","",'Step 7 - Dept Head'!C21))</f>
        <v/>
      </c>
      <c r="I324" s="18" t="str">
        <f>IF('Step 7 - Dept Head'!B21="","","Organization Code")</f>
        <v/>
      </c>
      <c r="J324" s="17" t="str">
        <f>IF('Step 7 - Dept Head'!B21="","","Equals")</f>
        <v/>
      </c>
      <c r="K324" s="18" t="str">
        <f>IF('Step 7 - Dept Head'!B21="","",'Step 7 - Dept Head'!D21)</f>
        <v/>
      </c>
      <c r="L324" s="18" t="str">
        <f>IF('Step 7 - Dept Head'!B21="","","Other Criteria")</f>
        <v/>
      </c>
      <c r="M324" s="17" t="str">
        <f>IF('Step 7 - Dept Head'!B21="","","Equals")</f>
        <v/>
      </c>
      <c r="N324" s="18" t="str">
        <f>IF('Step 7 - Dept Head'!B21="","",'Step 7 - Dept Head'!E21)</f>
        <v/>
      </c>
      <c r="O324" s="18" t="str">
        <f>IF('Step 7 - Dept Head'!B21="","",IF('Step 7 - Dept Head'!F21="","","Total"))</f>
        <v/>
      </c>
      <c r="P324" s="17" t="str">
        <f>IF('Step 7 - Dept Head'!B21="","",IF('Step 7 - Dept Head'!F21="","","&gt;="))</f>
        <v/>
      </c>
      <c r="Q324" s="18" t="str">
        <f>IF('Step 7 - Dept Head'!B21="","",IF('Step 7 - Dept Head'!F21="","",'Step 7 - Dept Head'!F21))</f>
        <v/>
      </c>
      <c r="R324" s="18" t="str">
        <f>""</f>
        <v/>
      </c>
      <c r="S324" s="18" t="str">
        <f>""</f>
        <v/>
      </c>
      <c r="T324" s="18" t="str">
        <f>""</f>
        <v/>
      </c>
      <c r="U324" s="18" t="str">
        <f>IF('Step 7 - Dept Head'!B21="","",'Step 7 - Dept Head'!I21)</f>
        <v/>
      </c>
      <c r="V324" s="17" t="str">
        <f>IF('Step 7 - Dept Head'!B21="","",'Step 7 - Dept Head'!K21)</f>
        <v/>
      </c>
      <c r="W324" s="18" t="str">
        <f>IF('Step 7 - Dept Head'!B21="","",'Step 7 - Dept Head'!L21)</f>
        <v/>
      </c>
      <c r="X324" s="17" t="str">
        <f>IF('Step 7 - Dept Head'!B21="","",'Step 7 - Dept Head'!N21)</f>
        <v/>
      </c>
      <c r="Y324" s="18" t="str">
        <f>""</f>
        <v/>
      </c>
      <c r="Z324" s="18" t="str">
        <f>""</f>
        <v/>
      </c>
      <c r="AA324" s="18" t="str">
        <f>""</f>
        <v/>
      </c>
      <c r="AB324" s="18" t="str">
        <f>""</f>
        <v/>
      </c>
      <c r="AC324" s="18" t="str">
        <f>""</f>
        <v/>
      </c>
      <c r="AD324" s="18" t="str">
        <f>""</f>
        <v/>
      </c>
      <c r="AE324" s="18" t="str">
        <f>""</f>
        <v/>
      </c>
      <c r="AF324" s="18" t="str">
        <f>""</f>
        <v/>
      </c>
      <c r="AG324" s="18" t="str">
        <f>""</f>
        <v/>
      </c>
      <c r="AH324" s="18" t="str">
        <f>""</f>
        <v/>
      </c>
      <c r="AI324" s="18" t="str">
        <f>""</f>
        <v/>
      </c>
      <c r="AJ324" s="18" t="str">
        <f>""</f>
        <v/>
      </c>
      <c r="AK324" s="18" t="str">
        <f>""</f>
        <v/>
      </c>
      <c r="AL324" s="18" t="str">
        <f>""</f>
        <v/>
      </c>
      <c r="AM324" s="18" t="str">
        <f>""</f>
        <v/>
      </c>
    </row>
    <row r="325" spans="1:39" ht="15.75" customHeight="1" x14ac:dyDescent="0.25">
      <c r="A325" s="19" t="str">
        <f>IF('Step 7 - Dept Head'!B22="","","Active")</f>
        <v/>
      </c>
      <c r="B325" s="20" t="str">
        <f>IF('Step 7 - Dept Head'!B22="","",'Step 7 - Dept Head'!B22)</f>
        <v/>
      </c>
      <c r="C325" s="20" t="str">
        <f>IF('Step 7 - Dept Head'!B22="","",'Step 7 - Dept Head'!B22)</f>
        <v/>
      </c>
      <c r="D325" s="19" t="str">
        <f>IF('Step 7 - Dept Head'!B22="","",'Step 7 - Dept Head'!G22)</f>
        <v/>
      </c>
      <c r="E325" s="19" t="str">
        <f>IF('Step 7 - Dept Head'!B22="","",'Step 7 - Dept Head'!H22)</f>
        <v/>
      </c>
      <c r="F325" s="20" t="str">
        <f>IF('Step 7 - Dept Head'!B22="","",IF('Step 7 - Dept Head'!C22="","","Fund Code"))</f>
        <v/>
      </c>
      <c r="G325" s="19" t="str">
        <f>IF('Step 7 - Dept Head'!B22="","",IF('Step 7 - Dept Head'!C22="","","Equals"))</f>
        <v/>
      </c>
      <c r="H325" s="20" t="str">
        <f>IF('Step 7 - Dept Head'!B22="","",IF('Step 7 - Dept Head'!C22="","",'Step 7 - Dept Head'!C22))</f>
        <v/>
      </c>
      <c r="I325" s="20" t="str">
        <f>IF('Step 7 - Dept Head'!B22="","","Organization Code")</f>
        <v/>
      </c>
      <c r="J325" s="19" t="str">
        <f>IF('Step 7 - Dept Head'!B22="","","Equals")</f>
        <v/>
      </c>
      <c r="K325" s="20" t="str">
        <f>IF('Step 7 - Dept Head'!B22="","",'Step 7 - Dept Head'!D22)</f>
        <v/>
      </c>
      <c r="L325" s="20" t="str">
        <f>IF('Step 7 - Dept Head'!B22="","","Other Criteria")</f>
        <v/>
      </c>
      <c r="M325" s="19" t="str">
        <f>IF('Step 7 - Dept Head'!B22="","","Equals")</f>
        <v/>
      </c>
      <c r="N325" s="20" t="str">
        <f>IF('Step 7 - Dept Head'!B22="","",'Step 7 - Dept Head'!E22)</f>
        <v/>
      </c>
      <c r="O325" s="20" t="str">
        <f>IF('Step 7 - Dept Head'!B22="","",IF('Step 7 - Dept Head'!F22="","","Total"))</f>
        <v/>
      </c>
      <c r="P325" s="19" t="str">
        <f>IF('Step 7 - Dept Head'!B22="","",IF('Step 7 - Dept Head'!F22="","","&gt;="))</f>
        <v/>
      </c>
      <c r="Q325" s="20" t="str">
        <f>IF('Step 7 - Dept Head'!B22="","",IF('Step 7 - Dept Head'!F22="","",'Step 7 - Dept Head'!F22))</f>
        <v/>
      </c>
      <c r="R325" s="20" t="str">
        <f>""</f>
        <v/>
      </c>
      <c r="S325" s="20" t="str">
        <f>""</f>
        <v/>
      </c>
      <c r="T325" s="20" t="str">
        <f>""</f>
        <v/>
      </c>
      <c r="U325" s="20" t="str">
        <f>IF('Step 7 - Dept Head'!B22="","",'Step 7 - Dept Head'!I22)</f>
        <v/>
      </c>
      <c r="V325" s="19" t="str">
        <f>IF('Step 7 - Dept Head'!B22="","",'Step 7 - Dept Head'!K22)</f>
        <v/>
      </c>
      <c r="W325" s="20" t="str">
        <f>IF('Step 7 - Dept Head'!B22="","",'Step 7 - Dept Head'!L22)</f>
        <v/>
      </c>
      <c r="X325" s="19" t="str">
        <f>IF('Step 7 - Dept Head'!B22="","",'Step 7 - Dept Head'!N22)</f>
        <v/>
      </c>
      <c r="Y325" s="20" t="str">
        <f>""</f>
        <v/>
      </c>
      <c r="Z325" s="20" t="str">
        <f>""</f>
        <v/>
      </c>
      <c r="AA325" s="20" t="str">
        <f>""</f>
        <v/>
      </c>
      <c r="AB325" s="20" t="str">
        <f>""</f>
        <v/>
      </c>
      <c r="AC325" s="20" t="str">
        <f>""</f>
        <v/>
      </c>
      <c r="AD325" s="20" t="str">
        <f>""</f>
        <v/>
      </c>
      <c r="AE325" s="20" t="str">
        <f>""</f>
        <v/>
      </c>
      <c r="AF325" s="20" t="str">
        <f>""</f>
        <v/>
      </c>
      <c r="AG325" s="20" t="str">
        <f>""</f>
        <v/>
      </c>
      <c r="AH325" s="20" t="str">
        <f>""</f>
        <v/>
      </c>
      <c r="AI325" s="20" t="str">
        <f>""</f>
        <v/>
      </c>
      <c r="AJ325" s="20" t="str">
        <f>""</f>
        <v/>
      </c>
      <c r="AK325" s="20" t="str">
        <f>""</f>
        <v/>
      </c>
      <c r="AL325" s="20" t="str">
        <f>""</f>
        <v/>
      </c>
      <c r="AM325" s="20" t="str">
        <f>""</f>
        <v/>
      </c>
    </row>
    <row r="326" spans="1:39" ht="15.75" customHeight="1" x14ac:dyDescent="0.25">
      <c r="A326" s="17" t="str">
        <f>IF('Step 7 - Dept Head'!B23="","","Active")</f>
        <v/>
      </c>
      <c r="B326" s="18" t="str">
        <f>IF('Step 7 - Dept Head'!B23="","",'Step 7 - Dept Head'!B23)</f>
        <v/>
      </c>
      <c r="C326" s="18" t="str">
        <f>IF('Step 7 - Dept Head'!B23="","",'Step 7 - Dept Head'!B23)</f>
        <v/>
      </c>
      <c r="D326" s="17" t="str">
        <f>IF('Step 7 - Dept Head'!B23="","",'Step 7 - Dept Head'!G23)</f>
        <v/>
      </c>
      <c r="E326" s="17" t="str">
        <f>IF('Step 7 - Dept Head'!B23="","",'Step 7 - Dept Head'!H23)</f>
        <v/>
      </c>
      <c r="F326" s="18" t="str">
        <f>IF('Step 7 - Dept Head'!B23="","",IF('Step 7 - Dept Head'!C23="","","Fund Code"))</f>
        <v/>
      </c>
      <c r="G326" s="17" t="str">
        <f>IF('Step 7 - Dept Head'!B23="","",IF('Step 7 - Dept Head'!C23="","","Equals"))</f>
        <v/>
      </c>
      <c r="H326" s="18" t="str">
        <f>IF('Step 7 - Dept Head'!B23="","",IF('Step 7 - Dept Head'!C23="","",'Step 7 - Dept Head'!C23))</f>
        <v/>
      </c>
      <c r="I326" s="18" t="str">
        <f>IF('Step 7 - Dept Head'!B23="","","Organization Code")</f>
        <v/>
      </c>
      <c r="J326" s="17" t="str">
        <f>IF('Step 7 - Dept Head'!B23="","","Equals")</f>
        <v/>
      </c>
      <c r="K326" s="18" t="str">
        <f>IF('Step 7 - Dept Head'!B23="","",'Step 7 - Dept Head'!D23)</f>
        <v/>
      </c>
      <c r="L326" s="18" t="str">
        <f>IF('Step 7 - Dept Head'!B23="","","Other Criteria")</f>
        <v/>
      </c>
      <c r="M326" s="17" t="str">
        <f>IF('Step 7 - Dept Head'!B23="","","Equals")</f>
        <v/>
      </c>
      <c r="N326" s="18" t="str">
        <f>IF('Step 7 - Dept Head'!B23="","",'Step 7 - Dept Head'!E23)</f>
        <v/>
      </c>
      <c r="O326" s="18" t="str">
        <f>IF('Step 7 - Dept Head'!B23="","",IF('Step 7 - Dept Head'!F23="","","Total"))</f>
        <v/>
      </c>
      <c r="P326" s="17" t="str">
        <f>IF('Step 7 - Dept Head'!B23="","",IF('Step 7 - Dept Head'!F23="","","&gt;="))</f>
        <v/>
      </c>
      <c r="Q326" s="18" t="str">
        <f>IF('Step 7 - Dept Head'!B23="","",IF('Step 7 - Dept Head'!F23="","",'Step 7 - Dept Head'!F23))</f>
        <v/>
      </c>
      <c r="R326" s="18" t="str">
        <f>""</f>
        <v/>
      </c>
      <c r="S326" s="18" t="str">
        <f>""</f>
        <v/>
      </c>
      <c r="T326" s="18" t="str">
        <f>""</f>
        <v/>
      </c>
      <c r="U326" s="18" t="str">
        <f>IF('Step 7 - Dept Head'!B23="","",'Step 7 - Dept Head'!I23)</f>
        <v/>
      </c>
      <c r="V326" s="17" t="str">
        <f>IF('Step 7 - Dept Head'!B23="","",'Step 7 - Dept Head'!K23)</f>
        <v/>
      </c>
      <c r="W326" s="18" t="str">
        <f>IF('Step 7 - Dept Head'!B23="","",'Step 7 - Dept Head'!L23)</f>
        <v/>
      </c>
      <c r="X326" s="17" t="str">
        <f>IF('Step 7 - Dept Head'!B23="","",'Step 7 - Dept Head'!N23)</f>
        <v/>
      </c>
      <c r="Y326" s="18" t="str">
        <f>""</f>
        <v/>
      </c>
      <c r="Z326" s="18" t="str">
        <f>""</f>
        <v/>
      </c>
      <c r="AA326" s="18" t="str">
        <f>""</f>
        <v/>
      </c>
      <c r="AB326" s="18" t="str">
        <f>""</f>
        <v/>
      </c>
      <c r="AC326" s="18" t="str">
        <f>""</f>
        <v/>
      </c>
      <c r="AD326" s="18" t="str">
        <f>""</f>
        <v/>
      </c>
      <c r="AE326" s="18" t="str">
        <f>""</f>
        <v/>
      </c>
      <c r="AF326" s="18" t="str">
        <f>""</f>
        <v/>
      </c>
      <c r="AG326" s="18" t="str">
        <f>""</f>
        <v/>
      </c>
      <c r="AH326" s="18" t="str">
        <f>""</f>
        <v/>
      </c>
      <c r="AI326" s="18" t="str">
        <f>""</f>
        <v/>
      </c>
      <c r="AJ326" s="18" t="str">
        <f>""</f>
        <v/>
      </c>
      <c r="AK326" s="18" t="str">
        <f>""</f>
        <v/>
      </c>
      <c r="AL326" s="18" t="str">
        <f>""</f>
        <v/>
      </c>
      <c r="AM326" s="18" t="str">
        <f>""</f>
        <v/>
      </c>
    </row>
    <row r="327" spans="1:39" ht="15.75" customHeight="1" x14ac:dyDescent="0.25">
      <c r="A327" s="19" t="str">
        <f>IF('Step 7 - Dept Head'!B24="","","Active")</f>
        <v/>
      </c>
      <c r="B327" s="20" t="str">
        <f>IF('Step 7 - Dept Head'!B24="","",'Step 7 - Dept Head'!B24)</f>
        <v/>
      </c>
      <c r="C327" s="20" t="str">
        <f>IF('Step 7 - Dept Head'!B24="","",'Step 7 - Dept Head'!B24)</f>
        <v/>
      </c>
      <c r="D327" s="19" t="str">
        <f>IF('Step 7 - Dept Head'!B24="","",'Step 7 - Dept Head'!G24)</f>
        <v/>
      </c>
      <c r="E327" s="19" t="str">
        <f>IF('Step 7 - Dept Head'!B24="","",'Step 7 - Dept Head'!H24)</f>
        <v/>
      </c>
      <c r="F327" s="20" t="str">
        <f>IF('Step 7 - Dept Head'!B24="","",IF('Step 7 - Dept Head'!C24="","","Fund Code"))</f>
        <v/>
      </c>
      <c r="G327" s="19" t="str">
        <f>IF('Step 7 - Dept Head'!B24="","",IF('Step 7 - Dept Head'!C24="","","Equals"))</f>
        <v/>
      </c>
      <c r="H327" s="20" t="str">
        <f>IF('Step 7 - Dept Head'!B24="","",IF('Step 7 - Dept Head'!C24="","",'Step 7 - Dept Head'!C24))</f>
        <v/>
      </c>
      <c r="I327" s="20" t="str">
        <f>IF('Step 7 - Dept Head'!B24="","","Organization Code")</f>
        <v/>
      </c>
      <c r="J327" s="19" t="str">
        <f>IF('Step 7 - Dept Head'!B24="","","Equals")</f>
        <v/>
      </c>
      <c r="K327" s="20" t="str">
        <f>IF('Step 7 - Dept Head'!B24="","",'Step 7 - Dept Head'!D24)</f>
        <v/>
      </c>
      <c r="L327" s="20" t="str">
        <f>IF('Step 7 - Dept Head'!B24="","","Other Criteria")</f>
        <v/>
      </c>
      <c r="M327" s="19" t="str">
        <f>IF('Step 7 - Dept Head'!B24="","","Equals")</f>
        <v/>
      </c>
      <c r="N327" s="20" t="str">
        <f>IF('Step 7 - Dept Head'!B24="","",'Step 7 - Dept Head'!E24)</f>
        <v/>
      </c>
      <c r="O327" s="20" t="str">
        <f>IF('Step 7 - Dept Head'!B24="","",IF('Step 7 - Dept Head'!F24="","","Total"))</f>
        <v/>
      </c>
      <c r="P327" s="19" t="str">
        <f>IF('Step 7 - Dept Head'!B24="","",IF('Step 7 - Dept Head'!F24="","","&gt;="))</f>
        <v/>
      </c>
      <c r="Q327" s="20" t="str">
        <f>IF('Step 7 - Dept Head'!B24="","",IF('Step 7 - Dept Head'!F24="","",'Step 7 - Dept Head'!F24))</f>
        <v/>
      </c>
      <c r="R327" s="20" t="str">
        <f>""</f>
        <v/>
      </c>
      <c r="S327" s="20" t="str">
        <f>""</f>
        <v/>
      </c>
      <c r="T327" s="20" t="str">
        <f>""</f>
        <v/>
      </c>
      <c r="U327" s="20" t="str">
        <f>IF('Step 7 - Dept Head'!B24="","",'Step 7 - Dept Head'!I24)</f>
        <v/>
      </c>
      <c r="V327" s="19" t="str">
        <f>IF('Step 7 - Dept Head'!B24="","",'Step 7 - Dept Head'!K24)</f>
        <v/>
      </c>
      <c r="W327" s="20" t="str">
        <f>IF('Step 7 - Dept Head'!B24="","",'Step 7 - Dept Head'!L24)</f>
        <v/>
      </c>
      <c r="X327" s="19" t="str">
        <f>IF('Step 7 - Dept Head'!B24="","",'Step 7 - Dept Head'!N24)</f>
        <v/>
      </c>
      <c r="Y327" s="20" t="str">
        <f>""</f>
        <v/>
      </c>
      <c r="Z327" s="20" t="str">
        <f>""</f>
        <v/>
      </c>
      <c r="AA327" s="20" t="str">
        <f>""</f>
        <v/>
      </c>
      <c r="AB327" s="20" t="str">
        <f>""</f>
        <v/>
      </c>
      <c r="AC327" s="20" t="str">
        <f>""</f>
        <v/>
      </c>
      <c r="AD327" s="20" t="str">
        <f>""</f>
        <v/>
      </c>
      <c r="AE327" s="20" t="str">
        <f>""</f>
        <v/>
      </c>
      <c r="AF327" s="20" t="str">
        <f>""</f>
        <v/>
      </c>
      <c r="AG327" s="20" t="str">
        <f>""</f>
        <v/>
      </c>
      <c r="AH327" s="20" t="str">
        <f>""</f>
        <v/>
      </c>
      <c r="AI327" s="20" t="str">
        <f>""</f>
        <v/>
      </c>
      <c r="AJ327" s="20" t="str">
        <f>""</f>
        <v/>
      </c>
      <c r="AK327" s="20" t="str">
        <f>""</f>
        <v/>
      </c>
      <c r="AL327" s="20" t="str">
        <f>""</f>
        <v/>
      </c>
      <c r="AM327" s="20" t="str">
        <f>""</f>
        <v/>
      </c>
    </row>
    <row r="328" spans="1:39" ht="15.75" customHeight="1" x14ac:dyDescent="0.25">
      <c r="A328" s="17" t="str">
        <f>IF('Step 7 - Dept Head'!B25="","","Active")</f>
        <v/>
      </c>
      <c r="B328" s="18" t="str">
        <f>IF('Step 7 - Dept Head'!B25="","",'Step 7 - Dept Head'!B25)</f>
        <v/>
      </c>
      <c r="C328" s="18" t="str">
        <f>IF('Step 7 - Dept Head'!B25="","",'Step 7 - Dept Head'!B25)</f>
        <v/>
      </c>
      <c r="D328" s="17" t="str">
        <f>IF('Step 7 - Dept Head'!B25="","",'Step 7 - Dept Head'!G25)</f>
        <v/>
      </c>
      <c r="E328" s="17" t="str">
        <f>IF('Step 7 - Dept Head'!B25="","",'Step 7 - Dept Head'!H25)</f>
        <v/>
      </c>
      <c r="F328" s="18" t="str">
        <f>IF('Step 7 - Dept Head'!B25="","",IF('Step 7 - Dept Head'!C25="","","Fund Code"))</f>
        <v/>
      </c>
      <c r="G328" s="17" t="str">
        <f>IF('Step 7 - Dept Head'!B25="","",IF('Step 7 - Dept Head'!C25="","","Equals"))</f>
        <v/>
      </c>
      <c r="H328" s="18" t="str">
        <f>IF('Step 7 - Dept Head'!B25="","",IF('Step 7 - Dept Head'!C25="","",'Step 7 - Dept Head'!C25))</f>
        <v/>
      </c>
      <c r="I328" s="18" t="str">
        <f>IF('Step 7 - Dept Head'!B25="","","Organization Code")</f>
        <v/>
      </c>
      <c r="J328" s="17" t="str">
        <f>IF('Step 7 - Dept Head'!B25="","","Equals")</f>
        <v/>
      </c>
      <c r="K328" s="18" t="str">
        <f>IF('Step 7 - Dept Head'!B25="","",'Step 7 - Dept Head'!D25)</f>
        <v/>
      </c>
      <c r="L328" s="18" t="str">
        <f>IF('Step 7 - Dept Head'!B25="","","Other Criteria")</f>
        <v/>
      </c>
      <c r="M328" s="17" t="str">
        <f>IF('Step 7 - Dept Head'!B25="","","Equals")</f>
        <v/>
      </c>
      <c r="N328" s="18" t="str">
        <f>IF('Step 7 - Dept Head'!B25="","",'Step 7 - Dept Head'!E25)</f>
        <v/>
      </c>
      <c r="O328" s="18" t="str">
        <f>IF('Step 7 - Dept Head'!B25="","",IF('Step 7 - Dept Head'!F25="","","Total"))</f>
        <v/>
      </c>
      <c r="P328" s="17" t="str">
        <f>IF('Step 7 - Dept Head'!B25="","",IF('Step 7 - Dept Head'!F25="","","&gt;="))</f>
        <v/>
      </c>
      <c r="Q328" s="18" t="str">
        <f>IF('Step 7 - Dept Head'!B25="","",IF('Step 7 - Dept Head'!F25="","",'Step 7 - Dept Head'!F25))</f>
        <v/>
      </c>
      <c r="R328" s="18" t="str">
        <f>""</f>
        <v/>
      </c>
      <c r="S328" s="18" t="str">
        <f>""</f>
        <v/>
      </c>
      <c r="T328" s="18" t="str">
        <f>""</f>
        <v/>
      </c>
      <c r="U328" s="18" t="str">
        <f>IF('Step 7 - Dept Head'!B25="","",'Step 7 - Dept Head'!I25)</f>
        <v/>
      </c>
      <c r="V328" s="17" t="str">
        <f>IF('Step 7 - Dept Head'!B25="","",'Step 7 - Dept Head'!K25)</f>
        <v/>
      </c>
      <c r="W328" s="18" t="str">
        <f>IF('Step 7 - Dept Head'!B25="","",'Step 7 - Dept Head'!L25)</f>
        <v/>
      </c>
      <c r="X328" s="17" t="str">
        <f>IF('Step 7 - Dept Head'!B25="","",'Step 7 - Dept Head'!N25)</f>
        <v/>
      </c>
      <c r="Y328" s="18" t="str">
        <f>""</f>
        <v/>
      </c>
      <c r="Z328" s="18" t="str">
        <f>""</f>
        <v/>
      </c>
      <c r="AA328" s="18" t="str">
        <f>""</f>
        <v/>
      </c>
      <c r="AB328" s="18" t="str">
        <f>""</f>
        <v/>
      </c>
      <c r="AC328" s="18" t="str">
        <f>""</f>
        <v/>
      </c>
      <c r="AD328" s="18" t="str">
        <f>""</f>
        <v/>
      </c>
      <c r="AE328" s="18" t="str">
        <f>""</f>
        <v/>
      </c>
      <c r="AF328" s="18" t="str">
        <f>""</f>
        <v/>
      </c>
      <c r="AG328" s="18" t="str">
        <f>""</f>
        <v/>
      </c>
      <c r="AH328" s="18" t="str">
        <f>""</f>
        <v/>
      </c>
      <c r="AI328" s="18" t="str">
        <f>""</f>
        <v/>
      </c>
      <c r="AJ328" s="18" t="str">
        <f>""</f>
        <v/>
      </c>
      <c r="AK328" s="18" t="str">
        <f>""</f>
        <v/>
      </c>
      <c r="AL328" s="18" t="str">
        <f>""</f>
        <v/>
      </c>
      <c r="AM328" s="18" t="str">
        <f>""</f>
        <v/>
      </c>
    </row>
    <row r="329" spans="1:39" ht="15.75" customHeight="1" x14ac:dyDescent="0.25">
      <c r="A329" s="19" t="str">
        <f>IF('Step 7 - Dept Head'!B26="","","Active")</f>
        <v/>
      </c>
      <c r="B329" s="20" t="str">
        <f>IF('Step 7 - Dept Head'!B26="","",'Step 7 - Dept Head'!B26)</f>
        <v/>
      </c>
      <c r="C329" s="20" t="str">
        <f>IF('Step 7 - Dept Head'!B26="","",'Step 7 - Dept Head'!B26)</f>
        <v/>
      </c>
      <c r="D329" s="19" t="str">
        <f>IF('Step 7 - Dept Head'!B26="","",'Step 7 - Dept Head'!G26)</f>
        <v/>
      </c>
      <c r="E329" s="19" t="str">
        <f>IF('Step 7 - Dept Head'!B26="","",'Step 7 - Dept Head'!H26)</f>
        <v/>
      </c>
      <c r="F329" s="20" t="str">
        <f>IF('Step 7 - Dept Head'!B26="","",IF('Step 7 - Dept Head'!C26="","","Fund Code"))</f>
        <v/>
      </c>
      <c r="G329" s="19" t="str">
        <f>IF('Step 7 - Dept Head'!B26="","",IF('Step 7 - Dept Head'!C26="","","Equals"))</f>
        <v/>
      </c>
      <c r="H329" s="20" t="str">
        <f>IF('Step 7 - Dept Head'!B26="","",IF('Step 7 - Dept Head'!C26="","",'Step 7 - Dept Head'!C26))</f>
        <v/>
      </c>
      <c r="I329" s="20" t="str">
        <f>IF('Step 7 - Dept Head'!B26="","","Organization Code")</f>
        <v/>
      </c>
      <c r="J329" s="19" t="str">
        <f>IF('Step 7 - Dept Head'!B26="","","Equals")</f>
        <v/>
      </c>
      <c r="K329" s="20" t="str">
        <f>IF('Step 7 - Dept Head'!B26="","",'Step 7 - Dept Head'!D26)</f>
        <v/>
      </c>
      <c r="L329" s="20" t="str">
        <f>IF('Step 7 - Dept Head'!B26="","","Other Criteria")</f>
        <v/>
      </c>
      <c r="M329" s="19" t="str">
        <f>IF('Step 7 - Dept Head'!B26="","","Equals")</f>
        <v/>
      </c>
      <c r="N329" s="20" t="str">
        <f>IF('Step 7 - Dept Head'!B26="","",'Step 7 - Dept Head'!E26)</f>
        <v/>
      </c>
      <c r="O329" s="20" t="str">
        <f>IF('Step 7 - Dept Head'!B26="","",IF('Step 7 - Dept Head'!F26="","","Total"))</f>
        <v/>
      </c>
      <c r="P329" s="19" t="str">
        <f>IF('Step 7 - Dept Head'!B26="","",IF('Step 7 - Dept Head'!F26="","","&gt;="))</f>
        <v/>
      </c>
      <c r="Q329" s="20" t="str">
        <f>IF('Step 7 - Dept Head'!B26="","",IF('Step 7 - Dept Head'!F26="","",'Step 7 - Dept Head'!F26))</f>
        <v/>
      </c>
      <c r="R329" s="20" t="str">
        <f>""</f>
        <v/>
      </c>
      <c r="S329" s="20" t="str">
        <f>""</f>
        <v/>
      </c>
      <c r="T329" s="20" t="str">
        <f>""</f>
        <v/>
      </c>
      <c r="U329" s="20" t="str">
        <f>IF('Step 7 - Dept Head'!B26="","",'Step 7 - Dept Head'!I26)</f>
        <v/>
      </c>
      <c r="V329" s="19" t="str">
        <f>IF('Step 7 - Dept Head'!B26="","",'Step 7 - Dept Head'!K26)</f>
        <v/>
      </c>
      <c r="W329" s="20" t="str">
        <f>IF('Step 7 - Dept Head'!B26="","",'Step 7 - Dept Head'!L26)</f>
        <v/>
      </c>
      <c r="X329" s="19" t="str">
        <f>IF('Step 7 - Dept Head'!B26="","",'Step 7 - Dept Head'!N26)</f>
        <v/>
      </c>
      <c r="Y329" s="20" t="str">
        <f>""</f>
        <v/>
      </c>
      <c r="Z329" s="20" t="str">
        <f>""</f>
        <v/>
      </c>
      <c r="AA329" s="20" t="str">
        <f>""</f>
        <v/>
      </c>
      <c r="AB329" s="20" t="str">
        <f>""</f>
        <v/>
      </c>
      <c r="AC329" s="20" t="str">
        <f>""</f>
        <v/>
      </c>
      <c r="AD329" s="20" t="str">
        <f>""</f>
        <v/>
      </c>
      <c r="AE329" s="20" t="str">
        <f>""</f>
        <v/>
      </c>
      <c r="AF329" s="20" t="str">
        <f>""</f>
        <v/>
      </c>
      <c r="AG329" s="20" t="str">
        <f>""</f>
        <v/>
      </c>
      <c r="AH329" s="20" t="str">
        <f>""</f>
        <v/>
      </c>
      <c r="AI329" s="20" t="str">
        <f>""</f>
        <v/>
      </c>
      <c r="AJ329" s="20" t="str">
        <f>""</f>
        <v/>
      </c>
      <c r="AK329" s="20" t="str">
        <f>""</f>
        <v/>
      </c>
      <c r="AL329" s="20" t="str">
        <f>""</f>
        <v/>
      </c>
      <c r="AM329" s="20" t="str">
        <f>""</f>
        <v/>
      </c>
    </row>
    <row r="330" spans="1:39" ht="15.75" customHeight="1" x14ac:dyDescent="0.25">
      <c r="A330" s="17" t="str">
        <f>IF('Step 7 - Dept Head'!B27="","","Active")</f>
        <v/>
      </c>
      <c r="B330" s="18" t="str">
        <f>IF('Step 7 - Dept Head'!B27="","",'Step 7 - Dept Head'!B27)</f>
        <v/>
      </c>
      <c r="C330" s="18" t="str">
        <f>IF('Step 7 - Dept Head'!B27="","",'Step 7 - Dept Head'!B27)</f>
        <v/>
      </c>
      <c r="D330" s="17" t="str">
        <f>IF('Step 7 - Dept Head'!B27="","",'Step 7 - Dept Head'!G27)</f>
        <v/>
      </c>
      <c r="E330" s="17" t="str">
        <f>IF('Step 7 - Dept Head'!B27="","",'Step 7 - Dept Head'!H27)</f>
        <v/>
      </c>
      <c r="F330" s="18" t="str">
        <f>IF('Step 7 - Dept Head'!B27="","",IF('Step 7 - Dept Head'!C27="","","Fund Code"))</f>
        <v/>
      </c>
      <c r="G330" s="17" t="str">
        <f>IF('Step 7 - Dept Head'!B27="","",IF('Step 7 - Dept Head'!C27="","","Equals"))</f>
        <v/>
      </c>
      <c r="H330" s="18" t="str">
        <f>IF('Step 7 - Dept Head'!B27="","",IF('Step 7 - Dept Head'!C27="","",'Step 7 - Dept Head'!C27))</f>
        <v/>
      </c>
      <c r="I330" s="18" t="str">
        <f>IF('Step 7 - Dept Head'!B27="","","Organization Code")</f>
        <v/>
      </c>
      <c r="J330" s="17" t="str">
        <f>IF('Step 7 - Dept Head'!B27="","","Equals")</f>
        <v/>
      </c>
      <c r="K330" s="18" t="str">
        <f>IF('Step 7 - Dept Head'!B27="","",'Step 7 - Dept Head'!D27)</f>
        <v/>
      </c>
      <c r="L330" s="18" t="str">
        <f>IF('Step 7 - Dept Head'!B27="","","Other Criteria")</f>
        <v/>
      </c>
      <c r="M330" s="17" t="str">
        <f>IF('Step 7 - Dept Head'!B27="","","Equals")</f>
        <v/>
      </c>
      <c r="N330" s="18" t="str">
        <f>IF('Step 7 - Dept Head'!B27="","",'Step 7 - Dept Head'!E27)</f>
        <v/>
      </c>
      <c r="O330" s="18" t="str">
        <f>IF('Step 7 - Dept Head'!B27="","",IF('Step 7 - Dept Head'!F27="","","Total"))</f>
        <v/>
      </c>
      <c r="P330" s="17" t="str">
        <f>IF('Step 7 - Dept Head'!B27="","",IF('Step 7 - Dept Head'!F27="","","&gt;="))</f>
        <v/>
      </c>
      <c r="Q330" s="18" t="str">
        <f>IF('Step 7 - Dept Head'!B27="","",IF('Step 7 - Dept Head'!F27="","",'Step 7 - Dept Head'!F27))</f>
        <v/>
      </c>
      <c r="R330" s="18" t="str">
        <f>""</f>
        <v/>
      </c>
      <c r="S330" s="18" t="str">
        <f>""</f>
        <v/>
      </c>
      <c r="T330" s="18" t="str">
        <f>""</f>
        <v/>
      </c>
      <c r="U330" s="18" t="str">
        <f>IF('Step 7 - Dept Head'!B27="","",'Step 7 - Dept Head'!I27)</f>
        <v/>
      </c>
      <c r="V330" s="17" t="str">
        <f>IF('Step 7 - Dept Head'!B27="","",'Step 7 - Dept Head'!K27)</f>
        <v/>
      </c>
      <c r="W330" s="18" t="str">
        <f>IF('Step 7 - Dept Head'!B27="","",'Step 7 - Dept Head'!L27)</f>
        <v/>
      </c>
      <c r="X330" s="17" t="str">
        <f>IF('Step 7 - Dept Head'!B27="","",'Step 7 - Dept Head'!N27)</f>
        <v/>
      </c>
      <c r="Y330" s="18" t="str">
        <f>""</f>
        <v/>
      </c>
      <c r="Z330" s="18" t="str">
        <f>""</f>
        <v/>
      </c>
      <c r="AA330" s="18" t="str">
        <f>""</f>
        <v/>
      </c>
      <c r="AB330" s="18" t="str">
        <f>""</f>
        <v/>
      </c>
      <c r="AC330" s="18" t="str">
        <f>""</f>
        <v/>
      </c>
      <c r="AD330" s="18" t="str">
        <f>""</f>
        <v/>
      </c>
      <c r="AE330" s="18" t="str">
        <f>""</f>
        <v/>
      </c>
      <c r="AF330" s="18" t="str">
        <f>""</f>
        <v/>
      </c>
      <c r="AG330" s="18" t="str">
        <f>""</f>
        <v/>
      </c>
      <c r="AH330" s="18" t="str">
        <f>""</f>
        <v/>
      </c>
      <c r="AI330" s="18" t="str">
        <f>""</f>
        <v/>
      </c>
      <c r="AJ330" s="18" t="str">
        <f>""</f>
        <v/>
      </c>
      <c r="AK330" s="18" t="str">
        <f>""</f>
        <v/>
      </c>
      <c r="AL330" s="18" t="str">
        <f>""</f>
        <v/>
      </c>
      <c r="AM330" s="18" t="str">
        <f>""</f>
        <v/>
      </c>
    </row>
    <row r="331" spans="1:39" ht="15.75" customHeight="1" x14ac:dyDescent="0.25">
      <c r="A331" s="19" t="str">
        <f>IF('Step 7 - Dept Head'!B28="","","Active")</f>
        <v/>
      </c>
      <c r="B331" s="20" t="str">
        <f>IF('Step 7 - Dept Head'!B28="","",'Step 7 - Dept Head'!B28)</f>
        <v/>
      </c>
      <c r="C331" s="20" t="str">
        <f>IF('Step 7 - Dept Head'!B28="","",'Step 7 - Dept Head'!B28)</f>
        <v/>
      </c>
      <c r="D331" s="19" t="str">
        <f>IF('Step 7 - Dept Head'!B28="","",'Step 7 - Dept Head'!G28)</f>
        <v/>
      </c>
      <c r="E331" s="19" t="str">
        <f>IF('Step 7 - Dept Head'!B28="","",'Step 7 - Dept Head'!H28)</f>
        <v/>
      </c>
      <c r="F331" s="20" t="str">
        <f>IF('Step 7 - Dept Head'!B28="","",IF('Step 7 - Dept Head'!C28="","","Fund Code"))</f>
        <v/>
      </c>
      <c r="G331" s="19" t="str">
        <f>IF('Step 7 - Dept Head'!B28="","",IF('Step 7 - Dept Head'!C28="","","Equals"))</f>
        <v/>
      </c>
      <c r="H331" s="20" t="str">
        <f>IF('Step 7 - Dept Head'!B28="","",IF('Step 7 - Dept Head'!C28="","",'Step 7 - Dept Head'!C28))</f>
        <v/>
      </c>
      <c r="I331" s="20" t="str">
        <f>IF('Step 7 - Dept Head'!B28="","","Organization Code")</f>
        <v/>
      </c>
      <c r="J331" s="19" t="str">
        <f>IF('Step 7 - Dept Head'!B28="","","Equals")</f>
        <v/>
      </c>
      <c r="K331" s="20" t="str">
        <f>IF('Step 7 - Dept Head'!B28="","",'Step 7 - Dept Head'!D28)</f>
        <v/>
      </c>
      <c r="L331" s="20" t="str">
        <f>IF('Step 7 - Dept Head'!B28="","","Other Criteria")</f>
        <v/>
      </c>
      <c r="M331" s="19" t="str">
        <f>IF('Step 7 - Dept Head'!B28="","","Equals")</f>
        <v/>
      </c>
      <c r="N331" s="20" t="str">
        <f>IF('Step 7 - Dept Head'!B28="","",'Step 7 - Dept Head'!E28)</f>
        <v/>
      </c>
      <c r="O331" s="20" t="str">
        <f>IF('Step 7 - Dept Head'!B28="","",IF('Step 7 - Dept Head'!F28="","","Total"))</f>
        <v/>
      </c>
      <c r="P331" s="19" t="str">
        <f>IF('Step 7 - Dept Head'!B28="","",IF('Step 7 - Dept Head'!F28="","","&gt;="))</f>
        <v/>
      </c>
      <c r="Q331" s="20" t="str">
        <f>IF('Step 7 - Dept Head'!B28="","",IF('Step 7 - Dept Head'!F28="","",'Step 7 - Dept Head'!F28))</f>
        <v/>
      </c>
      <c r="R331" s="20" t="str">
        <f>""</f>
        <v/>
      </c>
      <c r="S331" s="20" t="str">
        <f>""</f>
        <v/>
      </c>
      <c r="T331" s="20" t="str">
        <f>""</f>
        <v/>
      </c>
      <c r="U331" s="20" t="str">
        <f>IF('Step 7 - Dept Head'!B28="","",'Step 7 - Dept Head'!I28)</f>
        <v/>
      </c>
      <c r="V331" s="19" t="str">
        <f>IF('Step 7 - Dept Head'!B28="","",'Step 7 - Dept Head'!K28)</f>
        <v/>
      </c>
      <c r="W331" s="20" t="str">
        <f>IF('Step 7 - Dept Head'!B28="","",'Step 7 - Dept Head'!L28)</f>
        <v/>
      </c>
      <c r="X331" s="19" t="str">
        <f>IF('Step 7 - Dept Head'!B28="","",'Step 7 - Dept Head'!N28)</f>
        <v/>
      </c>
      <c r="Y331" s="20" t="str">
        <f>""</f>
        <v/>
      </c>
      <c r="Z331" s="20" t="str">
        <f>""</f>
        <v/>
      </c>
      <c r="AA331" s="20" t="str">
        <f>""</f>
        <v/>
      </c>
      <c r="AB331" s="20" t="str">
        <f>""</f>
        <v/>
      </c>
      <c r="AC331" s="20" t="str">
        <f>""</f>
        <v/>
      </c>
      <c r="AD331" s="20" t="str">
        <f>""</f>
        <v/>
      </c>
      <c r="AE331" s="20" t="str">
        <f>""</f>
        <v/>
      </c>
      <c r="AF331" s="20" t="str">
        <f>""</f>
        <v/>
      </c>
      <c r="AG331" s="20" t="str">
        <f>""</f>
        <v/>
      </c>
      <c r="AH331" s="20" t="str">
        <f>""</f>
        <v/>
      </c>
      <c r="AI331" s="20" t="str">
        <f>""</f>
        <v/>
      </c>
      <c r="AJ331" s="20" t="str">
        <f>""</f>
        <v/>
      </c>
      <c r="AK331" s="20" t="str">
        <f>""</f>
        <v/>
      </c>
      <c r="AL331" s="20" t="str">
        <f>""</f>
        <v/>
      </c>
      <c r="AM331" s="20" t="str">
        <f>""</f>
        <v/>
      </c>
    </row>
    <row r="332" spans="1:39" ht="15.75" customHeight="1" x14ac:dyDescent="0.25">
      <c r="A332" s="17" t="str">
        <f>IF('Step 7 - Dept Head'!B29="","","Active")</f>
        <v/>
      </c>
      <c r="B332" s="18" t="str">
        <f>IF('Step 7 - Dept Head'!B29="","",'Step 7 - Dept Head'!B29)</f>
        <v/>
      </c>
      <c r="C332" s="18" t="str">
        <f>IF('Step 7 - Dept Head'!B29="","",'Step 7 - Dept Head'!B29)</f>
        <v/>
      </c>
      <c r="D332" s="17" t="str">
        <f>IF('Step 7 - Dept Head'!B29="","",'Step 7 - Dept Head'!G29)</f>
        <v/>
      </c>
      <c r="E332" s="17" t="str">
        <f>IF('Step 7 - Dept Head'!B29="","",'Step 7 - Dept Head'!H29)</f>
        <v/>
      </c>
      <c r="F332" s="18" t="str">
        <f>IF('Step 7 - Dept Head'!B29="","",IF('Step 7 - Dept Head'!C29="","","Fund Code"))</f>
        <v/>
      </c>
      <c r="G332" s="17" t="str">
        <f>IF('Step 7 - Dept Head'!B29="","",IF('Step 7 - Dept Head'!C29="","","Equals"))</f>
        <v/>
      </c>
      <c r="H332" s="18" t="str">
        <f>IF('Step 7 - Dept Head'!B29="","",IF('Step 7 - Dept Head'!C29="","",'Step 7 - Dept Head'!C29))</f>
        <v/>
      </c>
      <c r="I332" s="18" t="str">
        <f>IF('Step 7 - Dept Head'!B29="","","Organization Code")</f>
        <v/>
      </c>
      <c r="J332" s="17" t="str">
        <f>IF('Step 7 - Dept Head'!B29="","","Equals")</f>
        <v/>
      </c>
      <c r="K332" s="18" t="str">
        <f>IF('Step 7 - Dept Head'!B29="","",'Step 7 - Dept Head'!D29)</f>
        <v/>
      </c>
      <c r="L332" s="18" t="str">
        <f>IF('Step 7 - Dept Head'!B29="","","Other Criteria")</f>
        <v/>
      </c>
      <c r="M332" s="17" t="str">
        <f>IF('Step 7 - Dept Head'!B29="","","Equals")</f>
        <v/>
      </c>
      <c r="N332" s="18" t="str">
        <f>IF('Step 7 - Dept Head'!B29="","",'Step 7 - Dept Head'!E29)</f>
        <v/>
      </c>
      <c r="O332" s="18" t="str">
        <f>IF('Step 7 - Dept Head'!B29="","",IF('Step 7 - Dept Head'!F29="","","Total"))</f>
        <v/>
      </c>
      <c r="P332" s="17" t="str">
        <f>IF('Step 7 - Dept Head'!B29="","",IF('Step 7 - Dept Head'!F29="","","&gt;="))</f>
        <v/>
      </c>
      <c r="Q332" s="18" t="str">
        <f>IF('Step 7 - Dept Head'!B29="","",IF('Step 7 - Dept Head'!F29="","",'Step 7 - Dept Head'!F29))</f>
        <v/>
      </c>
      <c r="R332" s="18" t="str">
        <f>""</f>
        <v/>
      </c>
      <c r="S332" s="18" t="str">
        <f>""</f>
        <v/>
      </c>
      <c r="T332" s="18" t="str">
        <f>""</f>
        <v/>
      </c>
      <c r="U332" s="18" t="str">
        <f>IF('Step 7 - Dept Head'!B29="","",'Step 7 - Dept Head'!I29)</f>
        <v/>
      </c>
      <c r="V332" s="17" t="str">
        <f>IF('Step 7 - Dept Head'!B29="","",'Step 7 - Dept Head'!K29)</f>
        <v/>
      </c>
      <c r="W332" s="18" t="str">
        <f>IF('Step 7 - Dept Head'!B29="","",'Step 7 - Dept Head'!L29)</f>
        <v/>
      </c>
      <c r="X332" s="17" t="str">
        <f>IF('Step 7 - Dept Head'!B29="","",'Step 7 - Dept Head'!N29)</f>
        <v/>
      </c>
      <c r="Y332" s="18" t="str">
        <f>""</f>
        <v/>
      </c>
      <c r="Z332" s="18" t="str">
        <f>""</f>
        <v/>
      </c>
      <c r="AA332" s="18" t="str">
        <f>""</f>
        <v/>
      </c>
      <c r="AB332" s="18" t="str">
        <f>""</f>
        <v/>
      </c>
      <c r="AC332" s="18" t="str">
        <f>""</f>
        <v/>
      </c>
      <c r="AD332" s="18" t="str">
        <f>""</f>
        <v/>
      </c>
      <c r="AE332" s="18" t="str">
        <f>""</f>
        <v/>
      </c>
      <c r="AF332" s="18" t="str">
        <f>""</f>
        <v/>
      </c>
      <c r="AG332" s="18" t="str">
        <f>""</f>
        <v/>
      </c>
      <c r="AH332" s="18" t="str">
        <f>""</f>
        <v/>
      </c>
      <c r="AI332" s="18" t="str">
        <f>""</f>
        <v/>
      </c>
      <c r="AJ332" s="18" t="str">
        <f>""</f>
        <v/>
      </c>
      <c r="AK332" s="18" t="str">
        <f>""</f>
        <v/>
      </c>
      <c r="AL332" s="18" t="str">
        <f>""</f>
        <v/>
      </c>
      <c r="AM332" s="18" t="str">
        <f>""</f>
        <v/>
      </c>
    </row>
    <row r="333" spans="1:39" ht="15.75" customHeight="1" x14ac:dyDescent="0.25">
      <c r="A333" s="19" t="str">
        <f>IF('Step 7 - Dept Head'!B30="","","Active")</f>
        <v/>
      </c>
      <c r="B333" s="20" t="str">
        <f>IF('Step 7 - Dept Head'!B30="","",'Step 7 - Dept Head'!B30)</f>
        <v/>
      </c>
      <c r="C333" s="20" t="str">
        <f>IF('Step 7 - Dept Head'!B30="","",'Step 7 - Dept Head'!B30)</f>
        <v/>
      </c>
      <c r="D333" s="19" t="str">
        <f>IF('Step 7 - Dept Head'!B30="","",'Step 7 - Dept Head'!G30)</f>
        <v/>
      </c>
      <c r="E333" s="19" t="str">
        <f>IF('Step 7 - Dept Head'!B30="","",'Step 7 - Dept Head'!H30)</f>
        <v/>
      </c>
      <c r="F333" s="20" t="str">
        <f>IF('Step 7 - Dept Head'!B30="","",IF('Step 7 - Dept Head'!C30="","","Fund Code"))</f>
        <v/>
      </c>
      <c r="G333" s="19" t="str">
        <f>IF('Step 7 - Dept Head'!B30="","",IF('Step 7 - Dept Head'!C30="","","Equals"))</f>
        <v/>
      </c>
      <c r="H333" s="20" t="str">
        <f>IF('Step 7 - Dept Head'!B30="","",IF('Step 7 - Dept Head'!C30="","",'Step 7 - Dept Head'!C30))</f>
        <v/>
      </c>
      <c r="I333" s="20" t="str">
        <f>IF('Step 7 - Dept Head'!B30="","","Organization Code")</f>
        <v/>
      </c>
      <c r="J333" s="19" t="str">
        <f>IF('Step 7 - Dept Head'!B30="","","Equals")</f>
        <v/>
      </c>
      <c r="K333" s="20" t="str">
        <f>IF('Step 7 - Dept Head'!B30="","",'Step 7 - Dept Head'!D30)</f>
        <v/>
      </c>
      <c r="L333" s="20" t="str">
        <f>IF('Step 7 - Dept Head'!B30="","","Other Criteria")</f>
        <v/>
      </c>
      <c r="M333" s="19" t="str">
        <f>IF('Step 7 - Dept Head'!B30="","","Equals")</f>
        <v/>
      </c>
      <c r="N333" s="20" t="str">
        <f>IF('Step 7 - Dept Head'!B30="","",'Step 7 - Dept Head'!E30)</f>
        <v/>
      </c>
      <c r="O333" s="20" t="str">
        <f>IF('Step 7 - Dept Head'!B30="","",IF('Step 7 - Dept Head'!F30="","","Total"))</f>
        <v/>
      </c>
      <c r="P333" s="19" t="str">
        <f>IF('Step 7 - Dept Head'!B30="","",IF('Step 7 - Dept Head'!F30="","","&gt;="))</f>
        <v/>
      </c>
      <c r="Q333" s="20" t="str">
        <f>IF('Step 7 - Dept Head'!B30="","",IF('Step 7 - Dept Head'!F30="","",'Step 7 - Dept Head'!F30))</f>
        <v/>
      </c>
      <c r="R333" s="20" t="str">
        <f>""</f>
        <v/>
      </c>
      <c r="S333" s="20" t="str">
        <f>""</f>
        <v/>
      </c>
      <c r="T333" s="20" t="str">
        <f>""</f>
        <v/>
      </c>
      <c r="U333" s="20" t="str">
        <f>IF('Step 7 - Dept Head'!B30="","",'Step 7 - Dept Head'!I30)</f>
        <v/>
      </c>
      <c r="V333" s="19" t="str">
        <f>IF('Step 7 - Dept Head'!B30="","",'Step 7 - Dept Head'!K30)</f>
        <v/>
      </c>
      <c r="W333" s="20" t="str">
        <f>IF('Step 7 - Dept Head'!B30="","",'Step 7 - Dept Head'!L30)</f>
        <v/>
      </c>
      <c r="X333" s="19" t="str">
        <f>IF('Step 7 - Dept Head'!B30="","",'Step 7 - Dept Head'!N30)</f>
        <v/>
      </c>
      <c r="Y333" s="20" t="str">
        <f>""</f>
        <v/>
      </c>
      <c r="Z333" s="20" t="str">
        <f>""</f>
        <v/>
      </c>
      <c r="AA333" s="20" t="str">
        <f>""</f>
        <v/>
      </c>
      <c r="AB333" s="20" t="str">
        <f>""</f>
        <v/>
      </c>
      <c r="AC333" s="20" t="str">
        <f>""</f>
        <v/>
      </c>
      <c r="AD333" s="20" t="str">
        <f>""</f>
        <v/>
      </c>
      <c r="AE333" s="20" t="str">
        <f>""</f>
        <v/>
      </c>
      <c r="AF333" s="20" t="str">
        <f>""</f>
        <v/>
      </c>
      <c r="AG333" s="20" t="str">
        <f>""</f>
        <v/>
      </c>
      <c r="AH333" s="20" t="str">
        <f>""</f>
        <v/>
      </c>
      <c r="AI333" s="20" t="str">
        <f>""</f>
        <v/>
      </c>
      <c r="AJ333" s="20" t="str">
        <f>""</f>
        <v/>
      </c>
      <c r="AK333" s="20" t="str">
        <f>""</f>
        <v/>
      </c>
      <c r="AL333" s="20" t="str">
        <f>""</f>
        <v/>
      </c>
      <c r="AM333" s="20" t="str">
        <f>""</f>
        <v/>
      </c>
    </row>
    <row r="334" spans="1:39" ht="15.75" customHeight="1" x14ac:dyDescent="0.25">
      <c r="A334" s="17" t="str">
        <f>IF('Step 7 - Dept Head'!B31="","","Active")</f>
        <v/>
      </c>
      <c r="B334" s="18" t="str">
        <f>IF('Step 7 - Dept Head'!B31="","",'Step 7 - Dept Head'!B31)</f>
        <v/>
      </c>
      <c r="C334" s="18" t="str">
        <f>IF('Step 7 - Dept Head'!B31="","",'Step 7 - Dept Head'!B31)</f>
        <v/>
      </c>
      <c r="D334" s="17" t="str">
        <f>IF('Step 7 - Dept Head'!B31="","",'Step 7 - Dept Head'!G31)</f>
        <v/>
      </c>
      <c r="E334" s="17" t="str">
        <f>IF('Step 7 - Dept Head'!B31="","",'Step 7 - Dept Head'!H31)</f>
        <v/>
      </c>
      <c r="F334" s="18" t="str">
        <f>IF('Step 7 - Dept Head'!B31="","",IF('Step 7 - Dept Head'!C31="","","Fund Code"))</f>
        <v/>
      </c>
      <c r="G334" s="17" t="str">
        <f>IF('Step 7 - Dept Head'!B31="","",IF('Step 7 - Dept Head'!C31="","","Equals"))</f>
        <v/>
      </c>
      <c r="H334" s="18" t="str">
        <f>IF('Step 7 - Dept Head'!B31="","",IF('Step 7 - Dept Head'!C31="","",'Step 7 - Dept Head'!C31))</f>
        <v/>
      </c>
      <c r="I334" s="18" t="str">
        <f>IF('Step 7 - Dept Head'!B31="","","Organization Code")</f>
        <v/>
      </c>
      <c r="J334" s="17" t="str">
        <f>IF('Step 7 - Dept Head'!B31="","","Equals")</f>
        <v/>
      </c>
      <c r="K334" s="18" t="str">
        <f>IF('Step 7 - Dept Head'!B31="","",'Step 7 - Dept Head'!D31)</f>
        <v/>
      </c>
      <c r="L334" s="18" t="str">
        <f>IF('Step 7 - Dept Head'!B31="","","Other Criteria")</f>
        <v/>
      </c>
      <c r="M334" s="17" t="str">
        <f>IF('Step 7 - Dept Head'!B31="","","Equals")</f>
        <v/>
      </c>
      <c r="N334" s="18" t="str">
        <f>IF('Step 7 - Dept Head'!B31="","",'Step 7 - Dept Head'!E31)</f>
        <v/>
      </c>
      <c r="O334" s="18" t="str">
        <f>IF('Step 7 - Dept Head'!B31="","",IF('Step 7 - Dept Head'!F31="","","Total"))</f>
        <v/>
      </c>
      <c r="P334" s="17" t="str">
        <f>IF('Step 7 - Dept Head'!B31="","",IF('Step 7 - Dept Head'!F31="","","&gt;="))</f>
        <v/>
      </c>
      <c r="Q334" s="18" t="str">
        <f>IF('Step 7 - Dept Head'!B31="","",IF('Step 7 - Dept Head'!F31="","",'Step 7 - Dept Head'!F31))</f>
        <v/>
      </c>
      <c r="R334" s="18" t="str">
        <f>""</f>
        <v/>
      </c>
      <c r="S334" s="18" t="str">
        <f>""</f>
        <v/>
      </c>
      <c r="T334" s="18" t="str">
        <f>""</f>
        <v/>
      </c>
      <c r="U334" s="18" t="str">
        <f>IF('Step 7 - Dept Head'!B31="","",'Step 7 - Dept Head'!I31)</f>
        <v/>
      </c>
      <c r="V334" s="17" t="str">
        <f>IF('Step 7 - Dept Head'!B31="","",'Step 7 - Dept Head'!K31)</f>
        <v/>
      </c>
      <c r="W334" s="18" t="str">
        <f>IF('Step 7 - Dept Head'!B31="","",'Step 7 - Dept Head'!L31)</f>
        <v/>
      </c>
      <c r="X334" s="17" t="str">
        <f>IF('Step 7 - Dept Head'!B31="","",'Step 7 - Dept Head'!N31)</f>
        <v/>
      </c>
      <c r="Y334" s="18" t="str">
        <f>""</f>
        <v/>
      </c>
      <c r="Z334" s="18" t="str">
        <f>""</f>
        <v/>
      </c>
      <c r="AA334" s="18" t="str">
        <f>""</f>
        <v/>
      </c>
      <c r="AB334" s="18" t="str">
        <f>""</f>
        <v/>
      </c>
      <c r="AC334" s="18" t="str">
        <f>""</f>
        <v/>
      </c>
      <c r="AD334" s="18" t="str">
        <f>""</f>
        <v/>
      </c>
      <c r="AE334" s="18" t="str">
        <f>""</f>
        <v/>
      </c>
      <c r="AF334" s="18" t="str">
        <f>""</f>
        <v/>
      </c>
      <c r="AG334" s="18" t="str">
        <f>""</f>
        <v/>
      </c>
      <c r="AH334" s="18" t="str">
        <f>""</f>
        <v/>
      </c>
      <c r="AI334" s="18" t="str">
        <f>""</f>
        <v/>
      </c>
      <c r="AJ334" s="18" t="str">
        <f>""</f>
        <v/>
      </c>
      <c r="AK334" s="18" t="str">
        <f>""</f>
        <v/>
      </c>
      <c r="AL334" s="18" t="str">
        <f>""</f>
        <v/>
      </c>
      <c r="AM334" s="18" t="str">
        <f>""</f>
        <v/>
      </c>
    </row>
    <row r="335" spans="1:39" ht="15.75" customHeight="1" x14ac:dyDescent="0.25">
      <c r="A335" s="19" t="str">
        <f>IF('Step 7 - Dept Head'!B32="","","Active")</f>
        <v/>
      </c>
      <c r="B335" s="20" t="str">
        <f>IF('Step 7 - Dept Head'!B32="","",'Step 7 - Dept Head'!B32)</f>
        <v/>
      </c>
      <c r="C335" s="20" t="str">
        <f>IF('Step 7 - Dept Head'!B32="","",'Step 7 - Dept Head'!B32)</f>
        <v/>
      </c>
      <c r="D335" s="19" t="str">
        <f>IF('Step 7 - Dept Head'!B32="","",'Step 7 - Dept Head'!G32)</f>
        <v/>
      </c>
      <c r="E335" s="19" t="str">
        <f>IF('Step 7 - Dept Head'!B32="","",'Step 7 - Dept Head'!H32)</f>
        <v/>
      </c>
      <c r="F335" s="20" t="str">
        <f>IF('Step 7 - Dept Head'!B32="","",IF('Step 7 - Dept Head'!C32="","","Fund Code"))</f>
        <v/>
      </c>
      <c r="G335" s="19" t="str">
        <f>IF('Step 7 - Dept Head'!B32="","",IF('Step 7 - Dept Head'!C32="","","Equals"))</f>
        <v/>
      </c>
      <c r="H335" s="20" t="str">
        <f>IF('Step 7 - Dept Head'!B32="","",IF('Step 7 - Dept Head'!C32="","",'Step 7 - Dept Head'!C32))</f>
        <v/>
      </c>
      <c r="I335" s="20" t="str">
        <f>IF('Step 7 - Dept Head'!B32="","","Organization Code")</f>
        <v/>
      </c>
      <c r="J335" s="19" t="str">
        <f>IF('Step 7 - Dept Head'!B32="","","Equals")</f>
        <v/>
      </c>
      <c r="K335" s="20" t="str">
        <f>IF('Step 7 - Dept Head'!B32="","",'Step 7 - Dept Head'!D32)</f>
        <v/>
      </c>
      <c r="L335" s="20" t="str">
        <f>IF('Step 7 - Dept Head'!B32="","","Other Criteria")</f>
        <v/>
      </c>
      <c r="M335" s="19" t="str">
        <f>IF('Step 7 - Dept Head'!B32="","","Equals")</f>
        <v/>
      </c>
      <c r="N335" s="20" t="str">
        <f>IF('Step 7 - Dept Head'!B32="","",'Step 7 - Dept Head'!E32)</f>
        <v/>
      </c>
      <c r="O335" s="20" t="str">
        <f>IF('Step 7 - Dept Head'!B32="","",IF('Step 7 - Dept Head'!F32="","","Total"))</f>
        <v/>
      </c>
      <c r="P335" s="19" t="str">
        <f>IF('Step 7 - Dept Head'!B32="","",IF('Step 7 - Dept Head'!F32="","","&gt;="))</f>
        <v/>
      </c>
      <c r="Q335" s="20" t="str">
        <f>IF('Step 7 - Dept Head'!B32="","",IF('Step 7 - Dept Head'!F32="","",'Step 7 - Dept Head'!F32))</f>
        <v/>
      </c>
      <c r="R335" s="20" t="str">
        <f>""</f>
        <v/>
      </c>
      <c r="S335" s="20" t="str">
        <f>""</f>
        <v/>
      </c>
      <c r="T335" s="20" t="str">
        <f>""</f>
        <v/>
      </c>
      <c r="U335" s="20" t="str">
        <f>IF('Step 7 - Dept Head'!B32="","",'Step 7 - Dept Head'!I32)</f>
        <v/>
      </c>
      <c r="V335" s="19" t="str">
        <f>IF('Step 7 - Dept Head'!B32="","",'Step 7 - Dept Head'!K32)</f>
        <v/>
      </c>
      <c r="W335" s="20" t="str">
        <f>IF('Step 7 - Dept Head'!B32="","",'Step 7 - Dept Head'!L32)</f>
        <v/>
      </c>
      <c r="X335" s="19" t="str">
        <f>IF('Step 7 - Dept Head'!B32="","",'Step 7 - Dept Head'!N32)</f>
        <v/>
      </c>
      <c r="Y335" s="20" t="str">
        <f>""</f>
        <v/>
      </c>
      <c r="Z335" s="20" t="str">
        <f>""</f>
        <v/>
      </c>
      <c r="AA335" s="20" t="str">
        <f>""</f>
        <v/>
      </c>
      <c r="AB335" s="20" t="str">
        <f>""</f>
        <v/>
      </c>
      <c r="AC335" s="20" t="str">
        <f>""</f>
        <v/>
      </c>
      <c r="AD335" s="20" t="str">
        <f>""</f>
        <v/>
      </c>
      <c r="AE335" s="20" t="str">
        <f>""</f>
        <v/>
      </c>
      <c r="AF335" s="20" t="str">
        <f>""</f>
        <v/>
      </c>
      <c r="AG335" s="20" t="str">
        <f>""</f>
        <v/>
      </c>
      <c r="AH335" s="20" t="str">
        <f>""</f>
        <v/>
      </c>
      <c r="AI335" s="20" t="str">
        <f>""</f>
        <v/>
      </c>
      <c r="AJ335" s="20" t="str">
        <f>""</f>
        <v/>
      </c>
      <c r="AK335" s="20" t="str">
        <f>""</f>
        <v/>
      </c>
      <c r="AL335" s="20" t="str">
        <f>""</f>
        <v/>
      </c>
      <c r="AM335" s="20" t="str">
        <f>""</f>
        <v/>
      </c>
    </row>
    <row r="336" spans="1:39" ht="15.75" customHeight="1" x14ac:dyDescent="0.25">
      <c r="A336" s="17" t="str">
        <f>IF('Step 7 - Dept Head'!B33="","","Active")</f>
        <v/>
      </c>
      <c r="B336" s="18" t="str">
        <f>IF('Step 7 - Dept Head'!B33="","",'Step 7 - Dept Head'!B33)</f>
        <v/>
      </c>
      <c r="C336" s="18" t="str">
        <f>IF('Step 7 - Dept Head'!B33="","",'Step 7 - Dept Head'!B33)</f>
        <v/>
      </c>
      <c r="D336" s="17" t="str">
        <f>IF('Step 7 - Dept Head'!B33="","",'Step 7 - Dept Head'!G33)</f>
        <v/>
      </c>
      <c r="E336" s="17" t="str">
        <f>IF('Step 7 - Dept Head'!B33="","",'Step 7 - Dept Head'!H33)</f>
        <v/>
      </c>
      <c r="F336" s="18" t="str">
        <f>IF('Step 7 - Dept Head'!B33="","",IF('Step 7 - Dept Head'!C33="","","Fund Code"))</f>
        <v/>
      </c>
      <c r="G336" s="17" t="str">
        <f>IF('Step 7 - Dept Head'!B33="","",IF('Step 7 - Dept Head'!C33="","","Equals"))</f>
        <v/>
      </c>
      <c r="H336" s="18" t="str">
        <f>IF('Step 7 - Dept Head'!B33="","",IF('Step 7 - Dept Head'!C33="","",'Step 7 - Dept Head'!C33))</f>
        <v/>
      </c>
      <c r="I336" s="18" t="str">
        <f>IF('Step 7 - Dept Head'!B33="","","Organization Code")</f>
        <v/>
      </c>
      <c r="J336" s="17" t="str">
        <f>IF('Step 7 - Dept Head'!B33="","","Equals")</f>
        <v/>
      </c>
      <c r="K336" s="18" t="str">
        <f>IF('Step 7 - Dept Head'!B33="","",'Step 7 - Dept Head'!D33)</f>
        <v/>
      </c>
      <c r="L336" s="18" t="str">
        <f>IF('Step 7 - Dept Head'!B33="","","Other Criteria")</f>
        <v/>
      </c>
      <c r="M336" s="17" t="str">
        <f>IF('Step 7 - Dept Head'!B33="","","Equals")</f>
        <v/>
      </c>
      <c r="N336" s="18" t="str">
        <f>IF('Step 7 - Dept Head'!B33="","",'Step 7 - Dept Head'!E33)</f>
        <v/>
      </c>
      <c r="O336" s="18" t="str">
        <f>IF('Step 7 - Dept Head'!B33="","",IF('Step 7 - Dept Head'!F33="","","Total"))</f>
        <v/>
      </c>
      <c r="P336" s="17" t="str">
        <f>IF('Step 7 - Dept Head'!B33="","",IF('Step 7 - Dept Head'!F33="","","&gt;="))</f>
        <v/>
      </c>
      <c r="Q336" s="18" t="str">
        <f>IF('Step 7 - Dept Head'!B33="","",IF('Step 7 - Dept Head'!F33="","",'Step 7 - Dept Head'!F33))</f>
        <v/>
      </c>
      <c r="R336" s="18" t="str">
        <f>""</f>
        <v/>
      </c>
      <c r="S336" s="18" t="str">
        <f>""</f>
        <v/>
      </c>
      <c r="T336" s="18" t="str">
        <f>""</f>
        <v/>
      </c>
      <c r="U336" s="18" t="str">
        <f>IF('Step 7 - Dept Head'!B33="","",'Step 7 - Dept Head'!I33)</f>
        <v/>
      </c>
      <c r="V336" s="17" t="str">
        <f>IF('Step 7 - Dept Head'!B33="","",'Step 7 - Dept Head'!K33)</f>
        <v/>
      </c>
      <c r="W336" s="18" t="str">
        <f>IF('Step 7 - Dept Head'!B33="","",'Step 7 - Dept Head'!L33)</f>
        <v/>
      </c>
      <c r="X336" s="17" t="str">
        <f>IF('Step 7 - Dept Head'!B33="","",'Step 7 - Dept Head'!N33)</f>
        <v/>
      </c>
      <c r="Y336" s="18" t="str">
        <f>""</f>
        <v/>
      </c>
      <c r="Z336" s="18" t="str">
        <f>""</f>
        <v/>
      </c>
      <c r="AA336" s="18" t="str">
        <f>""</f>
        <v/>
      </c>
      <c r="AB336" s="18" t="str">
        <f>""</f>
        <v/>
      </c>
      <c r="AC336" s="18" t="str">
        <f>""</f>
        <v/>
      </c>
      <c r="AD336" s="18" t="str">
        <f>""</f>
        <v/>
      </c>
      <c r="AE336" s="18" t="str">
        <f>""</f>
        <v/>
      </c>
      <c r="AF336" s="18" t="str">
        <f>""</f>
        <v/>
      </c>
      <c r="AG336" s="18" t="str">
        <f>""</f>
        <v/>
      </c>
      <c r="AH336" s="18" t="str">
        <f>""</f>
        <v/>
      </c>
      <c r="AI336" s="18" t="str">
        <f>""</f>
        <v/>
      </c>
      <c r="AJ336" s="18" t="str">
        <f>""</f>
        <v/>
      </c>
      <c r="AK336" s="18" t="str">
        <f>""</f>
        <v/>
      </c>
      <c r="AL336" s="18" t="str">
        <f>""</f>
        <v/>
      </c>
      <c r="AM336" s="18" t="str">
        <f>""</f>
        <v/>
      </c>
    </row>
    <row r="337" spans="1:39" ht="15.75" customHeight="1" x14ac:dyDescent="0.25">
      <c r="A337" s="19" t="str">
        <f>IF('Step 7 - Dept Head'!B34="","","Active")</f>
        <v/>
      </c>
      <c r="B337" s="20" t="str">
        <f>IF('Step 7 - Dept Head'!B34="","",'Step 7 - Dept Head'!B34)</f>
        <v/>
      </c>
      <c r="C337" s="20" t="str">
        <f>IF('Step 7 - Dept Head'!B34="","",'Step 7 - Dept Head'!B34)</f>
        <v/>
      </c>
      <c r="D337" s="19" t="str">
        <f>IF('Step 7 - Dept Head'!B34="","",'Step 7 - Dept Head'!G34)</f>
        <v/>
      </c>
      <c r="E337" s="19" t="str">
        <f>IF('Step 7 - Dept Head'!B34="","",'Step 7 - Dept Head'!H34)</f>
        <v/>
      </c>
      <c r="F337" s="20" t="str">
        <f>IF('Step 7 - Dept Head'!B34="","",IF('Step 7 - Dept Head'!C34="","","Fund Code"))</f>
        <v/>
      </c>
      <c r="G337" s="19" t="str">
        <f>IF('Step 7 - Dept Head'!B34="","",IF('Step 7 - Dept Head'!C34="","","Equals"))</f>
        <v/>
      </c>
      <c r="H337" s="20" t="str">
        <f>IF('Step 7 - Dept Head'!B34="","",IF('Step 7 - Dept Head'!C34="","",'Step 7 - Dept Head'!C34))</f>
        <v/>
      </c>
      <c r="I337" s="20" t="str">
        <f>IF('Step 7 - Dept Head'!B34="","","Organization Code")</f>
        <v/>
      </c>
      <c r="J337" s="19" t="str">
        <f>IF('Step 7 - Dept Head'!B34="","","Equals")</f>
        <v/>
      </c>
      <c r="K337" s="20" t="str">
        <f>IF('Step 7 - Dept Head'!B34="","",'Step 7 - Dept Head'!D34)</f>
        <v/>
      </c>
      <c r="L337" s="20" t="str">
        <f>IF('Step 7 - Dept Head'!B34="","","Other Criteria")</f>
        <v/>
      </c>
      <c r="M337" s="19" t="str">
        <f>IF('Step 7 - Dept Head'!B34="","","Equals")</f>
        <v/>
      </c>
      <c r="N337" s="20" t="str">
        <f>IF('Step 7 - Dept Head'!B34="","",'Step 7 - Dept Head'!E34)</f>
        <v/>
      </c>
      <c r="O337" s="20" t="str">
        <f>IF('Step 7 - Dept Head'!B34="","",IF('Step 7 - Dept Head'!F34="","","Total"))</f>
        <v/>
      </c>
      <c r="P337" s="19" t="str">
        <f>IF('Step 7 - Dept Head'!B34="","",IF('Step 7 - Dept Head'!F34="","","&gt;="))</f>
        <v/>
      </c>
      <c r="Q337" s="20" t="str">
        <f>IF('Step 7 - Dept Head'!B34="","",IF('Step 7 - Dept Head'!F34="","",'Step 7 - Dept Head'!F34))</f>
        <v/>
      </c>
      <c r="R337" s="20" t="str">
        <f>""</f>
        <v/>
      </c>
      <c r="S337" s="20" t="str">
        <f>""</f>
        <v/>
      </c>
      <c r="T337" s="20" t="str">
        <f>""</f>
        <v/>
      </c>
      <c r="U337" s="20" t="str">
        <f>IF('Step 7 - Dept Head'!B34="","",'Step 7 - Dept Head'!I34)</f>
        <v/>
      </c>
      <c r="V337" s="19" t="str">
        <f>IF('Step 7 - Dept Head'!B34="","",'Step 7 - Dept Head'!K34)</f>
        <v/>
      </c>
      <c r="W337" s="20" t="str">
        <f>IF('Step 7 - Dept Head'!B34="","",'Step 7 - Dept Head'!L34)</f>
        <v/>
      </c>
      <c r="X337" s="19" t="str">
        <f>IF('Step 7 - Dept Head'!B34="","",'Step 7 - Dept Head'!N34)</f>
        <v/>
      </c>
      <c r="Y337" s="20" t="str">
        <f>""</f>
        <v/>
      </c>
      <c r="Z337" s="20" t="str">
        <f>""</f>
        <v/>
      </c>
      <c r="AA337" s="20" t="str">
        <f>""</f>
        <v/>
      </c>
      <c r="AB337" s="20" t="str">
        <f>""</f>
        <v/>
      </c>
      <c r="AC337" s="20" t="str">
        <f>""</f>
        <v/>
      </c>
      <c r="AD337" s="20" t="str">
        <f>""</f>
        <v/>
      </c>
      <c r="AE337" s="20" t="str">
        <f>""</f>
        <v/>
      </c>
      <c r="AF337" s="20" t="str">
        <f>""</f>
        <v/>
      </c>
      <c r="AG337" s="20" t="str">
        <f>""</f>
        <v/>
      </c>
      <c r="AH337" s="20" t="str">
        <f>""</f>
        <v/>
      </c>
      <c r="AI337" s="20" t="str">
        <f>""</f>
        <v/>
      </c>
      <c r="AJ337" s="20" t="str">
        <f>""</f>
        <v/>
      </c>
      <c r="AK337" s="20" t="str">
        <f>""</f>
        <v/>
      </c>
      <c r="AL337" s="20" t="str">
        <f>""</f>
        <v/>
      </c>
      <c r="AM337" s="20" t="str">
        <f>""</f>
        <v/>
      </c>
    </row>
    <row r="338" spans="1:39" ht="15.75" customHeight="1" x14ac:dyDescent="0.25">
      <c r="A338" s="17" t="str">
        <f>IF('Step 7 - Dept Head'!B35="","","Active")</f>
        <v/>
      </c>
      <c r="B338" s="18" t="str">
        <f>IF('Step 7 - Dept Head'!B35="","",'Step 7 - Dept Head'!B35)</f>
        <v/>
      </c>
      <c r="C338" s="18" t="str">
        <f>IF('Step 7 - Dept Head'!B35="","",'Step 7 - Dept Head'!B35)</f>
        <v/>
      </c>
      <c r="D338" s="17" t="str">
        <f>IF('Step 7 - Dept Head'!B35="","",'Step 7 - Dept Head'!G35)</f>
        <v/>
      </c>
      <c r="E338" s="17" t="str">
        <f>IF('Step 7 - Dept Head'!B35="","",'Step 7 - Dept Head'!H35)</f>
        <v/>
      </c>
      <c r="F338" s="18" t="str">
        <f>IF('Step 7 - Dept Head'!B35="","",IF('Step 7 - Dept Head'!C35="","","Fund Code"))</f>
        <v/>
      </c>
      <c r="G338" s="17" t="str">
        <f>IF('Step 7 - Dept Head'!B35="","",IF('Step 7 - Dept Head'!C35="","","Equals"))</f>
        <v/>
      </c>
      <c r="H338" s="18" t="str">
        <f>IF('Step 7 - Dept Head'!B35="","",IF('Step 7 - Dept Head'!C35="","",'Step 7 - Dept Head'!C35))</f>
        <v/>
      </c>
      <c r="I338" s="18" t="str">
        <f>IF('Step 7 - Dept Head'!B35="","","Organization Code")</f>
        <v/>
      </c>
      <c r="J338" s="17" t="str">
        <f>IF('Step 7 - Dept Head'!B35="","","Equals")</f>
        <v/>
      </c>
      <c r="K338" s="18" t="str">
        <f>IF('Step 7 - Dept Head'!B35="","",'Step 7 - Dept Head'!D35)</f>
        <v/>
      </c>
      <c r="L338" s="18" t="str">
        <f>IF('Step 7 - Dept Head'!B35="","","Other Criteria")</f>
        <v/>
      </c>
      <c r="M338" s="17" t="str">
        <f>IF('Step 7 - Dept Head'!B35="","","Equals")</f>
        <v/>
      </c>
      <c r="N338" s="18" t="str">
        <f>IF('Step 7 - Dept Head'!B35="","",'Step 7 - Dept Head'!E35)</f>
        <v/>
      </c>
      <c r="O338" s="18" t="str">
        <f>IF('Step 7 - Dept Head'!B35="","",IF('Step 7 - Dept Head'!F35="","","Total"))</f>
        <v/>
      </c>
      <c r="P338" s="17" t="str">
        <f>IF('Step 7 - Dept Head'!B35="","",IF('Step 7 - Dept Head'!F35="","","&gt;="))</f>
        <v/>
      </c>
      <c r="Q338" s="18" t="str">
        <f>IF('Step 7 - Dept Head'!B35="","",IF('Step 7 - Dept Head'!F35="","",'Step 7 - Dept Head'!F35))</f>
        <v/>
      </c>
      <c r="R338" s="18" t="str">
        <f>""</f>
        <v/>
      </c>
      <c r="S338" s="18" t="str">
        <f>""</f>
        <v/>
      </c>
      <c r="T338" s="18" t="str">
        <f>""</f>
        <v/>
      </c>
      <c r="U338" s="18" t="str">
        <f>IF('Step 7 - Dept Head'!B35="","",'Step 7 - Dept Head'!I35)</f>
        <v/>
      </c>
      <c r="V338" s="17" t="str">
        <f>IF('Step 7 - Dept Head'!B35="","",'Step 7 - Dept Head'!K35)</f>
        <v/>
      </c>
      <c r="W338" s="18" t="str">
        <f>IF('Step 7 - Dept Head'!B35="","",'Step 7 - Dept Head'!L35)</f>
        <v/>
      </c>
      <c r="X338" s="17" t="str">
        <f>IF('Step 7 - Dept Head'!B35="","",'Step 7 - Dept Head'!N35)</f>
        <v/>
      </c>
      <c r="Y338" s="18" t="str">
        <f>""</f>
        <v/>
      </c>
      <c r="Z338" s="18" t="str">
        <f>""</f>
        <v/>
      </c>
      <c r="AA338" s="18" t="str">
        <f>""</f>
        <v/>
      </c>
      <c r="AB338" s="18" t="str">
        <f>""</f>
        <v/>
      </c>
      <c r="AC338" s="18" t="str">
        <f>""</f>
        <v/>
      </c>
      <c r="AD338" s="18" t="str">
        <f>""</f>
        <v/>
      </c>
      <c r="AE338" s="18" t="str">
        <f>""</f>
        <v/>
      </c>
      <c r="AF338" s="18" t="str">
        <f>""</f>
        <v/>
      </c>
      <c r="AG338" s="18" t="str">
        <f>""</f>
        <v/>
      </c>
      <c r="AH338" s="18" t="str">
        <f>""</f>
        <v/>
      </c>
      <c r="AI338" s="18" t="str">
        <f>""</f>
        <v/>
      </c>
      <c r="AJ338" s="18" t="str">
        <f>""</f>
        <v/>
      </c>
      <c r="AK338" s="18" t="str">
        <f>""</f>
        <v/>
      </c>
      <c r="AL338" s="18" t="str">
        <f>""</f>
        <v/>
      </c>
      <c r="AM338" s="18" t="str">
        <f>""</f>
        <v/>
      </c>
    </row>
    <row r="339" spans="1:39" ht="15.75" customHeight="1" x14ac:dyDescent="0.25">
      <c r="A339" s="19" t="str">
        <f>IF('Step 7 - Dept Head'!B36="","","Active")</f>
        <v/>
      </c>
      <c r="B339" s="20" t="str">
        <f>IF('Step 7 - Dept Head'!B36="","",'Step 7 - Dept Head'!B36)</f>
        <v/>
      </c>
      <c r="C339" s="20" t="str">
        <f>IF('Step 7 - Dept Head'!B36="","",'Step 7 - Dept Head'!B36)</f>
        <v/>
      </c>
      <c r="D339" s="19" t="str">
        <f>IF('Step 7 - Dept Head'!B36="","",'Step 7 - Dept Head'!G36)</f>
        <v/>
      </c>
      <c r="E339" s="19" t="str">
        <f>IF('Step 7 - Dept Head'!B36="","",'Step 7 - Dept Head'!H36)</f>
        <v/>
      </c>
      <c r="F339" s="20" t="str">
        <f>IF('Step 7 - Dept Head'!B36="","",IF('Step 7 - Dept Head'!C36="","","Fund Code"))</f>
        <v/>
      </c>
      <c r="G339" s="19" t="str">
        <f>IF('Step 7 - Dept Head'!B36="","",IF('Step 7 - Dept Head'!C36="","","Equals"))</f>
        <v/>
      </c>
      <c r="H339" s="20" t="str">
        <f>IF('Step 7 - Dept Head'!B36="","",IF('Step 7 - Dept Head'!C36="","",'Step 7 - Dept Head'!C36))</f>
        <v/>
      </c>
      <c r="I339" s="20" t="str">
        <f>IF('Step 7 - Dept Head'!B36="","","Organization Code")</f>
        <v/>
      </c>
      <c r="J339" s="19" t="str">
        <f>IF('Step 7 - Dept Head'!B36="","","Equals")</f>
        <v/>
      </c>
      <c r="K339" s="20" t="str">
        <f>IF('Step 7 - Dept Head'!B36="","",'Step 7 - Dept Head'!D36)</f>
        <v/>
      </c>
      <c r="L339" s="20" t="str">
        <f>IF('Step 7 - Dept Head'!B36="","","Other Criteria")</f>
        <v/>
      </c>
      <c r="M339" s="19" t="str">
        <f>IF('Step 7 - Dept Head'!B36="","","Equals")</f>
        <v/>
      </c>
      <c r="N339" s="20" t="str">
        <f>IF('Step 7 - Dept Head'!B36="","",'Step 7 - Dept Head'!E36)</f>
        <v/>
      </c>
      <c r="O339" s="20" t="str">
        <f>IF('Step 7 - Dept Head'!B36="","",IF('Step 7 - Dept Head'!F36="","","Total"))</f>
        <v/>
      </c>
      <c r="P339" s="19" t="str">
        <f>IF('Step 7 - Dept Head'!B36="","",IF('Step 7 - Dept Head'!F36="","","&gt;="))</f>
        <v/>
      </c>
      <c r="Q339" s="20" t="str">
        <f>IF('Step 7 - Dept Head'!B36="","",IF('Step 7 - Dept Head'!F36="","",'Step 7 - Dept Head'!F36))</f>
        <v/>
      </c>
      <c r="R339" s="20" t="str">
        <f>""</f>
        <v/>
      </c>
      <c r="S339" s="20" t="str">
        <f>""</f>
        <v/>
      </c>
      <c r="T339" s="20" t="str">
        <f>""</f>
        <v/>
      </c>
      <c r="U339" s="20" t="str">
        <f>IF('Step 7 - Dept Head'!B36="","",'Step 7 - Dept Head'!I36)</f>
        <v/>
      </c>
      <c r="V339" s="19" t="str">
        <f>IF('Step 7 - Dept Head'!B36="","",'Step 7 - Dept Head'!K36)</f>
        <v/>
      </c>
      <c r="W339" s="20" t="str">
        <f>IF('Step 7 - Dept Head'!B36="","",'Step 7 - Dept Head'!L36)</f>
        <v/>
      </c>
      <c r="X339" s="19" t="str">
        <f>IF('Step 7 - Dept Head'!B36="","",'Step 7 - Dept Head'!N36)</f>
        <v/>
      </c>
      <c r="Y339" s="20" t="str">
        <f>""</f>
        <v/>
      </c>
      <c r="Z339" s="20" t="str">
        <f>""</f>
        <v/>
      </c>
      <c r="AA339" s="20" t="str">
        <f>""</f>
        <v/>
      </c>
      <c r="AB339" s="20" t="str">
        <f>""</f>
        <v/>
      </c>
      <c r="AC339" s="20" t="str">
        <f>""</f>
        <v/>
      </c>
      <c r="AD339" s="20" t="str">
        <f>""</f>
        <v/>
      </c>
      <c r="AE339" s="20" t="str">
        <f>""</f>
        <v/>
      </c>
      <c r="AF339" s="20" t="str">
        <f>""</f>
        <v/>
      </c>
      <c r="AG339" s="20" t="str">
        <f>""</f>
        <v/>
      </c>
      <c r="AH339" s="20" t="str">
        <f>""</f>
        <v/>
      </c>
      <c r="AI339" s="20" t="str">
        <f>""</f>
        <v/>
      </c>
      <c r="AJ339" s="20" t="str">
        <f>""</f>
        <v/>
      </c>
      <c r="AK339" s="20" t="str">
        <f>""</f>
        <v/>
      </c>
      <c r="AL339" s="20" t="str">
        <f>""</f>
        <v/>
      </c>
      <c r="AM339" s="20" t="str">
        <f>""</f>
        <v/>
      </c>
    </row>
    <row r="340" spans="1:39" ht="15.75" customHeight="1" x14ac:dyDescent="0.25">
      <c r="A340" s="17" t="str">
        <f>IF('Step 7 - Dept Head'!B37="","","Active")</f>
        <v/>
      </c>
      <c r="B340" s="18" t="str">
        <f>IF('Step 7 - Dept Head'!B37="","",'Step 7 - Dept Head'!B37)</f>
        <v/>
      </c>
      <c r="C340" s="18" t="str">
        <f>IF('Step 7 - Dept Head'!B37="","",'Step 7 - Dept Head'!B37)</f>
        <v/>
      </c>
      <c r="D340" s="17" t="str">
        <f>IF('Step 7 - Dept Head'!B37="","",'Step 7 - Dept Head'!G37)</f>
        <v/>
      </c>
      <c r="E340" s="17" t="str">
        <f>IF('Step 7 - Dept Head'!B37="","",'Step 7 - Dept Head'!H37)</f>
        <v/>
      </c>
      <c r="F340" s="18" t="str">
        <f>IF('Step 7 - Dept Head'!B37="","",IF('Step 7 - Dept Head'!C37="","","Fund Code"))</f>
        <v/>
      </c>
      <c r="G340" s="17" t="str">
        <f>IF('Step 7 - Dept Head'!B37="","",IF('Step 7 - Dept Head'!C37="","","Equals"))</f>
        <v/>
      </c>
      <c r="H340" s="18" t="str">
        <f>IF('Step 7 - Dept Head'!B37="","",IF('Step 7 - Dept Head'!C37="","",'Step 7 - Dept Head'!C37))</f>
        <v/>
      </c>
      <c r="I340" s="18" t="str">
        <f>IF('Step 7 - Dept Head'!B37="","","Organization Code")</f>
        <v/>
      </c>
      <c r="J340" s="17" t="str">
        <f>IF('Step 7 - Dept Head'!B37="","","Equals")</f>
        <v/>
      </c>
      <c r="K340" s="18" t="str">
        <f>IF('Step 7 - Dept Head'!B37="","",'Step 7 - Dept Head'!D37)</f>
        <v/>
      </c>
      <c r="L340" s="18" t="str">
        <f>IF('Step 7 - Dept Head'!B37="","","Other Criteria")</f>
        <v/>
      </c>
      <c r="M340" s="17" t="str">
        <f>IF('Step 7 - Dept Head'!B37="","","Equals")</f>
        <v/>
      </c>
      <c r="N340" s="18" t="str">
        <f>IF('Step 7 - Dept Head'!B37="","",'Step 7 - Dept Head'!E37)</f>
        <v/>
      </c>
      <c r="O340" s="18" t="str">
        <f>IF('Step 7 - Dept Head'!B37="","",IF('Step 7 - Dept Head'!F37="","","Total"))</f>
        <v/>
      </c>
      <c r="P340" s="17" t="str">
        <f>IF('Step 7 - Dept Head'!B37="","",IF('Step 7 - Dept Head'!F37="","","&gt;="))</f>
        <v/>
      </c>
      <c r="Q340" s="18" t="str">
        <f>IF('Step 7 - Dept Head'!B37="","",IF('Step 7 - Dept Head'!F37="","",'Step 7 - Dept Head'!F37))</f>
        <v/>
      </c>
      <c r="R340" s="18" t="str">
        <f>""</f>
        <v/>
      </c>
      <c r="S340" s="18" t="str">
        <f>""</f>
        <v/>
      </c>
      <c r="T340" s="18" t="str">
        <f>""</f>
        <v/>
      </c>
      <c r="U340" s="18" t="str">
        <f>IF('Step 7 - Dept Head'!B37="","",'Step 7 - Dept Head'!I37)</f>
        <v/>
      </c>
      <c r="V340" s="17" t="str">
        <f>IF('Step 7 - Dept Head'!B37="","",'Step 7 - Dept Head'!K37)</f>
        <v/>
      </c>
      <c r="W340" s="18" t="str">
        <f>IF('Step 7 - Dept Head'!B37="","",'Step 7 - Dept Head'!L37)</f>
        <v/>
      </c>
      <c r="X340" s="17" t="str">
        <f>IF('Step 7 - Dept Head'!B37="","",'Step 7 - Dept Head'!N37)</f>
        <v/>
      </c>
      <c r="Y340" s="18" t="str">
        <f>""</f>
        <v/>
      </c>
      <c r="Z340" s="18" t="str">
        <f>""</f>
        <v/>
      </c>
      <c r="AA340" s="18" t="str">
        <f>""</f>
        <v/>
      </c>
      <c r="AB340" s="18" t="str">
        <f>""</f>
        <v/>
      </c>
      <c r="AC340" s="18" t="str">
        <f>""</f>
        <v/>
      </c>
      <c r="AD340" s="18" t="str">
        <f>""</f>
        <v/>
      </c>
      <c r="AE340" s="18" t="str">
        <f>""</f>
        <v/>
      </c>
      <c r="AF340" s="18" t="str">
        <f>""</f>
        <v/>
      </c>
      <c r="AG340" s="18" t="str">
        <f>""</f>
        <v/>
      </c>
      <c r="AH340" s="18" t="str">
        <f>""</f>
        <v/>
      </c>
      <c r="AI340" s="18" t="str">
        <f>""</f>
        <v/>
      </c>
      <c r="AJ340" s="18" t="str">
        <f>""</f>
        <v/>
      </c>
      <c r="AK340" s="18" t="str">
        <f>""</f>
        <v/>
      </c>
      <c r="AL340" s="18" t="str">
        <f>""</f>
        <v/>
      </c>
      <c r="AM340" s="18" t="str">
        <f>""</f>
        <v/>
      </c>
    </row>
    <row r="341" spans="1:39" ht="15.75" customHeight="1" x14ac:dyDescent="0.25">
      <c r="A341" s="19" t="str">
        <f>IF('Step 7 - Dept Head'!B38="","","Active")</f>
        <v/>
      </c>
      <c r="B341" s="20" t="str">
        <f>IF('Step 7 - Dept Head'!B38="","",'Step 7 - Dept Head'!B38)</f>
        <v/>
      </c>
      <c r="C341" s="20" t="str">
        <f>IF('Step 7 - Dept Head'!B38="","",'Step 7 - Dept Head'!B38)</f>
        <v/>
      </c>
      <c r="D341" s="19" t="str">
        <f>IF('Step 7 - Dept Head'!B38="","",'Step 7 - Dept Head'!G38)</f>
        <v/>
      </c>
      <c r="E341" s="19" t="str">
        <f>IF('Step 7 - Dept Head'!B38="","",'Step 7 - Dept Head'!H38)</f>
        <v/>
      </c>
      <c r="F341" s="20" t="str">
        <f>IF('Step 7 - Dept Head'!B38="","",IF('Step 7 - Dept Head'!C38="","","Fund Code"))</f>
        <v/>
      </c>
      <c r="G341" s="19" t="str">
        <f>IF('Step 7 - Dept Head'!B38="","",IF('Step 7 - Dept Head'!C38="","","Equals"))</f>
        <v/>
      </c>
      <c r="H341" s="20" t="str">
        <f>IF('Step 7 - Dept Head'!B38="","",IF('Step 7 - Dept Head'!C38="","",'Step 7 - Dept Head'!C38))</f>
        <v/>
      </c>
      <c r="I341" s="20" t="str">
        <f>IF('Step 7 - Dept Head'!B38="","","Organization Code")</f>
        <v/>
      </c>
      <c r="J341" s="19" t="str">
        <f>IF('Step 7 - Dept Head'!B38="","","Equals")</f>
        <v/>
      </c>
      <c r="K341" s="20" t="str">
        <f>IF('Step 7 - Dept Head'!B38="","",'Step 7 - Dept Head'!D38)</f>
        <v/>
      </c>
      <c r="L341" s="20" t="str">
        <f>IF('Step 7 - Dept Head'!B38="","","Other Criteria")</f>
        <v/>
      </c>
      <c r="M341" s="19" t="str">
        <f>IF('Step 7 - Dept Head'!B38="","","Equals")</f>
        <v/>
      </c>
      <c r="N341" s="20" t="str">
        <f>IF('Step 7 - Dept Head'!B38="","",'Step 7 - Dept Head'!E38)</f>
        <v/>
      </c>
      <c r="O341" s="20" t="str">
        <f>IF('Step 7 - Dept Head'!B38="","",IF('Step 7 - Dept Head'!F38="","","Total"))</f>
        <v/>
      </c>
      <c r="P341" s="19" t="str">
        <f>IF('Step 7 - Dept Head'!B38="","",IF('Step 7 - Dept Head'!F38="","","&gt;="))</f>
        <v/>
      </c>
      <c r="Q341" s="20" t="str">
        <f>IF('Step 7 - Dept Head'!B38="","",IF('Step 7 - Dept Head'!F38="","",'Step 7 - Dept Head'!F38))</f>
        <v/>
      </c>
      <c r="R341" s="20" t="str">
        <f>""</f>
        <v/>
      </c>
      <c r="S341" s="20" t="str">
        <f>""</f>
        <v/>
      </c>
      <c r="T341" s="20" t="str">
        <f>""</f>
        <v/>
      </c>
      <c r="U341" s="20" t="str">
        <f>IF('Step 7 - Dept Head'!B38="","",'Step 7 - Dept Head'!I38)</f>
        <v/>
      </c>
      <c r="V341" s="19" t="str">
        <f>IF('Step 7 - Dept Head'!B38="","",'Step 7 - Dept Head'!K38)</f>
        <v/>
      </c>
      <c r="W341" s="20" t="str">
        <f>IF('Step 7 - Dept Head'!B38="","",'Step 7 - Dept Head'!L38)</f>
        <v/>
      </c>
      <c r="X341" s="19" t="str">
        <f>IF('Step 7 - Dept Head'!B38="","",'Step 7 - Dept Head'!N38)</f>
        <v/>
      </c>
      <c r="Y341" s="20" t="str">
        <f>""</f>
        <v/>
      </c>
      <c r="Z341" s="20" t="str">
        <f>""</f>
        <v/>
      </c>
      <c r="AA341" s="20" t="str">
        <f>""</f>
        <v/>
      </c>
      <c r="AB341" s="20" t="str">
        <f>""</f>
        <v/>
      </c>
      <c r="AC341" s="20" t="str">
        <f>""</f>
        <v/>
      </c>
      <c r="AD341" s="20" t="str">
        <f>""</f>
        <v/>
      </c>
      <c r="AE341" s="20" t="str">
        <f>""</f>
        <v/>
      </c>
      <c r="AF341" s="20" t="str">
        <f>""</f>
        <v/>
      </c>
      <c r="AG341" s="20" t="str">
        <f>""</f>
        <v/>
      </c>
      <c r="AH341" s="20" t="str">
        <f>""</f>
        <v/>
      </c>
      <c r="AI341" s="20" t="str">
        <f>""</f>
        <v/>
      </c>
      <c r="AJ341" s="20" t="str">
        <f>""</f>
        <v/>
      </c>
      <c r="AK341" s="20" t="str">
        <f>""</f>
        <v/>
      </c>
      <c r="AL341" s="20" t="str">
        <f>""</f>
        <v/>
      </c>
      <c r="AM341" s="20" t="str">
        <f>""</f>
        <v/>
      </c>
    </row>
    <row r="342" spans="1:39" ht="15.75" customHeight="1" x14ac:dyDescent="0.25">
      <c r="A342" s="17" t="str">
        <f>IF('Step 7 - Dept Head'!B39="","","Active")</f>
        <v/>
      </c>
      <c r="B342" s="18" t="str">
        <f>IF('Step 7 - Dept Head'!B39="","",'Step 7 - Dept Head'!B39)</f>
        <v/>
      </c>
      <c r="C342" s="18" t="str">
        <f>IF('Step 7 - Dept Head'!B39="","",'Step 7 - Dept Head'!B39)</f>
        <v/>
      </c>
      <c r="D342" s="17" t="str">
        <f>IF('Step 7 - Dept Head'!B39="","",'Step 7 - Dept Head'!G39)</f>
        <v/>
      </c>
      <c r="E342" s="17" t="str">
        <f>IF('Step 7 - Dept Head'!B39="","",'Step 7 - Dept Head'!H39)</f>
        <v/>
      </c>
      <c r="F342" s="18" t="str">
        <f>IF('Step 7 - Dept Head'!B39="","",IF('Step 7 - Dept Head'!C39="","","Fund Code"))</f>
        <v/>
      </c>
      <c r="G342" s="17" t="str">
        <f>IF('Step 7 - Dept Head'!B39="","",IF('Step 7 - Dept Head'!C39="","","Equals"))</f>
        <v/>
      </c>
      <c r="H342" s="18" t="str">
        <f>IF('Step 7 - Dept Head'!B39="","",IF('Step 7 - Dept Head'!C39="","",'Step 7 - Dept Head'!C39))</f>
        <v/>
      </c>
      <c r="I342" s="18" t="str">
        <f>IF('Step 7 - Dept Head'!B39="","","Organization Code")</f>
        <v/>
      </c>
      <c r="J342" s="17" t="str">
        <f>IF('Step 7 - Dept Head'!B39="","","Equals")</f>
        <v/>
      </c>
      <c r="K342" s="18" t="str">
        <f>IF('Step 7 - Dept Head'!B39="","",'Step 7 - Dept Head'!D39)</f>
        <v/>
      </c>
      <c r="L342" s="18" t="str">
        <f>IF('Step 7 - Dept Head'!B39="","","Other Criteria")</f>
        <v/>
      </c>
      <c r="M342" s="17" t="str">
        <f>IF('Step 7 - Dept Head'!B39="","","Equals")</f>
        <v/>
      </c>
      <c r="N342" s="18" t="str">
        <f>IF('Step 7 - Dept Head'!B39="","",'Step 7 - Dept Head'!E39)</f>
        <v/>
      </c>
      <c r="O342" s="18" t="str">
        <f>IF('Step 7 - Dept Head'!B39="","",IF('Step 7 - Dept Head'!F39="","","Total"))</f>
        <v/>
      </c>
      <c r="P342" s="17" t="str">
        <f>IF('Step 7 - Dept Head'!B39="","",IF('Step 7 - Dept Head'!F39="","","&gt;="))</f>
        <v/>
      </c>
      <c r="Q342" s="18" t="str">
        <f>IF('Step 7 - Dept Head'!B39="","",IF('Step 7 - Dept Head'!F39="","",'Step 7 - Dept Head'!F39))</f>
        <v/>
      </c>
      <c r="R342" s="18" t="str">
        <f>""</f>
        <v/>
      </c>
      <c r="S342" s="18" t="str">
        <f>""</f>
        <v/>
      </c>
      <c r="T342" s="18" t="str">
        <f>""</f>
        <v/>
      </c>
      <c r="U342" s="18" t="str">
        <f>IF('Step 7 - Dept Head'!B39="","",'Step 7 - Dept Head'!I39)</f>
        <v/>
      </c>
      <c r="V342" s="17" t="str">
        <f>IF('Step 7 - Dept Head'!B39="","",'Step 7 - Dept Head'!K39)</f>
        <v/>
      </c>
      <c r="W342" s="18" t="str">
        <f>IF('Step 7 - Dept Head'!B39="","",'Step 7 - Dept Head'!L39)</f>
        <v/>
      </c>
      <c r="X342" s="17" t="str">
        <f>IF('Step 7 - Dept Head'!B39="","",'Step 7 - Dept Head'!N39)</f>
        <v/>
      </c>
      <c r="Y342" s="18" t="str">
        <f>""</f>
        <v/>
      </c>
      <c r="Z342" s="18" t="str">
        <f>""</f>
        <v/>
      </c>
      <c r="AA342" s="18" t="str">
        <f>""</f>
        <v/>
      </c>
      <c r="AB342" s="18" t="str">
        <f>""</f>
        <v/>
      </c>
      <c r="AC342" s="18" t="str">
        <f>""</f>
        <v/>
      </c>
      <c r="AD342" s="18" t="str">
        <f>""</f>
        <v/>
      </c>
      <c r="AE342" s="18" t="str">
        <f>""</f>
        <v/>
      </c>
      <c r="AF342" s="18" t="str">
        <f>""</f>
        <v/>
      </c>
      <c r="AG342" s="18" t="str">
        <f>""</f>
        <v/>
      </c>
      <c r="AH342" s="18" t="str">
        <f>""</f>
        <v/>
      </c>
      <c r="AI342" s="18" t="str">
        <f>""</f>
        <v/>
      </c>
      <c r="AJ342" s="18" t="str">
        <f>""</f>
        <v/>
      </c>
      <c r="AK342" s="18" t="str">
        <f>""</f>
        <v/>
      </c>
      <c r="AL342" s="18" t="str">
        <f>""</f>
        <v/>
      </c>
      <c r="AM342" s="18" t="str">
        <f>""</f>
        <v/>
      </c>
    </row>
    <row r="343" spans="1:39" ht="15.75" customHeight="1" x14ac:dyDescent="0.25">
      <c r="A343" s="19" t="str">
        <f>IF('Step 7 - Dept Head'!B40="","","Active")</f>
        <v/>
      </c>
      <c r="B343" s="20" t="str">
        <f>IF('Step 7 - Dept Head'!B40="","",'Step 7 - Dept Head'!B40)</f>
        <v/>
      </c>
      <c r="C343" s="20" t="str">
        <f>IF('Step 7 - Dept Head'!B40="","",'Step 7 - Dept Head'!B40)</f>
        <v/>
      </c>
      <c r="D343" s="19" t="str">
        <f>IF('Step 7 - Dept Head'!B40="","",'Step 7 - Dept Head'!G40)</f>
        <v/>
      </c>
      <c r="E343" s="19" t="str">
        <f>IF('Step 7 - Dept Head'!B40="","",'Step 7 - Dept Head'!H40)</f>
        <v/>
      </c>
      <c r="F343" s="20" t="str">
        <f>IF('Step 7 - Dept Head'!B40="","",IF('Step 7 - Dept Head'!C40="","","Fund Code"))</f>
        <v/>
      </c>
      <c r="G343" s="19" t="str">
        <f>IF('Step 7 - Dept Head'!B40="","",IF('Step 7 - Dept Head'!C40="","","Equals"))</f>
        <v/>
      </c>
      <c r="H343" s="20" t="str">
        <f>IF('Step 7 - Dept Head'!B40="","",IF('Step 7 - Dept Head'!C40="","",'Step 7 - Dept Head'!C40))</f>
        <v/>
      </c>
      <c r="I343" s="20" t="str">
        <f>IF('Step 7 - Dept Head'!B40="","","Organization Code")</f>
        <v/>
      </c>
      <c r="J343" s="19" t="str">
        <f>IF('Step 7 - Dept Head'!B40="","","Equals")</f>
        <v/>
      </c>
      <c r="K343" s="20" t="str">
        <f>IF('Step 7 - Dept Head'!B40="","",'Step 7 - Dept Head'!D40)</f>
        <v/>
      </c>
      <c r="L343" s="20" t="str">
        <f>IF('Step 7 - Dept Head'!B40="","","Other Criteria")</f>
        <v/>
      </c>
      <c r="M343" s="19" t="str">
        <f>IF('Step 7 - Dept Head'!B40="","","Equals")</f>
        <v/>
      </c>
      <c r="N343" s="20" t="str">
        <f>IF('Step 7 - Dept Head'!B40="","",'Step 7 - Dept Head'!E40)</f>
        <v/>
      </c>
      <c r="O343" s="20" t="str">
        <f>IF('Step 7 - Dept Head'!B40="","",IF('Step 7 - Dept Head'!F40="","","Total"))</f>
        <v/>
      </c>
      <c r="P343" s="19" t="str">
        <f>IF('Step 7 - Dept Head'!B40="","",IF('Step 7 - Dept Head'!F40="","","&gt;="))</f>
        <v/>
      </c>
      <c r="Q343" s="20" t="str">
        <f>IF('Step 7 - Dept Head'!B40="","",IF('Step 7 - Dept Head'!F40="","",'Step 7 - Dept Head'!F40))</f>
        <v/>
      </c>
      <c r="R343" s="20" t="str">
        <f>""</f>
        <v/>
      </c>
      <c r="S343" s="20" t="str">
        <f>""</f>
        <v/>
      </c>
      <c r="T343" s="20" t="str">
        <f>""</f>
        <v/>
      </c>
      <c r="U343" s="20" t="str">
        <f>IF('Step 7 - Dept Head'!B40="","",'Step 7 - Dept Head'!I40)</f>
        <v/>
      </c>
      <c r="V343" s="19" t="str">
        <f>IF('Step 7 - Dept Head'!B40="","",'Step 7 - Dept Head'!K40)</f>
        <v/>
      </c>
      <c r="W343" s="20" t="str">
        <f>IF('Step 7 - Dept Head'!B40="","",'Step 7 - Dept Head'!L40)</f>
        <v/>
      </c>
      <c r="X343" s="19" t="str">
        <f>IF('Step 7 - Dept Head'!B40="","",'Step 7 - Dept Head'!N40)</f>
        <v/>
      </c>
      <c r="Y343" s="20" t="str">
        <f>""</f>
        <v/>
      </c>
      <c r="Z343" s="20" t="str">
        <f>""</f>
        <v/>
      </c>
      <c r="AA343" s="20" t="str">
        <f>""</f>
        <v/>
      </c>
      <c r="AB343" s="20" t="str">
        <f>""</f>
        <v/>
      </c>
      <c r="AC343" s="20" t="str">
        <f>""</f>
        <v/>
      </c>
      <c r="AD343" s="20" t="str">
        <f>""</f>
        <v/>
      </c>
      <c r="AE343" s="20" t="str">
        <f>""</f>
        <v/>
      </c>
      <c r="AF343" s="20" t="str">
        <f>""</f>
        <v/>
      </c>
      <c r="AG343" s="20" t="str">
        <f>""</f>
        <v/>
      </c>
      <c r="AH343" s="20" t="str">
        <f>""</f>
        <v/>
      </c>
      <c r="AI343" s="20" t="str">
        <f>""</f>
        <v/>
      </c>
      <c r="AJ343" s="20" t="str">
        <f>""</f>
        <v/>
      </c>
      <c r="AK343" s="20" t="str">
        <f>""</f>
        <v/>
      </c>
      <c r="AL343" s="20" t="str">
        <f>""</f>
        <v/>
      </c>
      <c r="AM343" s="20" t="str">
        <f>""</f>
        <v/>
      </c>
    </row>
    <row r="344" spans="1:39" ht="15.75" customHeight="1" x14ac:dyDescent="0.25">
      <c r="A344" s="17" t="str">
        <f>IF('Step 7 - Dept Head'!B41="","","Active")</f>
        <v/>
      </c>
      <c r="B344" s="18" t="str">
        <f>IF('Step 7 - Dept Head'!B41="","",'Step 7 - Dept Head'!B41)</f>
        <v/>
      </c>
      <c r="C344" s="18" t="str">
        <f>IF('Step 7 - Dept Head'!B41="","",'Step 7 - Dept Head'!B41)</f>
        <v/>
      </c>
      <c r="D344" s="17" t="str">
        <f>IF('Step 7 - Dept Head'!B41="","",'Step 7 - Dept Head'!G41)</f>
        <v/>
      </c>
      <c r="E344" s="17" t="str">
        <f>IF('Step 7 - Dept Head'!B41="","",'Step 7 - Dept Head'!H41)</f>
        <v/>
      </c>
      <c r="F344" s="18" t="str">
        <f>IF('Step 7 - Dept Head'!B41="","",IF('Step 7 - Dept Head'!C41="","","Fund Code"))</f>
        <v/>
      </c>
      <c r="G344" s="17" t="str">
        <f>IF('Step 7 - Dept Head'!B41="","",IF('Step 7 - Dept Head'!C41="","","Equals"))</f>
        <v/>
      </c>
      <c r="H344" s="18" t="str">
        <f>IF('Step 7 - Dept Head'!B41="","",IF('Step 7 - Dept Head'!C41="","",'Step 7 - Dept Head'!C41))</f>
        <v/>
      </c>
      <c r="I344" s="18" t="str">
        <f>IF('Step 7 - Dept Head'!B41="","","Organization Code")</f>
        <v/>
      </c>
      <c r="J344" s="17" t="str">
        <f>IF('Step 7 - Dept Head'!B41="","","Equals")</f>
        <v/>
      </c>
      <c r="K344" s="18" t="str">
        <f>IF('Step 7 - Dept Head'!B41="","",'Step 7 - Dept Head'!D41)</f>
        <v/>
      </c>
      <c r="L344" s="18" t="str">
        <f>IF('Step 7 - Dept Head'!B41="","","Other Criteria")</f>
        <v/>
      </c>
      <c r="M344" s="17" t="str">
        <f>IF('Step 7 - Dept Head'!B41="","","Equals")</f>
        <v/>
      </c>
      <c r="N344" s="18" t="str">
        <f>IF('Step 7 - Dept Head'!B41="","",'Step 7 - Dept Head'!E41)</f>
        <v/>
      </c>
      <c r="O344" s="18" t="str">
        <f>IF('Step 7 - Dept Head'!B41="","",IF('Step 7 - Dept Head'!F41="","","Total"))</f>
        <v/>
      </c>
      <c r="P344" s="17" t="str">
        <f>IF('Step 7 - Dept Head'!B41="","",IF('Step 7 - Dept Head'!F41="","","&gt;="))</f>
        <v/>
      </c>
      <c r="Q344" s="18" t="str">
        <f>IF('Step 7 - Dept Head'!B41="","",IF('Step 7 - Dept Head'!F41="","",'Step 7 - Dept Head'!F41))</f>
        <v/>
      </c>
      <c r="R344" s="18" t="str">
        <f>""</f>
        <v/>
      </c>
      <c r="S344" s="18" t="str">
        <f>""</f>
        <v/>
      </c>
      <c r="T344" s="18" t="str">
        <f>""</f>
        <v/>
      </c>
      <c r="U344" s="18" t="str">
        <f>IF('Step 7 - Dept Head'!B41="","",'Step 7 - Dept Head'!I41)</f>
        <v/>
      </c>
      <c r="V344" s="17" t="str">
        <f>IF('Step 7 - Dept Head'!B41="","",'Step 7 - Dept Head'!K41)</f>
        <v/>
      </c>
      <c r="W344" s="18" t="str">
        <f>IF('Step 7 - Dept Head'!B41="","",'Step 7 - Dept Head'!L41)</f>
        <v/>
      </c>
      <c r="X344" s="17" t="str">
        <f>IF('Step 7 - Dept Head'!B41="","",'Step 7 - Dept Head'!N41)</f>
        <v/>
      </c>
      <c r="Y344" s="18" t="str">
        <f>""</f>
        <v/>
      </c>
      <c r="Z344" s="18" t="str">
        <f>""</f>
        <v/>
      </c>
      <c r="AA344" s="18" t="str">
        <f>""</f>
        <v/>
      </c>
      <c r="AB344" s="18" t="str">
        <f>""</f>
        <v/>
      </c>
      <c r="AC344" s="18" t="str">
        <f>""</f>
        <v/>
      </c>
      <c r="AD344" s="18" t="str">
        <f>""</f>
        <v/>
      </c>
      <c r="AE344" s="18" t="str">
        <f>""</f>
        <v/>
      </c>
      <c r="AF344" s="18" t="str">
        <f>""</f>
        <v/>
      </c>
      <c r="AG344" s="18" t="str">
        <f>""</f>
        <v/>
      </c>
      <c r="AH344" s="18" t="str">
        <f>""</f>
        <v/>
      </c>
      <c r="AI344" s="18" t="str">
        <f>""</f>
        <v/>
      </c>
      <c r="AJ344" s="18" t="str">
        <f>""</f>
        <v/>
      </c>
      <c r="AK344" s="18" t="str">
        <f>""</f>
        <v/>
      </c>
      <c r="AL344" s="18" t="str">
        <f>""</f>
        <v/>
      </c>
      <c r="AM344" s="18" t="str">
        <f>""</f>
        <v/>
      </c>
    </row>
    <row r="345" spans="1:39" ht="15.75" customHeight="1" x14ac:dyDescent="0.25">
      <c r="A345" s="19" t="str">
        <f>IF('Step 7 - Dept Head'!B42="","","Active")</f>
        <v/>
      </c>
      <c r="B345" s="20" t="str">
        <f>IF('Step 7 - Dept Head'!B42="","",'Step 7 - Dept Head'!B42)</f>
        <v/>
      </c>
      <c r="C345" s="20" t="str">
        <f>IF('Step 7 - Dept Head'!B42="","",'Step 7 - Dept Head'!B42)</f>
        <v/>
      </c>
      <c r="D345" s="19" t="str">
        <f>IF('Step 7 - Dept Head'!B42="","",'Step 7 - Dept Head'!G42)</f>
        <v/>
      </c>
      <c r="E345" s="19" t="str">
        <f>IF('Step 7 - Dept Head'!B42="","",'Step 7 - Dept Head'!H42)</f>
        <v/>
      </c>
      <c r="F345" s="20" t="str">
        <f>IF('Step 7 - Dept Head'!B42="","",IF('Step 7 - Dept Head'!C42="","","Fund Code"))</f>
        <v/>
      </c>
      <c r="G345" s="19" t="str">
        <f>IF('Step 7 - Dept Head'!B42="","",IF('Step 7 - Dept Head'!C42="","","Equals"))</f>
        <v/>
      </c>
      <c r="H345" s="20" t="str">
        <f>IF('Step 7 - Dept Head'!B42="","",IF('Step 7 - Dept Head'!C42="","",'Step 7 - Dept Head'!C42))</f>
        <v/>
      </c>
      <c r="I345" s="20" t="str">
        <f>IF('Step 7 - Dept Head'!B42="","","Organization Code")</f>
        <v/>
      </c>
      <c r="J345" s="19" t="str">
        <f>IF('Step 7 - Dept Head'!B42="","","Equals")</f>
        <v/>
      </c>
      <c r="K345" s="20" t="str">
        <f>IF('Step 7 - Dept Head'!B42="","",'Step 7 - Dept Head'!D42)</f>
        <v/>
      </c>
      <c r="L345" s="20" t="str">
        <f>IF('Step 7 - Dept Head'!B42="","","Other Criteria")</f>
        <v/>
      </c>
      <c r="M345" s="19" t="str">
        <f>IF('Step 7 - Dept Head'!B42="","","Equals")</f>
        <v/>
      </c>
      <c r="N345" s="20" t="str">
        <f>IF('Step 7 - Dept Head'!B42="","",'Step 7 - Dept Head'!E42)</f>
        <v/>
      </c>
      <c r="O345" s="20" t="str">
        <f>IF('Step 7 - Dept Head'!B42="","",IF('Step 7 - Dept Head'!F42="","","Total"))</f>
        <v/>
      </c>
      <c r="P345" s="19" t="str">
        <f>IF('Step 7 - Dept Head'!B42="","",IF('Step 7 - Dept Head'!F42="","","&gt;="))</f>
        <v/>
      </c>
      <c r="Q345" s="20" t="str">
        <f>IF('Step 7 - Dept Head'!B42="","",IF('Step 7 - Dept Head'!F42="","",'Step 7 - Dept Head'!F42))</f>
        <v/>
      </c>
      <c r="R345" s="20" t="str">
        <f>""</f>
        <v/>
      </c>
      <c r="S345" s="20" t="str">
        <f>""</f>
        <v/>
      </c>
      <c r="T345" s="20" t="str">
        <f>""</f>
        <v/>
      </c>
      <c r="U345" s="20" t="str">
        <f>IF('Step 7 - Dept Head'!B42="","",'Step 7 - Dept Head'!I42)</f>
        <v/>
      </c>
      <c r="V345" s="19" t="str">
        <f>IF('Step 7 - Dept Head'!B42="","",'Step 7 - Dept Head'!K42)</f>
        <v/>
      </c>
      <c r="W345" s="20" t="str">
        <f>IF('Step 7 - Dept Head'!B42="","",'Step 7 - Dept Head'!L42)</f>
        <v/>
      </c>
      <c r="X345" s="19" t="str">
        <f>IF('Step 7 - Dept Head'!B42="","",'Step 7 - Dept Head'!N42)</f>
        <v/>
      </c>
      <c r="Y345" s="20" t="str">
        <f>""</f>
        <v/>
      </c>
      <c r="Z345" s="20" t="str">
        <f>""</f>
        <v/>
      </c>
      <c r="AA345" s="20" t="str">
        <f>""</f>
        <v/>
      </c>
      <c r="AB345" s="20" t="str">
        <f>""</f>
        <v/>
      </c>
      <c r="AC345" s="20" t="str">
        <f>""</f>
        <v/>
      </c>
      <c r="AD345" s="20" t="str">
        <f>""</f>
        <v/>
      </c>
      <c r="AE345" s="20" t="str">
        <f>""</f>
        <v/>
      </c>
      <c r="AF345" s="20" t="str">
        <f>""</f>
        <v/>
      </c>
      <c r="AG345" s="20" t="str">
        <f>""</f>
        <v/>
      </c>
      <c r="AH345" s="20" t="str">
        <f>""</f>
        <v/>
      </c>
      <c r="AI345" s="20" t="str">
        <f>""</f>
        <v/>
      </c>
      <c r="AJ345" s="20" t="str">
        <f>""</f>
        <v/>
      </c>
      <c r="AK345" s="20" t="str">
        <f>""</f>
        <v/>
      </c>
      <c r="AL345" s="20" t="str">
        <f>""</f>
        <v/>
      </c>
      <c r="AM345" s="20" t="str">
        <f>""</f>
        <v/>
      </c>
    </row>
    <row r="346" spans="1:39" ht="15.75" customHeight="1" x14ac:dyDescent="0.25">
      <c r="A346" s="17" t="str">
        <f>IF('Step 7 - Dept Head'!B43="","","Active")</f>
        <v/>
      </c>
      <c r="B346" s="18" t="str">
        <f>IF('Step 7 - Dept Head'!B43="","",'Step 7 - Dept Head'!B43)</f>
        <v/>
      </c>
      <c r="C346" s="18" t="str">
        <f>IF('Step 7 - Dept Head'!B43="","",'Step 7 - Dept Head'!B43)</f>
        <v/>
      </c>
      <c r="D346" s="17" t="str">
        <f>IF('Step 7 - Dept Head'!B43="","",'Step 7 - Dept Head'!G43)</f>
        <v/>
      </c>
      <c r="E346" s="17" t="str">
        <f>IF('Step 7 - Dept Head'!B43="","",'Step 7 - Dept Head'!H43)</f>
        <v/>
      </c>
      <c r="F346" s="18" t="str">
        <f>IF('Step 7 - Dept Head'!B43="","",IF('Step 7 - Dept Head'!C43="","","Fund Code"))</f>
        <v/>
      </c>
      <c r="G346" s="17" t="str">
        <f>IF('Step 7 - Dept Head'!B43="","",IF('Step 7 - Dept Head'!C43="","","Equals"))</f>
        <v/>
      </c>
      <c r="H346" s="18" t="str">
        <f>IF('Step 7 - Dept Head'!B43="","",IF('Step 7 - Dept Head'!C43="","",'Step 7 - Dept Head'!C43))</f>
        <v/>
      </c>
      <c r="I346" s="18" t="str">
        <f>IF('Step 7 - Dept Head'!B43="","","Organization Code")</f>
        <v/>
      </c>
      <c r="J346" s="17" t="str">
        <f>IF('Step 7 - Dept Head'!B43="","","Equals")</f>
        <v/>
      </c>
      <c r="K346" s="18" t="str">
        <f>IF('Step 7 - Dept Head'!B43="","",'Step 7 - Dept Head'!D43)</f>
        <v/>
      </c>
      <c r="L346" s="18" t="str">
        <f>IF('Step 7 - Dept Head'!B43="","","Other Criteria")</f>
        <v/>
      </c>
      <c r="M346" s="17" t="str">
        <f>IF('Step 7 - Dept Head'!B43="","","Equals")</f>
        <v/>
      </c>
      <c r="N346" s="18" t="str">
        <f>IF('Step 7 - Dept Head'!B43="","",'Step 7 - Dept Head'!E43)</f>
        <v/>
      </c>
      <c r="O346" s="18" t="str">
        <f>IF('Step 7 - Dept Head'!B43="","",IF('Step 7 - Dept Head'!F43="","","Total"))</f>
        <v/>
      </c>
      <c r="P346" s="17" t="str">
        <f>IF('Step 7 - Dept Head'!B43="","",IF('Step 7 - Dept Head'!F43="","","&gt;="))</f>
        <v/>
      </c>
      <c r="Q346" s="18" t="str">
        <f>IF('Step 7 - Dept Head'!B43="","",IF('Step 7 - Dept Head'!F43="","",'Step 7 - Dept Head'!F43))</f>
        <v/>
      </c>
      <c r="R346" s="18" t="str">
        <f>""</f>
        <v/>
      </c>
      <c r="S346" s="18" t="str">
        <f>""</f>
        <v/>
      </c>
      <c r="T346" s="18" t="str">
        <f>""</f>
        <v/>
      </c>
      <c r="U346" s="18" t="str">
        <f>IF('Step 7 - Dept Head'!B43="","",'Step 7 - Dept Head'!I43)</f>
        <v/>
      </c>
      <c r="V346" s="17" t="str">
        <f>IF('Step 7 - Dept Head'!B43="","",'Step 7 - Dept Head'!K43)</f>
        <v/>
      </c>
      <c r="W346" s="18" t="str">
        <f>IF('Step 7 - Dept Head'!B43="","",'Step 7 - Dept Head'!L43)</f>
        <v/>
      </c>
      <c r="X346" s="17" t="str">
        <f>IF('Step 7 - Dept Head'!B43="","",'Step 7 - Dept Head'!N43)</f>
        <v/>
      </c>
      <c r="Y346" s="18" t="str">
        <f>""</f>
        <v/>
      </c>
      <c r="Z346" s="18" t="str">
        <f>""</f>
        <v/>
      </c>
      <c r="AA346" s="18" t="str">
        <f>""</f>
        <v/>
      </c>
      <c r="AB346" s="18" t="str">
        <f>""</f>
        <v/>
      </c>
      <c r="AC346" s="18" t="str">
        <f>""</f>
        <v/>
      </c>
      <c r="AD346" s="18" t="str">
        <f>""</f>
        <v/>
      </c>
      <c r="AE346" s="18" t="str">
        <f>""</f>
        <v/>
      </c>
      <c r="AF346" s="18" t="str">
        <f>""</f>
        <v/>
      </c>
      <c r="AG346" s="18" t="str">
        <f>""</f>
        <v/>
      </c>
      <c r="AH346" s="18" t="str">
        <f>""</f>
        <v/>
      </c>
      <c r="AI346" s="18" t="str">
        <f>""</f>
        <v/>
      </c>
      <c r="AJ346" s="18" t="str">
        <f>""</f>
        <v/>
      </c>
      <c r="AK346" s="18" t="str">
        <f>""</f>
        <v/>
      </c>
      <c r="AL346" s="18" t="str">
        <f>""</f>
        <v/>
      </c>
      <c r="AM346" s="18" t="str">
        <f>""</f>
        <v/>
      </c>
    </row>
    <row r="347" spans="1:39" ht="15.75" customHeight="1" x14ac:dyDescent="0.25">
      <c r="A347" s="19" t="str">
        <f>IF('Step 7 - Dept Head'!B44="","","Active")</f>
        <v/>
      </c>
      <c r="B347" s="20" t="str">
        <f>IF('Step 7 - Dept Head'!B44="","",'Step 7 - Dept Head'!B44)</f>
        <v/>
      </c>
      <c r="C347" s="20" t="str">
        <f>IF('Step 7 - Dept Head'!B44="","",'Step 7 - Dept Head'!B44)</f>
        <v/>
      </c>
      <c r="D347" s="19" t="str">
        <f>IF('Step 7 - Dept Head'!B44="","",'Step 7 - Dept Head'!G44)</f>
        <v/>
      </c>
      <c r="E347" s="19" t="str">
        <f>IF('Step 7 - Dept Head'!B44="","",'Step 7 - Dept Head'!H44)</f>
        <v/>
      </c>
      <c r="F347" s="20" t="str">
        <f>IF('Step 7 - Dept Head'!B44="","",IF('Step 7 - Dept Head'!C44="","","Fund Code"))</f>
        <v/>
      </c>
      <c r="G347" s="19" t="str">
        <f>IF('Step 7 - Dept Head'!B44="","",IF('Step 7 - Dept Head'!C44="","","Equals"))</f>
        <v/>
      </c>
      <c r="H347" s="20" t="str">
        <f>IF('Step 7 - Dept Head'!B44="","",IF('Step 7 - Dept Head'!C44="","",'Step 7 - Dept Head'!C44))</f>
        <v/>
      </c>
      <c r="I347" s="20" t="str">
        <f>IF('Step 7 - Dept Head'!B44="","","Organization Code")</f>
        <v/>
      </c>
      <c r="J347" s="19" t="str">
        <f>IF('Step 7 - Dept Head'!B44="","","Equals")</f>
        <v/>
      </c>
      <c r="K347" s="20" t="str">
        <f>IF('Step 7 - Dept Head'!B44="","",'Step 7 - Dept Head'!D44)</f>
        <v/>
      </c>
      <c r="L347" s="20" t="str">
        <f>IF('Step 7 - Dept Head'!B44="","","Other Criteria")</f>
        <v/>
      </c>
      <c r="M347" s="19" t="str">
        <f>IF('Step 7 - Dept Head'!B44="","","Equals")</f>
        <v/>
      </c>
      <c r="N347" s="20" t="str">
        <f>IF('Step 7 - Dept Head'!B44="","",'Step 7 - Dept Head'!E44)</f>
        <v/>
      </c>
      <c r="O347" s="20" t="str">
        <f>IF('Step 7 - Dept Head'!B44="","",IF('Step 7 - Dept Head'!F44="","","Total"))</f>
        <v/>
      </c>
      <c r="P347" s="19" t="str">
        <f>IF('Step 7 - Dept Head'!B44="","",IF('Step 7 - Dept Head'!F44="","","&gt;="))</f>
        <v/>
      </c>
      <c r="Q347" s="20" t="str">
        <f>IF('Step 7 - Dept Head'!B44="","",IF('Step 7 - Dept Head'!F44="","",'Step 7 - Dept Head'!F44))</f>
        <v/>
      </c>
      <c r="R347" s="20" t="str">
        <f>""</f>
        <v/>
      </c>
      <c r="S347" s="20" t="str">
        <f>""</f>
        <v/>
      </c>
      <c r="T347" s="20" t="str">
        <f>""</f>
        <v/>
      </c>
      <c r="U347" s="20" t="str">
        <f>IF('Step 7 - Dept Head'!B44="","",'Step 7 - Dept Head'!I44)</f>
        <v/>
      </c>
      <c r="V347" s="19" t="str">
        <f>IF('Step 7 - Dept Head'!B44="","",'Step 7 - Dept Head'!K44)</f>
        <v/>
      </c>
      <c r="W347" s="20" t="str">
        <f>IF('Step 7 - Dept Head'!B44="","",'Step 7 - Dept Head'!L44)</f>
        <v/>
      </c>
      <c r="X347" s="19" t="str">
        <f>IF('Step 7 - Dept Head'!B44="","",'Step 7 - Dept Head'!N44)</f>
        <v/>
      </c>
      <c r="Y347" s="20" t="str">
        <f>""</f>
        <v/>
      </c>
      <c r="Z347" s="20" t="str">
        <f>""</f>
        <v/>
      </c>
      <c r="AA347" s="20" t="str">
        <f>""</f>
        <v/>
      </c>
      <c r="AB347" s="20" t="str">
        <f>""</f>
        <v/>
      </c>
      <c r="AC347" s="20" t="str">
        <f>""</f>
        <v/>
      </c>
      <c r="AD347" s="20" t="str">
        <f>""</f>
        <v/>
      </c>
      <c r="AE347" s="20" t="str">
        <f>""</f>
        <v/>
      </c>
      <c r="AF347" s="20" t="str">
        <f>""</f>
        <v/>
      </c>
      <c r="AG347" s="20" t="str">
        <f>""</f>
        <v/>
      </c>
      <c r="AH347" s="20" t="str">
        <f>""</f>
        <v/>
      </c>
      <c r="AI347" s="20" t="str">
        <f>""</f>
        <v/>
      </c>
      <c r="AJ347" s="20" t="str">
        <f>""</f>
        <v/>
      </c>
      <c r="AK347" s="20" t="str">
        <f>""</f>
        <v/>
      </c>
      <c r="AL347" s="20" t="str">
        <f>""</f>
        <v/>
      </c>
      <c r="AM347" s="20" t="str">
        <f>""</f>
        <v/>
      </c>
    </row>
    <row r="348" spans="1:39" ht="15.75" customHeight="1" x14ac:dyDescent="0.25">
      <c r="A348" s="17" t="str">
        <f>IF('Step 7 - Dept Head'!B45="","","Active")</f>
        <v/>
      </c>
      <c r="B348" s="18" t="str">
        <f>IF('Step 7 - Dept Head'!B45="","",'Step 7 - Dept Head'!B45)</f>
        <v/>
      </c>
      <c r="C348" s="18" t="str">
        <f>IF('Step 7 - Dept Head'!B45="","",'Step 7 - Dept Head'!B45)</f>
        <v/>
      </c>
      <c r="D348" s="17" t="str">
        <f>IF('Step 7 - Dept Head'!B45="","",'Step 7 - Dept Head'!G45)</f>
        <v/>
      </c>
      <c r="E348" s="17" t="str">
        <f>IF('Step 7 - Dept Head'!B45="","",'Step 7 - Dept Head'!H45)</f>
        <v/>
      </c>
      <c r="F348" s="18" t="str">
        <f>IF('Step 7 - Dept Head'!B45="","",IF('Step 7 - Dept Head'!C45="","","Fund Code"))</f>
        <v/>
      </c>
      <c r="G348" s="17" t="str">
        <f>IF('Step 7 - Dept Head'!B45="","",IF('Step 7 - Dept Head'!C45="","","Equals"))</f>
        <v/>
      </c>
      <c r="H348" s="18" t="str">
        <f>IF('Step 7 - Dept Head'!B45="","",IF('Step 7 - Dept Head'!C45="","",'Step 7 - Dept Head'!C45))</f>
        <v/>
      </c>
      <c r="I348" s="18" t="str">
        <f>IF('Step 7 - Dept Head'!B45="","","Organization Code")</f>
        <v/>
      </c>
      <c r="J348" s="17" t="str">
        <f>IF('Step 7 - Dept Head'!B45="","","Equals")</f>
        <v/>
      </c>
      <c r="K348" s="18" t="str">
        <f>IF('Step 7 - Dept Head'!B45="","",'Step 7 - Dept Head'!D45)</f>
        <v/>
      </c>
      <c r="L348" s="18" t="str">
        <f>IF('Step 7 - Dept Head'!B45="","","Other Criteria")</f>
        <v/>
      </c>
      <c r="M348" s="17" t="str">
        <f>IF('Step 7 - Dept Head'!B45="","","Equals")</f>
        <v/>
      </c>
      <c r="N348" s="18" t="str">
        <f>IF('Step 7 - Dept Head'!B45="","",'Step 7 - Dept Head'!E45)</f>
        <v/>
      </c>
      <c r="O348" s="18" t="str">
        <f>IF('Step 7 - Dept Head'!B45="","",IF('Step 7 - Dept Head'!F45="","","Total"))</f>
        <v/>
      </c>
      <c r="P348" s="17" t="str">
        <f>IF('Step 7 - Dept Head'!B45="","",IF('Step 7 - Dept Head'!F45="","","&gt;="))</f>
        <v/>
      </c>
      <c r="Q348" s="18" t="str">
        <f>IF('Step 7 - Dept Head'!B45="","",IF('Step 7 - Dept Head'!F45="","",'Step 7 - Dept Head'!F45))</f>
        <v/>
      </c>
      <c r="R348" s="18" t="str">
        <f>""</f>
        <v/>
      </c>
      <c r="S348" s="18" t="str">
        <f>""</f>
        <v/>
      </c>
      <c r="T348" s="18" t="str">
        <f>""</f>
        <v/>
      </c>
      <c r="U348" s="18" t="str">
        <f>IF('Step 7 - Dept Head'!B45="","",'Step 7 - Dept Head'!I45)</f>
        <v/>
      </c>
      <c r="V348" s="17" t="str">
        <f>IF('Step 7 - Dept Head'!B45="","",'Step 7 - Dept Head'!K45)</f>
        <v/>
      </c>
      <c r="W348" s="18" t="str">
        <f>IF('Step 7 - Dept Head'!B45="","",'Step 7 - Dept Head'!L45)</f>
        <v/>
      </c>
      <c r="X348" s="17" t="str">
        <f>IF('Step 7 - Dept Head'!B45="","",'Step 7 - Dept Head'!N45)</f>
        <v/>
      </c>
      <c r="Y348" s="18" t="str">
        <f>""</f>
        <v/>
      </c>
      <c r="Z348" s="18" t="str">
        <f>""</f>
        <v/>
      </c>
      <c r="AA348" s="18" t="str">
        <f>""</f>
        <v/>
      </c>
      <c r="AB348" s="18" t="str">
        <f>""</f>
        <v/>
      </c>
      <c r="AC348" s="18" t="str">
        <f>""</f>
        <v/>
      </c>
      <c r="AD348" s="18" t="str">
        <f>""</f>
        <v/>
      </c>
      <c r="AE348" s="18" t="str">
        <f>""</f>
        <v/>
      </c>
      <c r="AF348" s="18" t="str">
        <f>""</f>
        <v/>
      </c>
      <c r="AG348" s="18" t="str">
        <f>""</f>
        <v/>
      </c>
      <c r="AH348" s="18" t="str">
        <f>""</f>
        <v/>
      </c>
      <c r="AI348" s="18" t="str">
        <f>""</f>
        <v/>
      </c>
      <c r="AJ348" s="18" t="str">
        <f>""</f>
        <v/>
      </c>
      <c r="AK348" s="18" t="str">
        <f>""</f>
        <v/>
      </c>
      <c r="AL348" s="18" t="str">
        <f>""</f>
        <v/>
      </c>
      <c r="AM348" s="18" t="str">
        <f>""</f>
        <v/>
      </c>
    </row>
    <row r="349" spans="1:39" ht="15.75" customHeight="1" x14ac:dyDescent="0.25">
      <c r="A349" s="19" t="str">
        <f>IF('Step 7 - Dept Head'!B46="","","Active")</f>
        <v/>
      </c>
      <c r="B349" s="20" t="str">
        <f>IF('Step 7 - Dept Head'!B46="","",'Step 7 - Dept Head'!B46)</f>
        <v/>
      </c>
      <c r="C349" s="20" t="str">
        <f>IF('Step 7 - Dept Head'!B46="","",'Step 7 - Dept Head'!B46)</f>
        <v/>
      </c>
      <c r="D349" s="19" t="str">
        <f>IF('Step 7 - Dept Head'!B46="","",'Step 7 - Dept Head'!G46)</f>
        <v/>
      </c>
      <c r="E349" s="19" t="str">
        <f>IF('Step 7 - Dept Head'!B46="","",'Step 7 - Dept Head'!H46)</f>
        <v/>
      </c>
      <c r="F349" s="20" t="str">
        <f>IF('Step 7 - Dept Head'!B46="","",IF('Step 7 - Dept Head'!C46="","","Fund Code"))</f>
        <v/>
      </c>
      <c r="G349" s="19" t="str">
        <f>IF('Step 7 - Dept Head'!B46="","",IF('Step 7 - Dept Head'!C46="","","Equals"))</f>
        <v/>
      </c>
      <c r="H349" s="20" t="str">
        <f>IF('Step 7 - Dept Head'!B46="","",IF('Step 7 - Dept Head'!C46="","",'Step 7 - Dept Head'!C46))</f>
        <v/>
      </c>
      <c r="I349" s="20" t="str">
        <f>IF('Step 7 - Dept Head'!B46="","","Organization Code")</f>
        <v/>
      </c>
      <c r="J349" s="19" t="str">
        <f>IF('Step 7 - Dept Head'!B46="","","Equals")</f>
        <v/>
      </c>
      <c r="K349" s="20" t="str">
        <f>IF('Step 7 - Dept Head'!B46="","",'Step 7 - Dept Head'!D46)</f>
        <v/>
      </c>
      <c r="L349" s="20" t="str">
        <f>IF('Step 7 - Dept Head'!B46="","","Other Criteria")</f>
        <v/>
      </c>
      <c r="M349" s="19" t="str">
        <f>IF('Step 7 - Dept Head'!B46="","","Equals")</f>
        <v/>
      </c>
      <c r="N349" s="20" t="str">
        <f>IF('Step 7 - Dept Head'!B46="","",'Step 7 - Dept Head'!E46)</f>
        <v/>
      </c>
      <c r="O349" s="20" t="str">
        <f>IF('Step 7 - Dept Head'!B46="","",IF('Step 7 - Dept Head'!F46="","","Total"))</f>
        <v/>
      </c>
      <c r="P349" s="19" t="str">
        <f>IF('Step 7 - Dept Head'!B46="","",IF('Step 7 - Dept Head'!F46="","","&gt;="))</f>
        <v/>
      </c>
      <c r="Q349" s="20" t="str">
        <f>IF('Step 7 - Dept Head'!B46="","",IF('Step 7 - Dept Head'!F46="","",'Step 7 - Dept Head'!F46))</f>
        <v/>
      </c>
      <c r="R349" s="20" t="str">
        <f>""</f>
        <v/>
      </c>
      <c r="S349" s="20" t="str">
        <f>""</f>
        <v/>
      </c>
      <c r="T349" s="20" t="str">
        <f>""</f>
        <v/>
      </c>
      <c r="U349" s="20" t="str">
        <f>IF('Step 7 - Dept Head'!B46="","",'Step 7 - Dept Head'!I46)</f>
        <v/>
      </c>
      <c r="V349" s="19" t="str">
        <f>IF('Step 7 - Dept Head'!B46="","",'Step 7 - Dept Head'!K46)</f>
        <v/>
      </c>
      <c r="W349" s="20" t="str">
        <f>IF('Step 7 - Dept Head'!B46="","",'Step 7 - Dept Head'!L46)</f>
        <v/>
      </c>
      <c r="X349" s="19" t="str">
        <f>IF('Step 7 - Dept Head'!B46="","",'Step 7 - Dept Head'!N46)</f>
        <v/>
      </c>
      <c r="Y349" s="20" t="str">
        <f>""</f>
        <v/>
      </c>
      <c r="Z349" s="20" t="str">
        <f>""</f>
        <v/>
      </c>
      <c r="AA349" s="20" t="str">
        <f>""</f>
        <v/>
      </c>
      <c r="AB349" s="20" t="str">
        <f>""</f>
        <v/>
      </c>
      <c r="AC349" s="20" t="str">
        <f>""</f>
        <v/>
      </c>
      <c r="AD349" s="20" t="str">
        <f>""</f>
        <v/>
      </c>
      <c r="AE349" s="20" t="str">
        <f>""</f>
        <v/>
      </c>
      <c r="AF349" s="20" t="str">
        <f>""</f>
        <v/>
      </c>
      <c r="AG349" s="20" t="str">
        <f>""</f>
        <v/>
      </c>
      <c r="AH349" s="20" t="str">
        <f>""</f>
        <v/>
      </c>
      <c r="AI349" s="20" t="str">
        <f>""</f>
        <v/>
      </c>
      <c r="AJ349" s="20" t="str">
        <f>""</f>
        <v/>
      </c>
      <c r="AK349" s="20" t="str">
        <f>""</f>
        <v/>
      </c>
      <c r="AL349" s="20" t="str">
        <f>""</f>
        <v/>
      </c>
      <c r="AM349" s="20" t="str">
        <f>""</f>
        <v/>
      </c>
    </row>
    <row r="350" spans="1:39" ht="15.75" customHeight="1" x14ac:dyDescent="0.25">
      <c r="A350" s="17" t="str">
        <f>IF('Step 7 - Dept Head'!B47="","","Active")</f>
        <v/>
      </c>
      <c r="B350" s="18" t="str">
        <f>IF('Step 7 - Dept Head'!B47="","",'Step 7 - Dept Head'!B47)</f>
        <v/>
      </c>
      <c r="C350" s="18" t="str">
        <f>IF('Step 7 - Dept Head'!B47="","",'Step 7 - Dept Head'!B47)</f>
        <v/>
      </c>
      <c r="D350" s="17" t="str">
        <f>IF('Step 7 - Dept Head'!B47="","",'Step 7 - Dept Head'!G47)</f>
        <v/>
      </c>
      <c r="E350" s="17" t="str">
        <f>IF('Step 7 - Dept Head'!B47="","",'Step 7 - Dept Head'!H47)</f>
        <v/>
      </c>
      <c r="F350" s="18" t="str">
        <f>IF('Step 7 - Dept Head'!B47="","",IF('Step 7 - Dept Head'!C47="","","Fund Code"))</f>
        <v/>
      </c>
      <c r="G350" s="17" t="str">
        <f>IF('Step 7 - Dept Head'!B47="","",IF('Step 7 - Dept Head'!C47="","","Equals"))</f>
        <v/>
      </c>
      <c r="H350" s="18" t="str">
        <f>IF('Step 7 - Dept Head'!B47="","",IF('Step 7 - Dept Head'!C47="","",'Step 7 - Dept Head'!C47))</f>
        <v/>
      </c>
      <c r="I350" s="18" t="str">
        <f>IF('Step 7 - Dept Head'!B47="","","Organization Code")</f>
        <v/>
      </c>
      <c r="J350" s="17" t="str">
        <f>IF('Step 7 - Dept Head'!B47="","","Equals")</f>
        <v/>
      </c>
      <c r="K350" s="18" t="str">
        <f>IF('Step 7 - Dept Head'!B47="","",'Step 7 - Dept Head'!D47)</f>
        <v/>
      </c>
      <c r="L350" s="18" t="str">
        <f>IF('Step 7 - Dept Head'!B47="","","Other Criteria")</f>
        <v/>
      </c>
      <c r="M350" s="17" t="str">
        <f>IF('Step 7 - Dept Head'!B47="","","Equals")</f>
        <v/>
      </c>
      <c r="N350" s="18" t="str">
        <f>IF('Step 7 - Dept Head'!B47="","",'Step 7 - Dept Head'!E47)</f>
        <v/>
      </c>
      <c r="O350" s="18" t="str">
        <f>IF('Step 7 - Dept Head'!B47="","",IF('Step 7 - Dept Head'!F47="","","Total"))</f>
        <v/>
      </c>
      <c r="P350" s="17" t="str">
        <f>IF('Step 7 - Dept Head'!B47="","",IF('Step 7 - Dept Head'!F47="","","&gt;="))</f>
        <v/>
      </c>
      <c r="Q350" s="18" t="str">
        <f>IF('Step 7 - Dept Head'!B47="","",IF('Step 7 - Dept Head'!F47="","",'Step 7 - Dept Head'!F47))</f>
        <v/>
      </c>
      <c r="R350" s="18" t="str">
        <f>""</f>
        <v/>
      </c>
      <c r="S350" s="18" t="str">
        <f>""</f>
        <v/>
      </c>
      <c r="T350" s="18" t="str">
        <f>""</f>
        <v/>
      </c>
      <c r="U350" s="18" t="str">
        <f>IF('Step 7 - Dept Head'!B47="","",'Step 7 - Dept Head'!I47)</f>
        <v/>
      </c>
      <c r="V350" s="17" t="str">
        <f>IF('Step 7 - Dept Head'!B47="","",'Step 7 - Dept Head'!K47)</f>
        <v/>
      </c>
      <c r="W350" s="18" t="str">
        <f>IF('Step 7 - Dept Head'!B47="","",'Step 7 - Dept Head'!L47)</f>
        <v/>
      </c>
      <c r="X350" s="17" t="str">
        <f>IF('Step 7 - Dept Head'!B47="","",'Step 7 - Dept Head'!N47)</f>
        <v/>
      </c>
      <c r="Y350" s="18" t="str">
        <f>""</f>
        <v/>
      </c>
      <c r="Z350" s="18" t="str">
        <f>""</f>
        <v/>
      </c>
      <c r="AA350" s="18" t="str">
        <f>""</f>
        <v/>
      </c>
      <c r="AB350" s="18" t="str">
        <f>""</f>
        <v/>
      </c>
      <c r="AC350" s="18" t="str">
        <f>""</f>
        <v/>
      </c>
      <c r="AD350" s="18" t="str">
        <f>""</f>
        <v/>
      </c>
      <c r="AE350" s="18" t="str">
        <f>""</f>
        <v/>
      </c>
      <c r="AF350" s="18" t="str">
        <f>""</f>
        <v/>
      </c>
      <c r="AG350" s="18" t="str">
        <f>""</f>
        <v/>
      </c>
      <c r="AH350" s="18" t="str">
        <f>""</f>
        <v/>
      </c>
      <c r="AI350" s="18" t="str">
        <f>""</f>
        <v/>
      </c>
      <c r="AJ350" s="18" t="str">
        <f>""</f>
        <v/>
      </c>
      <c r="AK350" s="18" t="str">
        <f>""</f>
        <v/>
      </c>
      <c r="AL350" s="18" t="str">
        <f>""</f>
        <v/>
      </c>
      <c r="AM350" s="18" t="str">
        <f>""</f>
        <v/>
      </c>
    </row>
    <row r="351" spans="1:39" ht="15.75" customHeight="1" x14ac:dyDescent="0.25">
      <c r="A351" s="19" t="str">
        <f>IF('Step 7 - Dept Head'!B48="","","Active")</f>
        <v/>
      </c>
      <c r="B351" s="20" t="str">
        <f>IF('Step 7 - Dept Head'!B48="","",'Step 7 - Dept Head'!B48)</f>
        <v/>
      </c>
      <c r="C351" s="20" t="str">
        <f>IF('Step 7 - Dept Head'!B48="","",'Step 7 - Dept Head'!B48)</f>
        <v/>
      </c>
      <c r="D351" s="19" t="str">
        <f>IF('Step 7 - Dept Head'!B48="","",'Step 7 - Dept Head'!G48)</f>
        <v/>
      </c>
      <c r="E351" s="19" t="str">
        <f>IF('Step 7 - Dept Head'!B48="","",'Step 7 - Dept Head'!H48)</f>
        <v/>
      </c>
      <c r="F351" s="20" t="str">
        <f>IF('Step 7 - Dept Head'!B48="","",IF('Step 7 - Dept Head'!C48="","","Fund Code"))</f>
        <v/>
      </c>
      <c r="G351" s="19" t="str">
        <f>IF('Step 7 - Dept Head'!B48="","",IF('Step 7 - Dept Head'!C48="","","Equals"))</f>
        <v/>
      </c>
      <c r="H351" s="20" t="str">
        <f>IF('Step 7 - Dept Head'!B48="","",IF('Step 7 - Dept Head'!C48="","",'Step 7 - Dept Head'!C48))</f>
        <v/>
      </c>
      <c r="I351" s="20" t="str">
        <f>IF('Step 7 - Dept Head'!B48="","","Organization Code")</f>
        <v/>
      </c>
      <c r="J351" s="19" t="str">
        <f>IF('Step 7 - Dept Head'!B48="","","Equals")</f>
        <v/>
      </c>
      <c r="K351" s="20" t="str">
        <f>IF('Step 7 - Dept Head'!B48="","",'Step 7 - Dept Head'!D48)</f>
        <v/>
      </c>
      <c r="L351" s="20" t="str">
        <f>IF('Step 7 - Dept Head'!B48="","","Other Criteria")</f>
        <v/>
      </c>
      <c r="M351" s="19" t="str">
        <f>IF('Step 7 - Dept Head'!B48="","","Equals")</f>
        <v/>
      </c>
      <c r="N351" s="20" t="str">
        <f>IF('Step 7 - Dept Head'!B48="","",'Step 7 - Dept Head'!E48)</f>
        <v/>
      </c>
      <c r="O351" s="20" t="str">
        <f>IF('Step 7 - Dept Head'!B48="","",IF('Step 7 - Dept Head'!F48="","","Total"))</f>
        <v/>
      </c>
      <c r="P351" s="19" t="str">
        <f>IF('Step 7 - Dept Head'!B48="","",IF('Step 7 - Dept Head'!F48="","","&gt;="))</f>
        <v/>
      </c>
      <c r="Q351" s="20" t="str">
        <f>IF('Step 7 - Dept Head'!B48="","",IF('Step 7 - Dept Head'!F48="","",'Step 7 - Dept Head'!F48))</f>
        <v/>
      </c>
      <c r="R351" s="20" t="str">
        <f>""</f>
        <v/>
      </c>
      <c r="S351" s="20" t="str">
        <f>""</f>
        <v/>
      </c>
      <c r="T351" s="20" t="str">
        <f>""</f>
        <v/>
      </c>
      <c r="U351" s="20" t="str">
        <f>IF('Step 7 - Dept Head'!B48="","",'Step 7 - Dept Head'!I48)</f>
        <v/>
      </c>
      <c r="V351" s="19" t="str">
        <f>IF('Step 7 - Dept Head'!B48="","",'Step 7 - Dept Head'!K48)</f>
        <v/>
      </c>
      <c r="W351" s="20" t="str">
        <f>IF('Step 7 - Dept Head'!B48="","",'Step 7 - Dept Head'!L48)</f>
        <v/>
      </c>
      <c r="X351" s="19" t="str">
        <f>IF('Step 7 - Dept Head'!B48="","",'Step 7 - Dept Head'!N48)</f>
        <v/>
      </c>
      <c r="Y351" s="20" t="str">
        <f>""</f>
        <v/>
      </c>
      <c r="Z351" s="20" t="str">
        <f>""</f>
        <v/>
      </c>
      <c r="AA351" s="20" t="str">
        <f>""</f>
        <v/>
      </c>
      <c r="AB351" s="20" t="str">
        <f>""</f>
        <v/>
      </c>
      <c r="AC351" s="20" t="str">
        <f>""</f>
        <v/>
      </c>
      <c r="AD351" s="20" t="str">
        <f>""</f>
        <v/>
      </c>
      <c r="AE351" s="20" t="str">
        <f>""</f>
        <v/>
      </c>
      <c r="AF351" s="20" t="str">
        <f>""</f>
        <v/>
      </c>
      <c r="AG351" s="20" t="str">
        <f>""</f>
        <v/>
      </c>
      <c r="AH351" s="20" t="str">
        <f>""</f>
        <v/>
      </c>
      <c r="AI351" s="20" t="str">
        <f>""</f>
        <v/>
      </c>
      <c r="AJ351" s="20" t="str">
        <f>""</f>
        <v/>
      </c>
      <c r="AK351" s="20" t="str">
        <f>""</f>
        <v/>
      </c>
      <c r="AL351" s="20" t="str">
        <f>""</f>
        <v/>
      </c>
      <c r="AM351" s="20" t="str">
        <f>""</f>
        <v/>
      </c>
    </row>
    <row r="352" spans="1:39" ht="15.75" customHeight="1" x14ac:dyDescent="0.25">
      <c r="A352" s="17" t="str">
        <f>IF('Step 7 - Dept Head'!B49="","","Active")</f>
        <v/>
      </c>
      <c r="B352" s="18" t="str">
        <f>IF('Step 7 - Dept Head'!B49="","",'Step 7 - Dept Head'!B49)</f>
        <v/>
      </c>
      <c r="C352" s="18" t="str">
        <f>IF('Step 7 - Dept Head'!B49="","",'Step 7 - Dept Head'!B49)</f>
        <v/>
      </c>
      <c r="D352" s="17" t="str">
        <f>IF('Step 7 - Dept Head'!B49="","",'Step 7 - Dept Head'!G49)</f>
        <v/>
      </c>
      <c r="E352" s="17" t="str">
        <f>IF('Step 7 - Dept Head'!B49="","",'Step 7 - Dept Head'!H49)</f>
        <v/>
      </c>
      <c r="F352" s="18" t="str">
        <f>IF('Step 7 - Dept Head'!B49="","",IF('Step 7 - Dept Head'!C49="","","Fund Code"))</f>
        <v/>
      </c>
      <c r="G352" s="17" t="str">
        <f>IF('Step 7 - Dept Head'!B49="","",IF('Step 7 - Dept Head'!C49="","","Equals"))</f>
        <v/>
      </c>
      <c r="H352" s="18" t="str">
        <f>IF('Step 7 - Dept Head'!B49="","",IF('Step 7 - Dept Head'!C49="","",'Step 7 - Dept Head'!C49))</f>
        <v/>
      </c>
      <c r="I352" s="18" t="str">
        <f>IF('Step 7 - Dept Head'!B49="","","Organization Code")</f>
        <v/>
      </c>
      <c r="J352" s="17" t="str">
        <f>IF('Step 7 - Dept Head'!B49="","","Equals")</f>
        <v/>
      </c>
      <c r="K352" s="18" t="str">
        <f>IF('Step 7 - Dept Head'!B49="","",'Step 7 - Dept Head'!D49)</f>
        <v/>
      </c>
      <c r="L352" s="18" t="str">
        <f>IF('Step 7 - Dept Head'!B49="","","Other Criteria")</f>
        <v/>
      </c>
      <c r="M352" s="17" t="str">
        <f>IF('Step 7 - Dept Head'!B49="","","Equals")</f>
        <v/>
      </c>
      <c r="N352" s="18" t="str">
        <f>IF('Step 7 - Dept Head'!B49="","",'Step 7 - Dept Head'!E49)</f>
        <v/>
      </c>
      <c r="O352" s="18" t="str">
        <f>IF('Step 7 - Dept Head'!B49="","",IF('Step 7 - Dept Head'!F49="","","Total"))</f>
        <v/>
      </c>
      <c r="P352" s="17" t="str">
        <f>IF('Step 7 - Dept Head'!B49="","",IF('Step 7 - Dept Head'!F49="","","&gt;="))</f>
        <v/>
      </c>
      <c r="Q352" s="18" t="str">
        <f>IF('Step 7 - Dept Head'!B49="","",IF('Step 7 - Dept Head'!F49="","",'Step 7 - Dept Head'!F49))</f>
        <v/>
      </c>
      <c r="R352" s="18" t="str">
        <f>""</f>
        <v/>
      </c>
      <c r="S352" s="18" t="str">
        <f>""</f>
        <v/>
      </c>
      <c r="T352" s="18" t="str">
        <f>""</f>
        <v/>
      </c>
      <c r="U352" s="18" t="str">
        <f>IF('Step 7 - Dept Head'!B49="","",'Step 7 - Dept Head'!I49)</f>
        <v/>
      </c>
      <c r="V352" s="17" t="str">
        <f>IF('Step 7 - Dept Head'!B49="","",'Step 7 - Dept Head'!K49)</f>
        <v/>
      </c>
      <c r="W352" s="18" t="str">
        <f>IF('Step 7 - Dept Head'!B49="","",'Step 7 - Dept Head'!L49)</f>
        <v/>
      </c>
      <c r="X352" s="17" t="str">
        <f>IF('Step 7 - Dept Head'!B49="","",'Step 7 - Dept Head'!N49)</f>
        <v/>
      </c>
      <c r="Y352" s="18" t="str">
        <f>""</f>
        <v/>
      </c>
      <c r="Z352" s="18" t="str">
        <f>""</f>
        <v/>
      </c>
      <c r="AA352" s="18" t="str">
        <f>""</f>
        <v/>
      </c>
      <c r="AB352" s="18" t="str">
        <f>""</f>
        <v/>
      </c>
      <c r="AC352" s="18" t="str">
        <f>""</f>
        <v/>
      </c>
      <c r="AD352" s="18" t="str">
        <f>""</f>
        <v/>
      </c>
      <c r="AE352" s="18" t="str">
        <f>""</f>
        <v/>
      </c>
      <c r="AF352" s="18" t="str">
        <f>""</f>
        <v/>
      </c>
      <c r="AG352" s="18" t="str">
        <f>""</f>
        <v/>
      </c>
      <c r="AH352" s="18" t="str">
        <f>""</f>
        <v/>
      </c>
      <c r="AI352" s="18" t="str">
        <f>""</f>
        <v/>
      </c>
      <c r="AJ352" s="18" t="str">
        <f>""</f>
        <v/>
      </c>
      <c r="AK352" s="18" t="str">
        <f>""</f>
        <v/>
      </c>
      <c r="AL352" s="18" t="str">
        <f>""</f>
        <v/>
      </c>
      <c r="AM352" s="18" t="str">
        <f>""</f>
        <v/>
      </c>
    </row>
    <row r="353" spans="1:39" ht="15.75" customHeight="1" x14ac:dyDescent="0.25">
      <c r="A353" s="19" t="str">
        <f>IF('Step 7 - Dept Head'!B50="","","Active")</f>
        <v/>
      </c>
      <c r="B353" s="20" t="str">
        <f>IF('Step 7 - Dept Head'!B50="","",'Step 7 - Dept Head'!B50)</f>
        <v/>
      </c>
      <c r="C353" s="20" t="str">
        <f>IF('Step 7 - Dept Head'!B50="","",'Step 7 - Dept Head'!B50)</f>
        <v/>
      </c>
      <c r="D353" s="19" t="str">
        <f>IF('Step 7 - Dept Head'!B50="","",'Step 7 - Dept Head'!G50)</f>
        <v/>
      </c>
      <c r="E353" s="19" t="str">
        <f>IF('Step 7 - Dept Head'!B50="","",'Step 7 - Dept Head'!H50)</f>
        <v/>
      </c>
      <c r="F353" s="20" t="str">
        <f>IF('Step 7 - Dept Head'!B50="","",IF('Step 7 - Dept Head'!C50="","","Fund Code"))</f>
        <v/>
      </c>
      <c r="G353" s="19" t="str">
        <f>IF('Step 7 - Dept Head'!B50="","",IF('Step 7 - Dept Head'!C50="","","Equals"))</f>
        <v/>
      </c>
      <c r="H353" s="20" t="str">
        <f>IF('Step 7 - Dept Head'!B50="","",IF('Step 7 - Dept Head'!C50="","",'Step 7 - Dept Head'!C50))</f>
        <v/>
      </c>
      <c r="I353" s="20" t="str">
        <f>IF('Step 7 - Dept Head'!B50="","","Organization Code")</f>
        <v/>
      </c>
      <c r="J353" s="19" t="str">
        <f>IF('Step 7 - Dept Head'!B50="","","Equals")</f>
        <v/>
      </c>
      <c r="K353" s="20" t="str">
        <f>IF('Step 7 - Dept Head'!B50="","",'Step 7 - Dept Head'!D50)</f>
        <v/>
      </c>
      <c r="L353" s="20" t="str">
        <f>IF('Step 7 - Dept Head'!B50="","","Other Criteria")</f>
        <v/>
      </c>
      <c r="M353" s="19" t="str">
        <f>IF('Step 7 - Dept Head'!B50="","","Equals")</f>
        <v/>
      </c>
      <c r="N353" s="20" t="str">
        <f>IF('Step 7 - Dept Head'!B50="","",'Step 7 - Dept Head'!E50)</f>
        <v/>
      </c>
      <c r="O353" s="20" t="str">
        <f>IF('Step 7 - Dept Head'!B50="","",IF('Step 7 - Dept Head'!F50="","","Total"))</f>
        <v/>
      </c>
      <c r="P353" s="19" t="str">
        <f>IF('Step 7 - Dept Head'!B50="","",IF('Step 7 - Dept Head'!F50="","","&gt;="))</f>
        <v/>
      </c>
      <c r="Q353" s="20" t="str">
        <f>IF('Step 7 - Dept Head'!B50="","",IF('Step 7 - Dept Head'!F50="","",'Step 7 - Dept Head'!F50))</f>
        <v/>
      </c>
      <c r="R353" s="20" t="str">
        <f>""</f>
        <v/>
      </c>
      <c r="S353" s="20" t="str">
        <f>""</f>
        <v/>
      </c>
      <c r="T353" s="20" t="str">
        <f>""</f>
        <v/>
      </c>
      <c r="U353" s="20" t="str">
        <f>IF('Step 7 - Dept Head'!B50="","",'Step 7 - Dept Head'!I50)</f>
        <v/>
      </c>
      <c r="V353" s="19" t="str">
        <f>IF('Step 7 - Dept Head'!B50="","",'Step 7 - Dept Head'!K50)</f>
        <v/>
      </c>
      <c r="W353" s="20" t="str">
        <f>IF('Step 7 - Dept Head'!B50="","",'Step 7 - Dept Head'!L50)</f>
        <v/>
      </c>
      <c r="X353" s="19" t="str">
        <f>IF('Step 7 - Dept Head'!B50="","",'Step 7 - Dept Head'!N50)</f>
        <v/>
      </c>
      <c r="Y353" s="20" t="str">
        <f>""</f>
        <v/>
      </c>
      <c r="Z353" s="20" t="str">
        <f>""</f>
        <v/>
      </c>
      <c r="AA353" s="20" t="str">
        <f>""</f>
        <v/>
      </c>
      <c r="AB353" s="20" t="str">
        <f>""</f>
        <v/>
      </c>
      <c r="AC353" s="20" t="str">
        <f>""</f>
        <v/>
      </c>
      <c r="AD353" s="20" t="str">
        <f>""</f>
        <v/>
      </c>
      <c r="AE353" s="20" t="str">
        <f>""</f>
        <v/>
      </c>
      <c r="AF353" s="20" t="str">
        <f>""</f>
        <v/>
      </c>
      <c r="AG353" s="20" t="str">
        <f>""</f>
        <v/>
      </c>
      <c r="AH353" s="20" t="str">
        <f>""</f>
        <v/>
      </c>
      <c r="AI353" s="20" t="str">
        <f>""</f>
        <v/>
      </c>
      <c r="AJ353" s="20" t="str">
        <f>""</f>
        <v/>
      </c>
      <c r="AK353" s="20" t="str">
        <f>""</f>
        <v/>
      </c>
      <c r="AL353" s="20" t="str">
        <f>""</f>
        <v/>
      </c>
      <c r="AM353" s="20" t="str">
        <f>""</f>
        <v/>
      </c>
    </row>
    <row r="354" spans="1:39" ht="15.75" customHeight="1" x14ac:dyDescent="0.25">
      <c r="A354" s="17" t="str">
        <f>IF('Step 7 - Dept Head'!B51="","","Active")</f>
        <v/>
      </c>
      <c r="B354" s="18" t="str">
        <f>IF('Step 7 - Dept Head'!B51="","",'Step 7 - Dept Head'!B51)</f>
        <v/>
      </c>
      <c r="C354" s="18" t="str">
        <f>IF('Step 7 - Dept Head'!B51="","",'Step 7 - Dept Head'!B51)</f>
        <v/>
      </c>
      <c r="D354" s="17" t="str">
        <f>IF('Step 7 - Dept Head'!B51="","",'Step 7 - Dept Head'!G51)</f>
        <v/>
      </c>
      <c r="E354" s="17" t="str">
        <f>IF('Step 7 - Dept Head'!B51="","",'Step 7 - Dept Head'!H51)</f>
        <v/>
      </c>
      <c r="F354" s="18" t="str">
        <f>IF('Step 7 - Dept Head'!B51="","",IF('Step 7 - Dept Head'!C51="","","Fund Code"))</f>
        <v/>
      </c>
      <c r="G354" s="17" t="str">
        <f>IF('Step 7 - Dept Head'!B51="","",IF('Step 7 - Dept Head'!C51="","","Equals"))</f>
        <v/>
      </c>
      <c r="H354" s="18" t="str">
        <f>IF('Step 7 - Dept Head'!B51="","",IF('Step 7 - Dept Head'!C51="","",'Step 7 - Dept Head'!C51))</f>
        <v/>
      </c>
      <c r="I354" s="18" t="str">
        <f>IF('Step 7 - Dept Head'!B51="","","Organization Code")</f>
        <v/>
      </c>
      <c r="J354" s="17" t="str">
        <f>IF('Step 7 - Dept Head'!B51="","","Equals")</f>
        <v/>
      </c>
      <c r="K354" s="18" t="str">
        <f>IF('Step 7 - Dept Head'!B51="","",'Step 7 - Dept Head'!D51)</f>
        <v/>
      </c>
      <c r="L354" s="18" t="str">
        <f>IF('Step 7 - Dept Head'!B51="","","Other Criteria")</f>
        <v/>
      </c>
      <c r="M354" s="17" t="str">
        <f>IF('Step 7 - Dept Head'!B51="","","Equals")</f>
        <v/>
      </c>
      <c r="N354" s="18" t="str">
        <f>IF('Step 7 - Dept Head'!B51="","",'Step 7 - Dept Head'!E51)</f>
        <v/>
      </c>
      <c r="O354" s="18" t="str">
        <f>IF('Step 7 - Dept Head'!B51="","",IF('Step 7 - Dept Head'!F51="","","Total"))</f>
        <v/>
      </c>
      <c r="P354" s="17" t="str">
        <f>IF('Step 7 - Dept Head'!B51="","",IF('Step 7 - Dept Head'!F51="","","&gt;="))</f>
        <v/>
      </c>
      <c r="Q354" s="18" t="str">
        <f>IF('Step 7 - Dept Head'!B51="","",IF('Step 7 - Dept Head'!F51="","",'Step 7 - Dept Head'!F51))</f>
        <v/>
      </c>
      <c r="R354" s="18" t="str">
        <f>""</f>
        <v/>
      </c>
      <c r="S354" s="18" t="str">
        <f>""</f>
        <v/>
      </c>
      <c r="T354" s="18" t="str">
        <f>""</f>
        <v/>
      </c>
      <c r="U354" s="18" t="str">
        <f>IF('Step 7 - Dept Head'!B51="","",'Step 7 - Dept Head'!I51)</f>
        <v/>
      </c>
      <c r="V354" s="17" t="str">
        <f>IF('Step 7 - Dept Head'!B51="","",'Step 7 - Dept Head'!K51)</f>
        <v/>
      </c>
      <c r="W354" s="18" t="str">
        <f>IF('Step 7 - Dept Head'!B51="","",'Step 7 - Dept Head'!L51)</f>
        <v/>
      </c>
      <c r="X354" s="17" t="str">
        <f>IF('Step 7 - Dept Head'!B51="","",'Step 7 - Dept Head'!N51)</f>
        <v/>
      </c>
      <c r="Y354" s="18" t="str">
        <f>""</f>
        <v/>
      </c>
      <c r="Z354" s="18" t="str">
        <f>""</f>
        <v/>
      </c>
      <c r="AA354" s="18" t="str">
        <f>""</f>
        <v/>
      </c>
      <c r="AB354" s="18" t="str">
        <f>""</f>
        <v/>
      </c>
      <c r="AC354" s="18" t="str">
        <f>""</f>
        <v/>
      </c>
      <c r="AD354" s="18" t="str">
        <f>""</f>
        <v/>
      </c>
      <c r="AE354" s="18" t="str">
        <f>""</f>
        <v/>
      </c>
      <c r="AF354" s="18" t="str">
        <f>""</f>
        <v/>
      </c>
      <c r="AG354" s="18" t="str">
        <f>""</f>
        <v/>
      </c>
      <c r="AH354" s="18" t="str">
        <f>""</f>
        <v/>
      </c>
      <c r="AI354" s="18" t="str">
        <f>""</f>
        <v/>
      </c>
      <c r="AJ354" s="18" t="str">
        <f>""</f>
        <v/>
      </c>
      <c r="AK354" s="18" t="str">
        <f>""</f>
        <v/>
      </c>
      <c r="AL354" s="18" t="str">
        <f>""</f>
        <v/>
      </c>
      <c r="AM354" s="18" t="str">
        <f>""</f>
        <v/>
      </c>
    </row>
    <row r="355" spans="1:39" ht="15.75" customHeight="1" x14ac:dyDescent="0.25">
      <c r="A355" s="19" t="str">
        <f>IF('Step 7 - Dept Head'!B52="","","Active")</f>
        <v/>
      </c>
      <c r="B355" s="20" t="str">
        <f>IF('Step 7 - Dept Head'!B52="","",'Step 7 - Dept Head'!B52)</f>
        <v/>
      </c>
      <c r="C355" s="20" t="str">
        <f>IF('Step 7 - Dept Head'!B52="","",'Step 7 - Dept Head'!B52)</f>
        <v/>
      </c>
      <c r="D355" s="19" t="str">
        <f>IF('Step 7 - Dept Head'!B52="","",'Step 7 - Dept Head'!G52)</f>
        <v/>
      </c>
      <c r="E355" s="19" t="str">
        <f>IF('Step 7 - Dept Head'!B52="","",'Step 7 - Dept Head'!H52)</f>
        <v/>
      </c>
      <c r="F355" s="20" t="str">
        <f>IF('Step 7 - Dept Head'!B52="","",IF('Step 7 - Dept Head'!C52="","","Fund Code"))</f>
        <v/>
      </c>
      <c r="G355" s="19" t="str">
        <f>IF('Step 7 - Dept Head'!B52="","",IF('Step 7 - Dept Head'!C52="","","Equals"))</f>
        <v/>
      </c>
      <c r="H355" s="20" t="str">
        <f>IF('Step 7 - Dept Head'!B52="","",IF('Step 7 - Dept Head'!C52="","",'Step 7 - Dept Head'!C52))</f>
        <v/>
      </c>
      <c r="I355" s="20" t="str">
        <f>IF('Step 7 - Dept Head'!B52="","","Organization Code")</f>
        <v/>
      </c>
      <c r="J355" s="19" t="str">
        <f>IF('Step 7 - Dept Head'!B52="","","Equals")</f>
        <v/>
      </c>
      <c r="K355" s="20" t="str">
        <f>IF('Step 7 - Dept Head'!B52="","",'Step 7 - Dept Head'!D52)</f>
        <v/>
      </c>
      <c r="L355" s="20" t="str">
        <f>IF('Step 7 - Dept Head'!B52="","","Other Criteria")</f>
        <v/>
      </c>
      <c r="M355" s="19" t="str">
        <f>IF('Step 7 - Dept Head'!B52="","","Equals")</f>
        <v/>
      </c>
      <c r="N355" s="20" t="str">
        <f>IF('Step 7 - Dept Head'!B52="","",'Step 7 - Dept Head'!E52)</f>
        <v/>
      </c>
      <c r="O355" s="20" t="str">
        <f>IF('Step 7 - Dept Head'!B52="","",IF('Step 7 - Dept Head'!F52="","","Total"))</f>
        <v/>
      </c>
      <c r="P355" s="19" t="str">
        <f>IF('Step 7 - Dept Head'!B52="","",IF('Step 7 - Dept Head'!F52="","","&gt;="))</f>
        <v/>
      </c>
      <c r="Q355" s="20" t="str">
        <f>IF('Step 7 - Dept Head'!B52="","",IF('Step 7 - Dept Head'!F52="","",'Step 7 - Dept Head'!F52))</f>
        <v/>
      </c>
      <c r="R355" s="20" t="str">
        <f>""</f>
        <v/>
      </c>
      <c r="S355" s="20" t="str">
        <f>""</f>
        <v/>
      </c>
      <c r="T355" s="20" t="str">
        <f>""</f>
        <v/>
      </c>
      <c r="U355" s="20" t="str">
        <f>IF('Step 7 - Dept Head'!B52="","",'Step 7 - Dept Head'!I52)</f>
        <v/>
      </c>
      <c r="V355" s="19" t="str">
        <f>IF('Step 7 - Dept Head'!B52="","",'Step 7 - Dept Head'!K52)</f>
        <v/>
      </c>
      <c r="W355" s="20" t="str">
        <f>IF('Step 7 - Dept Head'!B52="","",'Step 7 - Dept Head'!L52)</f>
        <v/>
      </c>
      <c r="X355" s="19" t="str">
        <f>IF('Step 7 - Dept Head'!B52="","",'Step 7 - Dept Head'!N52)</f>
        <v/>
      </c>
      <c r="Y355" s="20" t="str">
        <f>""</f>
        <v/>
      </c>
      <c r="Z355" s="20" t="str">
        <f>""</f>
        <v/>
      </c>
      <c r="AA355" s="20" t="str">
        <f>""</f>
        <v/>
      </c>
      <c r="AB355" s="20" t="str">
        <f>""</f>
        <v/>
      </c>
      <c r="AC355" s="20" t="str">
        <f>""</f>
        <v/>
      </c>
      <c r="AD355" s="20" t="str">
        <f>""</f>
        <v/>
      </c>
      <c r="AE355" s="20" t="str">
        <f>""</f>
        <v/>
      </c>
      <c r="AF355" s="20" t="str">
        <f>""</f>
        <v/>
      </c>
      <c r="AG355" s="20" t="str">
        <f>""</f>
        <v/>
      </c>
      <c r="AH355" s="20" t="str">
        <f>""</f>
        <v/>
      </c>
      <c r="AI355" s="20" t="str">
        <f>""</f>
        <v/>
      </c>
      <c r="AJ355" s="20" t="str">
        <f>""</f>
        <v/>
      </c>
      <c r="AK355" s="20" t="str">
        <f>""</f>
        <v/>
      </c>
      <c r="AL355" s="20" t="str">
        <f>""</f>
        <v/>
      </c>
      <c r="AM355" s="20" t="str">
        <f>""</f>
        <v/>
      </c>
    </row>
    <row r="356" spans="1:39" ht="15.75" customHeight="1" x14ac:dyDescent="0.25">
      <c r="A356" s="17" t="str">
        <f>IF('Step 7 - Dept Head'!B53="","","Active")</f>
        <v/>
      </c>
      <c r="B356" s="18" t="str">
        <f>IF('Step 7 - Dept Head'!B53="","",'Step 7 - Dept Head'!B53)</f>
        <v/>
      </c>
      <c r="C356" s="18" t="str">
        <f>IF('Step 7 - Dept Head'!B53="","",'Step 7 - Dept Head'!B53)</f>
        <v/>
      </c>
      <c r="D356" s="17" t="str">
        <f>IF('Step 7 - Dept Head'!B53="","",'Step 7 - Dept Head'!G53)</f>
        <v/>
      </c>
      <c r="E356" s="17" t="str">
        <f>IF('Step 7 - Dept Head'!B53="","",'Step 7 - Dept Head'!H53)</f>
        <v/>
      </c>
      <c r="F356" s="18" t="str">
        <f>IF('Step 7 - Dept Head'!B53="","",IF('Step 7 - Dept Head'!C53="","","Fund Code"))</f>
        <v/>
      </c>
      <c r="G356" s="17" t="str">
        <f>IF('Step 7 - Dept Head'!B53="","",IF('Step 7 - Dept Head'!C53="","","Equals"))</f>
        <v/>
      </c>
      <c r="H356" s="18" t="str">
        <f>IF('Step 7 - Dept Head'!B53="","",IF('Step 7 - Dept Head'!C53="","",'Step 7 - Dept Head'!C53))</f>
        <v/>
      </c>
      <c r="I356" s="18" t="str">
        <f>IF('Step 7 - Dept Head'!B53="","","Organization Code")</f>
        <v/>
      </c>
      <c r="J356" s="17" t="str">
        <f>IF('Step 7 - Dept Head'!B53="","","Equals")</f>
        <v/>
      </c>
      <c r="K356" s="18" t="str">
        <f>IF('Step 7 - Dept Head'!B53="","",'Step 7 - Dept Head'!D53)</f>
        <v/>
      </c>
      <c r="L356" s="18" t="str">
        <f>IF('Step 7 - Dept Head'!B53="","","Other Criteria")</f>
        <v/>
      </c>
      <c r="M356" s="17" t="str">
        <f>IF('Step 7 - Dept Head'!B53="","","Equals")</f>
        <v/>
      </c>
      <c r="N356" s="18" t="str">
        <f>IF('Step 7 - Dept Head'!B53="","",'Step 7 - Dept Head'!E53)</f>
        <v/>
      </c>
      <c r="O356" s="18" t="str">
        <f>IF('Step 7 - Dept Head'!B53="","",IF('Step 7 - Dept Head'!F53="","","Total"))</f>
        <v/>
      </c>
      <c r="P356" s="17" t="str">
        <f>IF('Step 7 - Dept Head'!B53="","",IF('Step 7 - Dept Head'!F53="","","&gt;="))</f>
        <v/>
      </c>
      <c r="Q356" s="18" t="str">
        <f>IF('Step 7 - Dept Head'!B53="","",IF('Step 7 - Dept Head'!F53="","",'Step 7 - Dept Head'!F53))</f>
        <v/>
      </c>
      <c r="R356" s="18" t="str">
        <f>""</f>
        <v/>
      </c>
      <c r="S356" s="18" t="str">
        <f>""</f>
        <v/>
      </c>
      <c r="T356" s="18" t="str">
        <f>""</f>
        <v/>
      </c>
      <c r="U356" s="18" t="str">
        <f>IF('Step 7 - Dept Head'!B53="","",'Step 7 - Dept Head'!I53)</f>
        <v/>
      </c>
      <c r="V356" s="17" t="str">
        <f>IF('Step 7 - Dept Head'!B53="","",'Step 7 - Dept Head'!K53)</f>
        <v/>
      </c>
      <c r="W356" s="18" t="str">
        <f>IF('Step 7 - Dept Head'!B53="","",'Step 7 - Dept Head'!L53)</f>
        <v/>
      </c>
      <c r="X356" s="17" t="str">
        <f>IF('Step 7 - Dept Head'!B53="","",'Step 7 - Dept Head'!N53)</f>
        <v/>
      </c>
      <c r="Y356" s="18" t="str">
        <f>""</f>
        <v/>
      </c>
      <c r="Z356" s="18" t="str">
        <f>""</f>
        <v/>
      </c>
      <c r="AA356" s="18" t="str">
        <f>""</f>
        <v/>
      </c>
      <c r="AB356" s="18" t="str">
        <f>""</f>
        <v/>
      </c>
      <c r="AC356" s="18" t="str">
        <f>""</f>
        <v/>
      </c>
      <c r="AD356" s="18" t="str">
        <f>""</f>
        <v/>
      </c>
      <c r="AE356" s="18" t="str">
        <f>""</f>
        <v/>
      </c>
      <c r="AF356" s="18" t="str">
        <f>""</f>
        <v/>
      </c>
      <c r="AG356" s="18" t="str">
        <f>""</f>
        <v/>
      </c>
      <c r="AH356" s="18" t="str">
        <f>""</f>
        <v/>
      </c>
      <c r="AI356" s="18" t="str">
        <f>""</f>
        <v/>
      </c>
      <c r="AJ356" s="18" t="str">
        <f>""</f>
        <v/>
      </c>
      <c r="AK356" s="18" t="str">
        <f>""</f>
        <v/>
      </c>
      <c r="AL356" s="18" t="str">
        <f>""</f>
        <v/>
      </c>
      <c r="AM356" s="18" t="str">
        <f>""</f>
        <v/>
      </c>
    </row>
    <row r="357" spans="1:39" ht="13.5" customHeight="1" x14ac:dyDescent="0.25">
      <c r="A357" s="29" t="s">
        <v>194</v>
      </c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</row>
    <row r="358" spans="1:39" ht="15.75" customHeight="1" x14ac:dyDescent="0.25">
      <c r="A358" s="17" t="str">
        <f>IF('Step 8 - Controller'!B5="","","Active")</f>
        <v/>
      </c>
      <c r="B358" s="18" t="str">
        <f>IF('Step 8 - Controller'!B5="","",'Step 8 - Controller'!B5)</f>
        <v/>
      </c>
      <c r="C358" s="18" t="str">
        <f>IF('Step 8 - Controller'!B5="","",'Step 8 - Controller'!B5)</f>
        <v/>
      </c>
      <c r="D358" s="17" t="str">
        <f>IF('Step 8 - Controller'!B5="","",'Step 8 - Controller'!G5)</f>
        <v/>
      </c>
      <c r="E358" s="17" t="str">
        <f>IF('Step 8 - Controller'!B5="","",'Step 8 - Controller'!H5)</f>
        <v/>
      </c>
      <c r="F358" s="18" t="str">
        <f>IF('Step 8 - Controller'!B5="","",IF('Step 8 - Controller'!C5="","","Fund Code"))</f>
        <v/>
      </c>
      <c r="G358" s="17" t="str">
        <f>IF('Step 8 - Controller'!B5="","",IF('Step 8 - Controller'!C5="","","Equals"))</f>
        <v/>
      </c>
      <c r="H358" s="18" t="str">
        <f>IF('Step 8 - Controller'!B5="","",IF('Step 8 - Controller'!C5="","",'Step 8 - Controller'!C5))</f>
        <v/>
      </c>
      <c r="I358" s="18" t="str">
        <f>IF('Step 8 - Controller'!B5="","","Organization Code")</f>
        <v/>
      </c>
      <c r="J358" s="17" t="str">
        <f>IF('Step 8 - Controller'!B5="","","Equals")</f>
        <v/>
      </c>
      <c r="K358" s="18" t="str">
        <f>IF('Step 8 - Controller'!B5="","",'Step 8 - Controller'!D5)</f>
        <v/>
      </c>
      <c r="L358" s="18" t="str">
        <f>IF('Step 8 - Controller'!B5="","","Other Criteria")</f>
        <v/>
      </c>
      <c r="M358" s="17" t="str">
        <f>IF('Step 8 - Controller'!B5="","","Equals")</f>
        <v/>
      </c>
      <c r="N358" s="18" t="str">
        <f>IF('Step 8 - Controller'!B5="","",'Step 8 - Controller'!E5)</f>
        <v/>
      </c>
      <c r="O358" s="18" t="str">
        <f>IF('Step 8 - Controller'!B5="","",IF('Step 8 - Controller'!F5="","","Total"))</f>
        <v/>
      </c>
      <c r="P358" s="17" t="str">
        <f>IF('Step 8 - Controller'!B5="","",IF('Step 8 - Controller'!F5="","","&gt;="))</f>
        <v/>
      </c>
      <c r="Q358" s="18" t="str">
        <f>IF('Step 8 - Controller'!B5="","",IF('Step 8 - Controller'!F5="","",'Step 8 - Controller'!F5))</f>
        <v/>
      </c>
      <c r="R358" s="18" t="str">
        <f>""</f>
        <v/>
      </c>
      <c r="S358" s="18" t="str">
        <f>""</f>
        <v/>
      </c>
      <c r="T358" s="18" t="str">
        <f>""</f>
        <v/>
      </c>
      <c r="U358" s="18" t="str">
        <f>IF('Step 8 - Controller'!B5="","",'Step 8 - Controller'!I5)</f>
        <v/>
      </c>
      <c r="V358" s="17" t="str">
        <f>IF('Step 8 - Controller'!B5="","",'Step 8 - Controller'!K5)</f>
        <v/>
      </c>
      <c r="W358" s="18" t="str">
        <f>IF('Step 8 - Controller'!B5="","",'Step 8 - Controller'!L5)</f>
        <v/>
      </c>
      <c r="X358" s="17" t="str">
        <f>IF('Step 8 - Controller'!B5="","",'Step 8 - Controller'!N5)</f>
        <v/>
      </c>
      <c r="Y358" s="18" t="str">
        <f>""</f>
        <v/>
      </c>
      <c r="Z358" s="18" t="str">
        <f>""</f>
        <v/>
      </c>
      <c r="AA358" s="18" t="str">
        <f>""</f>
        <v/>
      </c>
      <c r="AB358" s="18" t="str">
        <f>""</f>
        <v/>
      </c>
      <c r="AC358" s="18" t="str">
        <f>""</f>
        <v/>
      </c>
      <c r="AD358" s="18" t="str">
        <f>""</f>
        <v/>
      </c>
      <c r="AE358" s="18" t="str">
        <f>""</f>
        <v/>
      </c>
      <c r="AF358" s="18" t="str">
        <f>""</f>
        <v/>
      </c>
      <c r="AG358" s="18" t="str">
        <f>""</f>
        <v/>
      </c>
      <c r="AH358" s="18" t="str">
        <f>""</f>
        <v/>
      </c>
      <c r="AI358" s="18" t="str">
        <f>""</f>
        <v/>
      </c>
      <c r="AJ358" s="18" t="str">
        <f>""</f>
        <v/>
      </c>
      <c r="AK358" s="18" t="str">
        <f>""</f>
        <v/>
      </c>
      <c r="AL358" s="18" t="str">
        <f>""</f>
        <v/>
      </c>
      <c r="AM358" s="18" t="str">
        <f>""</f>
        <v/>
      </c>
    </row>
    <row r="359" spans="1:39" ht="15.75" customHeight="1" x14ac:dyDescent="0.25">
      <c r="A359" s="19" t="str">
        <f>IF('Step 8 - Controller'!B6="","","Active")</f>
        <v/>
      </c>
      <c r="B359" s="20" t="str">
        <f>IF('Step 8 - Controller'!B6="","",'Step 8 - Controller'!B6)</f>
        <v/>
      </c>
      <c r="C359" s="20" t="str">
        <f>IF('Step 8 - Controller'!B6="","",'Step 8 - Controller'!B6)</f>
        <v/>
      </c>
      <c r="D359" s="19" t="str">
        <f>IF('Step 8 - Controller'!B6="","",'Step 8 - Controller'!G6)</f>
        <v/>
      </c>
      <c r="E359" s="19" t="str">
        <f>IF('Step 8 - Controller'!B6="","",'Step 8 - Controller'!H6)</f>
        <v/>
      </c>
      <c r="F359" s="20" t="str">
        <f>IF('Step 8 - Controller'!B6="","",IF('Step 8 - Controller'!C6="","","Fund Code"))</f>
        <v/>
      </c>
      <c r="G359" s="19" t="str">
        <f>IF('Step 8 - Controller'!B6="","",IF('Step 8 - Controller'!C6="","","Equals"))</f>
        <v/>
      </c>
      <c r="H359" s="20" t="str">
        <f>IF('Step 8 - Controller'!B6="","",IF('Step 8 - Controller'!C6="","",'Step 8 - Controller'!C6))</f>
        <v/>
      </c>
      <c r="I359" s="20" t="str">
        <f>IF('Step 8 - Controller'!B6="","","Organization Code")</f>
        <v/>
      </c>
      <c r="J359" s="19" t="str">
        <f>IF('Step 8 - Controller'!B6="","","Equals")</f>
        <v/>
      </c>
      <c r="K359" s="20" t="str">
        <f>IF('Step 8 - Controller'!B6="","",'Step 8 - Controller'!D6)</f>
        <v/>
      </c>
      <c r="L359" s="20" t="str">
        <f>IF('Step 8 - Controller'!B6="","","Other Criteria")</f>
        <v/>
      </c>
      <c r="M359" s="19" t="str">
        <f>IF('Step 8 - Controller'!B6="","","Equals")</f>
        <v/>
      </c>
      <c r="N359" s="20" t="str">
        <f>IF('Step 8 - Controller'!B6="","",'Step 8 - Controller'!E6)</f>
        <v/>
      </c>
      <c r="O359" s="20" t="str">
        <f>IF('Step 8 - Controller'!B6="","",IF('Step 8 - Controller'!F6="","","Total"))</f>
        <v/>
      </c>
      <c r="P359" s="19" t="str">
        <f>IF('Step 8 - Controller'!B6="","",IF('Step 8 - Controller'!F6="","","&gt;="))</f>
        <v/>
      </c>
      <c r="Q359" s="20" t="str">
        <f>IF('Step 8 - Controller'!B6="","",IF('Step 8 - Controller'!F6="","",'Step 8 - Controller'!F6))</f>
        <v/>
      </c>
      <c r="R359" s="20" t="str">
        <f>""</f>
        <v/>
      </c>
      <c r="S359" s="20" t="str">
        <f>""</f>
        <v/>
      </c>
      <c r="T359" s="20" t="str">
        <f>""</f>
        <v/>
      </c>
      <c r="U359" s="20" t="str">
        <f>IF('Step 8 - Controller'!B6="","",'Step 8 - Controller'!I6)</f>
        <v/>
      </c>
      <c r="V359" s="19" t="str">
        <f>IF('Step 8 - Controller'!B6="","",'Step 8 - Controller'!K6)</f>
        <v/>
      </c>
      <c r="W359" s="20" t="str">
        <f>IF('Step 8 - Controller'!B6="","",'Step 8 - Controller'!L6)</f>
        <v/>
      </c>
      <c r="X359" s="19" t="str">
        <f>IF('Step 8 - Controller'!B6="","",'Step 8 - Controller'!N6)</f>
        <v/>
      </c>
      <c r="Y359" s="20" t="str">
        <f>""</f>
        <v/>
      </c>
      <c r="Z359" s="20" t="str">
        <f>""</f>
        <v/>
      </c>
      <c r="AA359" s="20" t="str">
        <f>""</f>
        <v/>
      </c>
      <c r="AB359" s="20" t="str">
        <f>""</f>
        <v/>
      </c>
      <c r="AC359" s="20" t="str">
        <f>""</f>
        <v/>
      </c>
      <c r="AD359" s="20" t="str">
        <f>""</f>
        <v/>
      </c>
      <c r="AE359" s="20" t="str">
        <f>""</f>
        <v/>
      </c>
      <c r="AF359" s="20" t="str">
        <f>""</f>
        <v/>
      </c>
      <c r="AG359" s="20" t="str">
        <f>""</f>
        <v/>
      </c>
      <c r="AH359" s="20" t="str">
        <f>""</f>
        <v/>
      </c>
      <c r="AI359" s="20" t="str">
        <f>""</f>
        <v/>
      </c>
      <c r="AJ359" s="20" t="str">
        <f>""</f>
        <v/>
      </c>
      <c r="AK359" s="20" t="str">
        <f>""</f>
        <v/>
      </c>
      <c r="AL359" s="20" t="str">
        <f>""</f>
        <v/>
      </c>
      <c r="AM359" s="20" t="str">
        <f>""</f>
        <v/>
      </c>
    </row>
    <row r="360" spans="1:39" ht="15.75" customHeight="1" x14ac:dyDescent="0.25">
      <c r="A360" s="17" t="str">
        <f>IF('Step 8 - Controller'!B7="","","Active")</f>
        <v/>
      </c>
      <c r="B360" s="18" t="str">
        <f>IF('Step 8 - Controller'!B7="","",'Step 8 - Controller'!B7)</f>
        <v/>
      </c>
      <c r="C360" s="18" t="str">
        <f>IF('Step 8 - Controller'!B7="","",'Step 8 - Controller'!B7)</f>
        <v/>
      </c>
      <c r="D360" s="17" t="str">
        <f>IF('Step 8 - Controller'!B7="","",'Step 8 - Controller'!G7)</f>
        <v/>
      </c>
      <c r="E360" s="17" t="str">
        <f>IF('Step 8 - Controller'!B7="","",'Step 8 - Controller'!H7)</f>
        <v/>
      </c>
      <c r="F360" s="18" t="str">
        <f>IF('Step 8 - Controller'!B7="","",IF('Step 8 - Controller'!C7="","","Fund Code"))</f>
        <v/>
      </c>
      <c r="G360" s="17" t="str">
        <f>IF('Step 8 - Controller'!B7="","",IF('Step 8 - Controller'!C7="","","Equals"))</f>
        <v/>
      </c>
      <c r="H360" s="18" t="str">
        <f>IF('Step 8 - Controller'!B7="","",IF('Step 8 - Controller'!C7="","",'Step 8 - Controller'!C7))</f>
        <v/>
      </c>
      <c r="I360" s="18" t="str">
        <f>IF('Step 8 - Controller'!B7="","","Organization Code")</f>
        <v/>
      </c>
      <c r="J360" s="17" t="str">
        <f>IF('Step 8 - Controller'!B7="","","Equals")</f>
        <v/>
      </c>
      <c r="K360" s="18" t="str">
        <f>IF('Step 8 - Controller'!B7="","",'Step 8 - Controller'!D7)</f>
        <v/>
      </c>
      <c r="L360" s="18" t="str">
        <f>IF('Step 8 - Controller'!B7="","","Other Criteria")</f>
        <v/>
      </c>
      <c r="M360" s="17" t="str">
        <f>IF('Step 8 - Controller'!B7="","","Equals")</f>
        <v/>
      </c>
      <c r="N360" s="18" t="str">
        <f>IF('Step 8 - Controller'!B7="","",'Step 8 - Controller'!E7)</f>
        <v/>
      </c>
      <c r="O360" s="18" t="str">
        <f>IF('Step 8 - Controller'!B7="","",IF('Step 8 - Controller'!F7="","","Total"))</f>
        <v/>
      </c>
      <c r="P360" s="17" t="str">
        <f>IF('Step 8 - Controller'!B7="","",IF('Step 8 - Controller'!F7="","","&gt;="))</f>
        <v/>
      </c>
      <c r="Q360" s="18" t="str">
        <f>IF('Step 8 - Controller'!B7="","",IF('Step 8 - Controller'!F7="","",'Step 8 - Controller'!F7))</f>
        <v/>
      </c>
      <c r="R360" s="18" t="str">
        <f>""</f>
        <v/>
      </c>
      <c r="S360" s="18" t="str">
        <f>""</f>
        <v/>
      </c>
      <c r="T360" s="18" t="str">
        <f>""</f>
        <v/>
      </c>
      <c r="U360" s="18" t="str">
        <f>IF('Step 8 - Controller'!B7="","",'Step 8 - Controller'!I7)</f>
        <v/>
      </c>
      <c r="V360" s="17" t="str">
        <f>IF('Step 8 - Controller'!B7="","",'Step 8 - Controller'!K7)</f>
        <v/>
      </c>
      <c r="W360" s="18" t="str">
        <f>IF('Step 8 - Controller'!B7="","",'Step 8 - Controller'!L7)</f>
        <v/>
      </c>
      <c r="X360" s="17" t="str">
        <f>IF('Step 8 - Controller'!B7="","",'Step 8 - Controller'!N7)</f>
        <v/>
      </c>
      <c r="Y360" s="18" t="str">
        <f>""</f>
        <v/>
      </c>
      <c r="Z360" s="18" t="str">
        <f>""</f>
        <v/>
      </c>
      <c r="AA360" s="18" t="str">
        <f>""</f>
        <v/>
      </c>
      <c r="AB360" s="18" t="str">
        <f>""</f>
        <v/>
      </c>
      <c r="AC360" s="18" t="str">
        <f>""</f>
        <v/>
      </c>
      <c r="AD360" s="18" t="str">
        <f>""</f>
        <v/>
      </c>
      <c r="AE360" s="18" t="str">
        <f>""</f>
        <v/>
      </c>
      <c r="AF360" s="18" t="str">
        <f>""</f>
        <v/>
      </c>
      <c r="AG360" s="18" t="str">
        <f>""</f>
        <v/>
      </c>
      <c r="AH360" s="18" t="str">
        <f>""</f>
        <v/>
      </c>
      <c r="AI360" s="18" t="str">
        <f>""</f>
        <v/>
      </c>
      <c r="AJ360" s="18" t="str">
        <f>""</f>
        <v/>
      </c>
      <c r="AK360" s="18" t="str">
        <f>""</f>
        <v/>
      </c>
      <c r="AL360" s="18" t="str">
        <f>""</f>
        <v/>
      </c>
      <c r="AM360" s="18" t="str">
        <f>""</f>
        <v/>
      </c>
    </row>
    <row r="361" spans="1:39" ht="15.75" customHeight="1" x14ac:dyDescent="0.25">
      <c r="A361" s="19" t="str">
        <f>IF('Step 8 - Controller'!B8="","","Active")</f>
        <v/>
      </c>
      <c r="B361" s="20" t="str">
        <f>IF('Step 8 - Controller'!B8="","",'Step 8 - Controller'!B8)</f>
        <v/>
      </c>
      <c r="C361" s="20" t="str">
        <f>IF('Step 8 - Controller'!B8="","",'Step 8 - Controller'!B8)</f>
        <v/>
      </c>
      <c r="D361" s="19" t="str">
        <f>IF('Step 8 - Controller'!B8="","",'Step 8 - Controller'!G8)</f>
        <v/>
      </c>
      <c r="E361" s="19" t="str">
        <f>IF('Step 8 - Controller'!B8="","",'Step 8 - Controller'!H8)</f>
        <v/>
      </c>
      <c r="F361" s="20" t="str">
        <f>IF('Step 8 - Controller'!B8="","",IF('Step 8 - Controller'!C8="","","Fund Code"))</f>
        <v/>
      </c>
      <c r="G361" s="19" t="str">
        <f>IF('Step 8 - Controller'!B8="","",IF('Step 8 - Controller'!C8="","","Equals"))</f>
        <v/>
      </c>
      <c r="H361" s="20" t="str">
        <f>IF('Step 8 - Controller'!B8="","",IF('Step 8 - Controller'!C8="","",'Step 8 - Controller'!C8))</f>
        <v/>
      </c>
      <c r="I361" s="20" t="str">
        <f>IF('Step 8 - Controller'!B8="","","Organization Code")</f>
        <v/>
      </c>
      <c r="J361" s="19" t="str">
        <f>IF('Step 8 - Controller'!B8="","","Equals")</f>
        <v/>
      </c>
      <c r="K361" s="20" t="str">
        <f>IF('Step 8 - Controller'!B8="","",'Step 8 - Controller'!D8)</f>
        <v/>
      </c>
      <c r="L361" s="20" t="str">
        <f>IF('Step 8 - Controller'!B8="","","Other Criteria")</f>
        <v/>
      </c>
      <c r="M361" s="19" t="str">
        <f>IF('Step 8 - Controller'!B8="","","Equals")</f>
        <v/>
      </c>
      <c r="N361" s="20" t="str">
        <f>IF('Step 8 - Controller'!B8="","",'Step 8 - Controller'!E8)</f>
        <v/>
      </c>
      <c r="O361" s="20" t="str">
        <f>IF('Step 8 - Controller'!B8="","",IF('Step 8 - Controller'!F8="","","Total"))</f>
        <v/>
      </c>
      <c r="P361" s="19" t="str">
        <f>IF('Step 8 - Controller'!B8="","",IF('Step 8 - Controller'!F8="","","&gt;="))</f>
        <v/>
      </c>
      <c r="Q361" s="20" t="str">
        <f>IF('Step 8 - Controller'!B8="","",IF('Step 8 - Controller'!F8="","",'Step 8 - Controller'!F8))</f>
        <v/>
      </c>
      <c r="R361" s="20" t="str">
        <f>""</f>
        <v/>
      </c>
      <c r="S361" s="20" t="str">
        <f>""</f>
        <v/>
      </c>
      <c r="T361" s="20" t="str">
        <f>""</f>
        <v/>
      </c>
      <c r="U361" s="20" t="str">
        <f>IF('Step 8 - Controller'!B8="","",'Step 8 - Controller'!I8)</f>
        <v/>
      </c>
      <c r="V361" s="19" t="str">
        <f>IF('Step 8 - Controller'!B8="","",'Step 8 - Controller'!K8)</f>
        <v/>
      </c>
      <c r="W361" s="20" t="str">
        <f>IF('Step 8 - Controller'!B8="","",'Step 8 - Controller'!L8)</f>
        <v/>
      </c>
      <c r="X361" s="19" t="str">
        <f>IF('Step 8 - Controller'!B8="","",'Step 8 - Controller'!N8)</f>
        <v/>
      </c>
      <c r="Y361" s="20" t="str">
        <f>""</f>
        <v/>
      </c>
      <c r="Z361" s="20" t="str">
        <f>""</f>
        <v/>
      </c>
      <c r="AA361" s="20" t="str">
        <f>""</f>
        <v/>
      </c>
      <c r="AB361" s="20" t="str">
        <f>""</f>
        <v/>
      </c>
      <c r="AC361" s="20" t="str">
        <f>""</f>
        <v/>
      </c>
      <c r="AD361" s="20" t="str">
        <f>""</f>
        <v/>
      </c>
      <c r="AE361" s="20" t="str">
        <f>""</f>
        <v/>
      </c>
      <c r="AF361" s="20" t="str">
        <f>""</f>
        <v/>
      </c>
      <c r="AG361" s="20" t="str">
        <f>""</f>
        <v/>
      </c>
      <c r="AH361" s="20" t="str">
        <f>""</f>
        <v/>
      </c>
      <c r="AI361" s="20" t="str">
        <f>""</f>
        <v/>
      </c>
      <c r="AJ361" s="20" t="str">
        <f>""</f>
        <v/>
      </c>
      <c r="AK361" s="20" t="str">
        <f>""</f>
        <v/>
      </c>
      <c r="AL361" s="20" t="str">
        <f>""</f>
        <v/>
      </c>
      <c r="AM361" s="20" t="str">
        <f>""</f>
        <v/>
      </c>
    </row>
    <row r="362" spans="1:39" ht="15.75" customHeight="1" x14ac:dyDescent="0.25">
      <c r="A362" s="17" t="str">
        <f>IF('Step 8 - Controller'!B9="","","Active")</f>
        <v/>
      </c>
      <c r="B362" s="18" t="str">
        <f>IF('Step 8 - Controller'!B9="","",'Step 8 - Controller'!B9)</f>
        <v/>
      </c>
      <c r="C362" s="18" t="str">
        <f>IF('Step 8 - Controller'!B9="","",'Step 8 - Controller'!B9)</f>
        <v/>
      </c>
      <c r="D362" s="17" t="str">
        <f>IF('Step 8 - Controller'!B9="","",'Step 8 - Controller'!G9)</f>
        <v/>
      </c>
      <c r="E362" s="17" t="str">
        <f>IF('Step 8 - Controller'!B9="","",'Step 8 - Controller'!H9)</f>
        <v/>
      </c>
      <c r="F362" s="18" t="str">
        <f>IF('Step 8 - Controller'!B9="","",IF('Step 8 - Controller'!C9="","","Fund Code"))</f>
        <v/>
      </c>
      <c r="G362" s="17" t="str">
        <f>IF('Step 8 - Controller'!B9="","",IF('Step 8 - Controller'!C9="","","Equals"))</f>
        <v/>
      </c>
      <c r="H362" s="18" t="str">
        <f>IF('Step 8 - Controller'!B9="","",IF('Step 8 - Controller'!C9="","",'Step 8 - Controller'!C9))</f>
        <v/>
      </c>
      <c r="I362" s="18" t="str">
        <f>IF('Step 8 - Controller'!B9="","","Organization Code")</f>
        <v/>
      </c>
      <c r="J362" s="17" t="str">
        <f>IF('Step 8 - Controller'!B9="","","Equals")</f>
        <v/>
      </c>
      <c r="K362" s="18" t="str">
        <f>IF('Step 8 - Controller'!B9="","",'Step 8 - Controller'!D9)</f>
        <v/>
      </c>
      <c r="L362" s="18" t="str">
        <f>IF('Step 8 - Controller'!B9="","","Other Criteria")</f>
        <v/>
      </c>
      <c r="M362" s="17" t="str">
        <f>IF('Step 8 - Controller'!B9="","","Equals")</f>
        <v/>
      </c>
      <c r="N362" s="18" t="str">
        <f>IF('Step 8 - Controller'!B9="","",'Step 8 - Controller'!E9)</f>
        <v/>
      </c>
      <c r="O362" s="18" t="str">
        <f>IF('Step 8 - Controller'!B9="","",IF('Step 8 - Controller'!F9="","","Total"))</f>
        <v/>
      </c>
      <c r="P362" s="17" t="str">
        <f>IF('Step 8 - Controller'!B9="","",IF('Step 8 - Controller'!F9="","","&gt;="))</f>
        <v/>
      </c>
      <c r="Q362" s="18" t="str">
        <f>IF('Step 8 - Controller'!B9="","",IF('Step 8 - Controller'!F9="","",'Step 8 - Controller'!F9))</f>
        <v/>
      </c>
      <c r="R362" s="18" t="str">
        <f>""</f>
        <v/>
      </c>
      <c r="S362" s="18" t="str">
        <f>""</f>
        <v/>
      </c>
      <c r="T362" s="18" t="str">
        <f>""</f>
        <v/>
      </c>
      <c r="U362" s="18" t="str">
        <f>IF('Step 8 - Controller'!B9="","",'Step 8 - Controller'!I9)</f>
        <v/>
      </c>
      <c r="V362" s="17" t="str">
        <f>IF('Step 8 - Controller'!B9="","",'Step 8 - Controller'!K9)</f>
        <v/>
      </c>
      <c r="W362" s="18" t="str">
        <f>IF('Step 8 - Controller'!B9="","",'Step 8 - Controller'!L9)</f>
        <v/>
      </c>
      <c r="X362" s="17" t="str">
        <f>IF('Step 8 - Controller'!B9="","",'Step 8 - Controller'!N9)</f>
        <v/>
      </c>
      <c r="Y362" s="18" t="str">
        <f>""</f>
        <v/>
      </c>
      <c r="Z362" s="18" t="str">
        <f>""</f>
        <v/>
      </c>
      <c r="AA362" s="18" t="str">
        <f>""</f>
        <v/>
      </c>
      <c r="AB362" s="18" t="str">
        <f>""</f>
        <v/>
      </c>
      <c r="AC362" s="18" t="str">
        <f>""</f>
        <v/>
      </c>
      <c r="AD362" s="18" t="str">
        <f>""</f>
        <v/>
      </c>
      <c r="AE362" s="18" t="str">
        <f>""</f>
        <v/>
      </c>
      <c r="AF362" s="18" t="str">
        <f>""</f>
        <v/>
      </c>
      <c r="AG362" s="18" t="str">
        <f>""</f>
        <v/>
      </c>
      <c r="AH362" s="18" t="str">
        <f>""</f>
        <v/>
      </c>
      <c r="AI362" s="18" t="str">
        <f>""</f>
        <v/>
      </c>
      <c r="AJ362" s="18" t="str">
        <f>""</f>
        <v/>
      </c>
      <c r="AK362" s="18" t="str">
        <f>""</f>
        <v/>
      </c>
      <c r="AL362" s="18" t="str">
        <f>""</f>
        <v/>
      </c>
      <c r="AM362" s="18" t="str">
        <f>""</f>
        <v/>
      </c>
    </row>
    <row r="363" spans="1:39" ht="15.75" customHeight="1" x14ac:dyDescent="0.25">
      <c r="A363" s="19" t="str">
        <f>IF('Step 8 - Controller'!B10="","","Active")</f>
        <v/>
      </c>
      <c r="B363" s="20" t="str">
        <f>IF('Step 8 - Controller'!B10="","",'Step 8 - Controller'!B10)</f>
        <v/>
      </c>
      <c r="C363" s="20" t="str">
        <f>IF('Step 8 - Controller'!B10="","",'Step 8 - Controller'!B10)</f>
        <v/>
      </c>
      <c r="D363" s="19" t="str">
        <f>IF('Step 8 - Controller'!B10="","",'Step 8 - Controller'!G10)</f>
        <v/>
      </c>
      <c r="E363" s="19" t="str">
        <f>IF('Step 8 - Controller'!B10="","",'Step 8 - Controller'!H10)</f>
        <v/>
      </c>
      <c r="F363" s="20" t="str">
        <f>IF('Step 8 - Controller'!B10="","",IF('Step 8 - Controller'!C10="","","Fund Code"))</f>
        <v/>
      </c>
      <c r="G363" s="19" t="str">
        <f>IF('Step 8 - Controller'!B10="","",IF('Step 8 - Controller'!C10="","","Equals"))</f>
        <v/>
      </c>
      <c r="H363" s="20" t="str">
        <f>IF('Step 8 - Controller'!B10="","",IF('Step 8 - Controller'!C10="","",'Step 8 - Controller'!C10))</f>
        <v/>
      </c>
      <c r="I363" s="20" t="str">
        <f>IF('Step 8 - Controller'!B10="","","Organization Code")</f>
        <v/>
      </c>
      <c r="J363" s="19" t="str">
        <f>IF('Step 8 - Controller'!B10="","","Equals")</f>
        <v/>
      </c>
      <c r="K363" s="20" t="str">
        <f>IF('Step 8 - Controller'!B10="","",'Step 8 - Controller'!D10)</f>
        <v/>
      </c>
      <c r="L363" s="20" t="str">
        <f>IF('Step 8 - Controller'!B10="","","Other Criteria")</f>
        <v/>
      </c>
      <c r="M363" s="19" t="str">
        <f>IF('Step 8 - Controller'!B10="","","Equals")</f>
        <v/>
      </c>
      <c r="N363" s="20" t="str">
        <f>IF('Step 8 - Controller'!B10="","",'Step 8 - Controller'!E10)</f>
        <v/>
      </c>
      <c r="O363" s="20" t="str">
        <f>IF('Step 8 - Controller'!B10="","",IF('Step 8 - Controller'!F10="","","Total"))</f>
        <v/>
      </c>
      <c r="P363" s="19" t="str">
        <f>IF('Step 8 - Controller'!B10="","",IF('Step 8 - Controller'!F10="","","&gt;="))</f>
        <v/>
      </c>
      <c r="Q363" s="20" t="str">
        <f>IF('Step 8 - Controller'!B10="","",IF('Step 8 - Controller'!F10="","",'Step 8 - Controller'!F10))</f>
        <v/>
      </c>
      <c r="R363" s="20" t="str">
        <f>""</f>
        <v/>
      </c>
      <c r="S363" s="20" t="str">
        <f>""</f>
        <v/>
      </c>
      <c r="T363" s="20" t="str">
        <f>""</f>
        <v/>
      </c>
      <c r="U363" s="20" t="str">
        <f>IF('Step 8 - Controller'!B10="","",'Step 8 - Controller'!I10)</f>
        <v/>
      </c>
      <c r="V363" s="19" t="str">
        <f>IF('Step 8 - Controller'!B10="","",'Step 8 - Controller'!K10)</f>
        <v/>
      </c>
      <c r="W363" s="20" t="str">
        <f>IF('Step 8 - Controller'!B10="","",'Step 8 - Controller'!L10)</f>
        <v/>
      </c>
      <c r="X363" s="19" t="str">
        <f>IF('Step 8 - Controller'!B10="","",'Step 8 - Controller'!N10)</f>
        <v/>
      </c>
      <c r="Y363" s="20" t="str">
        <f>""</f>
        <v/>
      </c>
      <c r="Z363" s="20" t="str">
        <f>""</f>
        <v/>
      </c>
      <c r="AA363" s="20" t="str">
        <f>""</f>
        <v/>
      </c>
      <c r="AB363" s="20" t="str">
        <f>""</f>
        <v/>
      </c>
      <c r="AC363" s="20" t="str">
        <f>""</f>
        <v/>
      </c>
      <c r="AD363" s="20" t="str">
        <f>""</f>
        <v/>
      </c>
      <c r="AE363" s="20" t="str">
        <f>""</f>
        <v/>
      </c>
      <c r="AF363" s="20" t="str">
        <f>""</f>
        <v/>
      </c>
      <c r="AG363" s="20" t="str">
        <f>""</f>
        <v/>
      </c>
      <c r="AH363" s="20" t="str">
        <f>""</f>
        <v/>
      </c>
      <c r="AI363" s="20" t="str">
        <f>""</f>
        <v/>
      </c>
      <c r="AJ363" s="20" t="str">
        <f>""</f>
        <v/>
      </c>
      <c r="AK363" s="20" t="str">
        <f>""</f>
        <v/>
      </c>
      <c r="AL363" s="20" t="str">
        <f>""</f>
        <v/>
      </c>
      <c r="AM363" s="20" t="str">
        <f>""</f>
        <v/>
      </c>
    </row>
    <row r="364" spans="1:39" ht="15.75" customHeight="1" x14ac:dyDescent="0.25">
      <c r="A364" s="17" t="str">
        <f>IF('Step 8 - Controller'!B11="","","Active")</f>
        <v/>
      </c>
      <c r="B364" s="18" t="str">
        <f>IF('Step 8 - Controller'!B11="","",'Step 8 - Controller'!B11)</f>
        <v/>
      </c>
      <c r="C364" s="18" t="str">
        <f>IF('Step 8 - Controller'!B11="","",'Step 8 - Controller'!B11)</f>
        <v/>
      </c>
      <c r="D364" s="17" t="str">
        <f>IF('Step 8 - Controller'!B11="","",'Step 8 - Controller'!G11)</f>
        <v/>
      </c>
      <c r="E364" s="17" t="str">
        <f>IF('Step 8 - Controller'!B11="","",'Step 8 - Controller'!H11)</f>
        <v/>
      </c>
      <c r="F364" s="18" t="str">
        <f>IF('Step 8 - Controller'!B11="","",IF('Step 8 - Controller'!C11="","","Fund Code"))</f>
        <v/>
      </c>
      <c r="G364" s="17" t="str">
        <f>IF('Step 8 - Controller'!B11="","",IF('Step 8 - Controller'!C11="","","Equals"))</f>
        <v/>
      </c>
      <c r="H364" s="18" t="str">
        <f>IF('Step 8 - Controller'!B11="","",IF('Step 8 - Controller'!C11="","",'Step 8 - Controller'!C11))</f>
        <v/>
      </c>
      <c r="I364" s="18" t="str">
        <f>IF('Step 8 - Controller'!B11="","","Organization Code")</f>
        <v/>
      </c>
      <c r="J364" s="17" t="str">
        <f>IF('Step 8 - Controller'!B11="","","Equals")</f>
        <v/>
      </c>
      <c r="K364" s="18" t="str">
        <f>IF('Step 8 - Controller'!B11="","",'Step 8 - Controller'!D11)</f>
        <v/>
      </c>
      <c r="L364" s="18" t="str">
        <f>IF('Step 8 - Controller'!B11="","","Other Criteria")</f>
        <v/>
      </c>
      <c r="M364" s="17" t="str">
        <f>IF('Step 8 - Controller'!B11="","","Equals")</f>
        <v/>
      </c>
      <c r="N364" s="18" t="str">
        <f>IF('Step 8 - Controller'!B11="","",'Step 8 - Controller'!E11)</f>
        <v/>
      </c>
      <c r="O364" s="18" t="str">
        <f>IF('Step 8 - Controller'!B11="","",IF('Step 8 - Controller'!F11="","","Total"))</f>
        <v/>
      </c>
      <c r="P364" s="17" t="str">
        <f>IF('Step 8 - Controller'!B11="","",IF('Step 8 - Controller'!F11="","","&gt;="))</f>
        <v/>
      </c>
      <c r="Q364" s="18" t="str">
        <f>IF('Step 8 - Controller'!B11="","",IF('Step 8 - Controller'!F11="","",'Step 8 - Controller'!F11))</f>
        <v/>
      </c>
      <c r="R364" s="18" t="str">
        <f>""</f>
        <v/>
      </c>
      <c r="S364" s="18" t="str">
        <f>""</f>
        <v/>
      </c>
      <c r="T364" s="18" t="str">
        <f>""</f>
        <v/>
      </c>
      <c r="U364" s="18" t="str">
        <f>IF('Step 8 - Controller'!B11="","",'Step 8 - Controller'!I11)</f>
        <v/>
      </c>
      <c r="V364" s="17" t="str">
        <f>IF('Step 8 - Controller'!B11="","",'Step 8 - Controller'!K11)</f>
        <v/>
      </c>
      <c r="W364" s="18" t="str">
        <f>IF('Step 8 - Controller'!B11="","",'Step 8 - Controller'!L11)</f>
        <v/>
      </c>
      <c r="X364" s="17" t="str">
        <f>IF('Step 8 - Controller'!B11="","",'Step 8 - Controller'!N11)</f>
        <v/>
      </c>
      <c r="Y364" s="18" t="str">
        <f>""</f>
        <v/>
      </c>
      <c r="Z364" s="18" t="str">
        <f>""</f>
        <v/>
      </c>
      <c r="AA364" s="18" t="str">
        <f>""</f>
        <v/>
      </c>
      <c r="AB364" s="18" t="str">
        <f>""</f>
        <v/>
      </c>
      <c r="AC364" s="18" t="str">
        <f>""</f>
        <v/>
      </c>
      <c r="AD364" s="18" t="str">
        <f>""</f>
        <v/>
      </c>
      <c r="AE364" s="18" t="str">
        <f>""</f>
        <v/>
      </c>
      <c r="AF364" s="18" t="str">
        <f>""</f>
        <v/>
      </c>
      <c r="AG364" s="18" t="str">
        <f>""</f>
        <v/>
      </c>
      <c r="AH364" s="18" t="str">
        <f>""</f>
        <v/>
      </c>
      <c r="AI364" s="18" t="str">
        <f>""</f>
        <v/>
      </c>
      <c r="AJ364" s="18" t="str">
        <f>""</f>
        <v/>
      </c>
      <c r="AK364" s="18" t="str">
        <f>""</f>
        <v/>
      </c>
      <c r="AL364" s="18" t="str">
        <f>""</f>
        <v/>
      </c>
      <c r="AM364" s="18" t="str">
        <f>""</f>
        <v/>
      </c>
    </row>
    <row r="365" spans="1:39" ht="15.75" customHeight="1" x14ac:dyDescent="0.25">
      <c r="A365" s="19" t="str">
        <f>IF('Step 8 - Controller'!B12="","","Active")</f>
        <v/>
      </c>
      <c r="B365" s="20" t="str">
        <f>IF('Step 8 - Controller'!B12="","",'Step 8 - Controller'!B12)</f>
        <v/>
      </c>
      <c r="C365" s="20" t="str">
        <f>IF('Step 8 - Controller'!B12="","",'Step 8 - Controller'!B12)</f>
        <v/>
      </c>
      <c r="D365" s="19" t="str">
        <f>IF('Step 8 - Controller'!B12="","",'Step 8 - Controller'!G12)</f>
        <v/>
      </c>
      <c r="E365" s="19" t="str">
        <f>IF('Step 8 - Controller'!B12="","",'Step 8 - Controller'!H12)</f>
        <v/>
      </c>
      <c r="F365" s="20" t="str">
        <f>IF('Step 8 - Controller'!B12="","",IF('Step 8 - Controller'!C12="","","Fund Code"))</f>
        <v/>
      </c>
      <c r="G365" s="19" t="str">
        <f>IF('Step 8 - Controller'!B12="","",IF('Step 8 - Controller'!C12="","","Equals"))</f>
        <v/>
      </c>
      <c r="H365" s="20" t="str">
        <f>IF('Step 8 - Controller'!B12="","",IF('Step 8 - Controller'!C12="","",'Step 8 - Controller'!C12))</f>
        <v/>
      </c>
      <c r="I365" s="20" t="str">
        <f>IF('Step 8 - Controller'!B12="","","Organization Code")</f>
        <v/>
      </c>
      <c r="J365" s="19" t="str">
        <f>IF('Step 8 - Controller'!B12="","","Equals")</f>
        <v/>
      </c>
      <c r="K365" s="20" t="str">
        <f>IF('Step 8 - Controller'!B12="","",'Step 8 - Controller'!D12)</f>
        <v/>
      </c>
      <c r="L365" s="20" t="str">
        <f>IF('Step 8 - Controller'!B12="","","Other Criteria")</f>
        <v/>
      </c>
      <c r="M365" s="19" t="str">
        <f>IF('Step 8 - Controller'!B12="","","Equals")</f>
        <v/>
      </c>
      <c r="N365" s="20" t="str">
        <f>IF('Step 8 - Controller'!B12="","",'Step 8 - Controller'!E12)</f>
        <v/>
      </c>
      <c r="O365" s="20" t="str">
        <f>IF('Step 8 - Controller'!B12="","",IF('Step 8 - Controller'!F12="","","Total"))</f>
        <v/>
      </c>
      <c r="P365" s="19" t="str">
        <f>IF('Step 8 - Controller'!B12="","",IF('Step 8 - Controller'!F12="","","&gt;="))</f>
        <v/>
      </c>
      <c r="Q365" s="20" t="str">
        <f>IF('Step 8 - Controller'!B12="","",IF('Step 8 - Controller'!F12="","",'Step 8 - Controller'!F12))</f>
        <v/>
      </c>
      <c r="R365" s="20" t="str">
        <f>""</f>
        <v/>
      </c>
      <c r="S365" s="20" t="str">
        <f>""</f>
        <v/>
      </c>
      <c r="T365" s="20" t="str">
        <f>""</f>
        <v/>
      </c>
      <c r="U365" s="20" t="str">
        <f>IF('Step 8 - Controller'!B12="","",'Step 8 - Controller'!I12)</f>
        <v/>
      </c>
      <c r="V365" s="19" t="str">
        <f>IF('Step 8 - Controller'!B12="","",'Step 8 - Controller'!K12)</f>
        <v/>
      </c>
      <c r="W365" s="20" t="str">
        <f>IF('Step 8 - Controller'!B12="","",'Step 8 - Controller'!L12)</f>
        <v/>
      </c>
      <c r="X365" s="19" t="str">
        <f>IF('Step 8 - Controller'!B12="","",'Step 8 - Controller'!N12)</f>
        <v/>
      </c>
      <c r="Y365" s="20" t="str">
        <f>""</f>
        <v/>
      </c>
      <c r="Z365" s="20" t="str">
        <f>""</f>
        <v/>
      </c>
      <c r="AA365" s="20" t="str">
        <f>""</f>
        <v/>
      </c>
      <c r="AB365" s="20" t="str">
        <f>""</f>
        <v/>
      </c>
      <c r="AC365" s="20" t="str">
        <f>""</f>
        <v/>
      </c>
      <c r="AD365" s="20" t="str">
        <f>""</f>
        <v/>
      </c>
      <c r="AE365" s="20" t="str">
        <f>""</f>
        <v/>
      </c>
      <c r="AF365" s="20" t="str">
        <f>""</f>
        <v/>
      </c>
      <c r="AG365" s="20" t="str">
        <f>""</f>
        <v/>
      </c>
      <c r="AH365" s="20" t="str">
        <f>""</f>
        <v/>
      </c>
      <c r="AI365" s="20" t="str">
        <f>""</f>
        <v/>
      </c>
      <c r="AJ365" s="20" t="str">
        <f>""</f>
        <v/>
      </c>
      <c r="AK365" s="20" t="str">
        <f>""</f>
        <v/>
      </c>
      <c r="AL365" s="20" t="str">
        <f>""</f>
        <v/>
      </c>
      <c r="AM365" s="20" t="str">
        <f>""</f>
        <v/>
      </c>
    </row>
    <row r="366" spans="1:39" ht="15.75" customHeight="1" x14ac:dyDescent="0.25">
      <c r="A366" s="17" t="str">
        <f>IF('Step 8 - Controller'!B13="","","Active")</f>
        <v/>
      </c>
      <c r="B366" s="18" t="str">
        <f>IF('Step 8 - Controller'!B13="","",'Step 8 - Controller'!B13)</f>
        <v/>
      </c>
      <c r="C366" s="18" t="str">
        <f>IF('Step 8 - Controller'!B13="","",'Step 8 - Controller'!B13)</f>
        <v/>
      </c>
      <c r="D366" s="17" t="str">
        <f>IF('Step 8 - Controller'!B13="","",'Step 8 - Controller'!G13)</f>
        <v/>
      </c>
      <c r="E366" s="17" t="str">
        <f>IF('Step 8 - Controller'!B13="","",'Step 8 - Controller'!H13)</f>
        <v/>
      </c>
      <c r="F366" s="18" t="str">
        <f>IF('Step 8 - Controller'!B13="","",IF('Step 8 - Controller'!C13="","","Fund Code"))</f>
        <v/>
      </c>
      <c r="G366" s="17" t="str">
        <f>IF('Step 8 - Controller'!B13="","",IF('Step 8 - Controller'!C13="","","Equals"))</f>
        <v/>
      </c>
      <c r="H366" s="18" t="str">
        <f>IF('Step 8 - Controller'!B13="","",IF('Step 8 - Controller'!C13="","",'Step 8 - Controller'!C13))</f>
        <v/>
      </c>
      <c r="I366" s="18" t="str">
        <f>IF('Step 8 - Controller'!B13="","","Organization Code")</f>
        <v/>
      </c>
      <c r="J366" s="17" t="str">
        <f>IF('Step 8 - Controller'!B13="","","Equals")</f>
        <v/>
      </c>
      <c r="K366" s="18" t="str">
        <f>IF('Step 8 - Controller'!B13="","",'Step 8 - Controller'!D13)</f>
        <v/>
      </c>
      <c r="L366" s="18" t="str">
        <f>IF('Step 8 - Controller'!B13="","","Other Criteria")</f>
        <v/>
      </c>
      <c r="M366" s="17" t="str">
        <f>IF('Step 8 - Controller'!B13="","","Equals")</f>
        <v/>
      </c>
      <c r="N366" s="18" t="str">
        <f>IF('Step 8 - Controller'!B13="","",'Step 8 - Controller'!E13)</f>
        <v/>
      </c>
      <c r="O366" s="18" t="str">
        <f>IF('Step 8 - Controller'!B13="","",IF('Step 8 - Controller'!F13="","","Total"))</f>
        <v/>
      </c>
      <c r="P366" s="17" t="str">
        <f>IF('Step 8 - Controller'!B13="","",IF('Step 8 - Controller'!F13="","","&gt;="))</f>
        <v/>
      </c>
      <c r="Q366" s="18" t="str">
        <f>IF('Step 8 - Controller'!B13="","",IF('Step 8 - Controller'!F13="","",'Step 8 - Controller'!F13))</f>
        <v/>
      </c>
      <c r="R366" s="18" t="str">
        <f>""</f>
        <v/>
      </c>
      <c r="S366" s="18" t="str">
        <f>""</f>
        <v/>
      </c>
      <c r="T366" s="18" t="str">
        <f>""</f>
        <v/>
      </c>
      <c r="U366" s="18" t="str">
        <f>IF('Step 8 - Controller'!B13="","",'Step 8 - Controller'!I13)</f>
        <v/>
      </c>
      <c r="V366" s="17" t="str">
        <f>IF('Step 8 - Controller'!B13="","",'Step 8 - Controller'!K13)</f>
        <v/>
      </c>
      <c r="W366" s="18" t="str">
        <f>IF('Step 8 - Controller'!B13="","",'Step 8 - Controller'!L13)</f>
        <v/>
      </c>
      <c r="X366" s="17" t="str">
        <f>IF('Step 8 - Controller'!B13="","",'Step 8 - Controller'!N13)</f>
        <v/>
      </c>
      <c r="Y366" s="18" t="str">
        <f>""</f>
        <v/>
      </c>
      <c r="Z366" s="18" t="str">
        <f>""</f>
        <v/>
      </c>
      <c r="AA366" s="18" t="str">
        <f>""</f>
        <v/>
      </c>
      <c r="AB366" s="18" t="str">
        <f>""</f>
        <v/>
      </c>
      <c r="AC366" s="18" t="str">
        <f>""</f>
        <v/>
      </c>
      <c r="AD366" s="18" t="str">
        <f>""</f>
        <v/>
      </c>
      <c r="AE366" s="18" t="str">
        <f>""</f>
        <v/>
      </c>
      <c r="AF366" s="18" t="str">
        <f>""</f>
        <v/>
      </c>
      <c r="AG366" s="18" t="str">
        <f>""</f>
        <v/>
      </c>
      <c r="AH366" s="18" t="str">
        <f>""</f>
        <v/>
      </c>
      <c r="AI366" s="18" t="str">
        <f>""</f>
        <v/>
      </c>
      <c r="AJ366" s="18" t="str">
        <f>""</f>
        <v/>
      </c>
      <c r="AK366" s="18" t="str">
        <f>""</f>
        <v/>
      </c>
      <c r="AL366" s="18" t="str">
        <f>""</f>
        <v/>
      </c>
      <c r="AM366" s="18" t="str">
        <f>""</f>
        <v/>
      </c>
    </row>
    <row r="367" spans="1:39" ht="15.75" customHeight="1" x14ac:dyDescent="0.25">
      <c r="A367" s="19" t="str">
        <f>IF('Step 8 - Controller'!B14="","","Active")</f>
        <v/>
      </c>
      <c r="B367" s="20" t="str">
        <f>IF('Step 8 - Controller'!B14="","",'Step 8 - Controller'!B14)</f>
        <v/>
      </c>
      <c r="C367" s="20" t="str">
        <f>IF('Step 8 - Controller'!B14="","",'Step 8 - Controller'!B14)</f>
        <v/>
      </c>
      <c r="D367" s="19" t="str">
        <f>IF('Step 8 - Controller'!B14="","",'Step 8 - Controller'!G14)</f>
        <v/>
      </c>
      <c r="E367" s="19" t="str">
        <f>IF('Step 8 - Controller'!B14="","",'Step 8 - Controller'!H14)</f>
        <v/>
      </c>
      <c r="F367" s="20" t="str">
        <f>IF('Step 8 - Controller'!B14="","",IF('Step 8 - Controller'!C14="","","Fund Code"))</f>
        <v/>
      </c>
      <c r="G367" s="19" t="str">
        <f>IF('Step 8 - Controller'!B14="","",IF('Step 8 - Controller'!C14="","","Equals"))</f>
        <v/>
      </c>
      <c r="H367" s="20" t="str">
        <f>IF('Step 8 - Controller'!B14="","",IF('Step 8 - Controller'!C14="","",'Step 8 - Controller'!C14))</f>
        <v/>
      </c>
      <c r="I367" s="20" t="str">
        <f>IF('Step 8 - Controller'!B14="","","Organization Code")</f>
        <v/>
      </c>
      <c r="J367" s="19" t="str">
        <f>IF('Step 8 - Controller'!B14="","","Equals")</f>
        <v/>
      </c>
      <c r="K367" s="20" t="str">
        <f>IF('Step 8 - Controller'!B14="","",'Step 8 - Controller'!D14)</f>
        <v/>
      </c>
      <c r="L367" s="20" t="str">
        <f>IF('Step 8 - Controller'!B14="","","Other Criteria")</f>
        <v/>
      </c>
      <c r="M367" s="19" t="str">
        <f>IF('Step 8 - Controller'!B14="","","Equals")</f>
        <v/>
      </c>
      <c r="N367" s="20" t="str">
        <f>IF('Step 8 - Controller'!B14="","",'Step 8 - Controller'!E14)</f>
        <v/>
      </c>
      <c r="O367" s="20" t="str">
        <f>IF('Step 8 - Controller'!B14="","",IF('Step 8 - Controller'!F14="","","Total"))</f>
        <v/>
      </c>
      <c r="P367" s="19" t="str">
        <f>IF('Step 8 - Controller'!B14="","",IF('Step 8 - Controller'!F14="","","&gt;="))</f>
        <v/>
      </c>
      <c r="Q367" s="20" t="str">
        <f>IF('Step 8 - Controller'!B14="","",IF('Step 8 - Controller'!F14="","",'Step 8 - Controller'!F14))</f>
        <v/>
      </c>
      <c r="R367" s="20" t="str">
        <f>""</f>
        <v/>
      </c>
      <c r="S367" s="20" t="str">
        <f>""</f>
        <v/>
      </c>
      <c r="T367" s="20" t="str">
        <f>""</f>
        <v/>
      </c>
      <c r="U367" s="20" t="str">
        <f>IF('Step 8 - Controller'!B14="","",'Step 8 - Controller'!I14)</f>
        <v/>
      </c>
      <c r="V367" s="19" t="str">
        <f>IF('Step 8 - Controller'!B14="","",'Step 8 - Controller'!K14)</f>
        <v/>
      </c>
      <c r="W367" s="20" t="str">
        <f>IF('Step 8 - Controller'!B14="","",'Step 8 - Controller'!L14)</f>
        <v/>
      </c>
      <c r="X367" s="19" t="str">
        <f>IF('Step 8 - Controller'!B14="","",'Step 8 - Controller'!N14)</f>
        <v/>
      </c>
      <c r="Y367" s="20" t="str">
        <f>""</f>
        <v/>
      </c>
      <c r="Z367" s="20" t="str">
        <f>""</f>
        <v/>
      </c>
      <c r="AA367" s="20" t="str">
        <f>""</f>
        <v/>
      </c>
      <c r="AB367" s="20" t="str">
        <f>""</f>
        <v/>
      </c>
      <c r="AC367" s="20" t="str">
        <f>""</f>
        <v/>
      </c>
      <c r="AD367" s="20" t="str">
        <f>""</f>
        <v/>
      </c>
      <c r="AE367" s="20" t="str">
        <f>""</f>
        <v/>
      </c>
      <c r="AF367" s="20" t="str">
        <f>""</f>
        <v/>
      </c>
      <c r="AG367" s="20" t="str">
        <f>""</f>
        <v/>
      </c>
      <c r="AH367" s="20" t="str">
        <f>""</f>
        <v/>
      </c>
      <c r="AI367" s="20" t="str">
        <f>""</f>
        <v/>
      </c>
      <c r="AJ367" s="20" t="str">
        <f>""</f>
        <v/>
      </c>
      <c r="AK367" s="20" t="str">
        <f>""</f>
        <v/>
      </c>
      <c r="AL367" s="20" t="str">
        <f>""</f>
        <v/>
      </c>
      <c r="AM367" s="20" t="str">
        <f>""</f>
        <v/>
      </c>
    </row>
    <row r="368" spans="1:39" ht="15.75" customHeight="1" x14ac:dyDescent="0.25">
      <c r="A368" s="17" t="str">
        <f>IF('Step 8 - Controller'!B15="","","Active")</f>
        <v/>
      </c>
      <c r="B368" s="18" t="str">
        <f>IF('Step 8 - Controller'!B15="","",'Step 8 - Controller'!B15)</f>
        <v/>
      </c>
      <c r="C368" s="18" t="str">
        <f>IF('Step 8 - Controller'!B15="","",'Step 8 - Controller'!B15)</f>
        <v/>
      </c>
      <c r="D368" s="17" t="str">
        <f>IF('Step 8 - Controller'!B15="","",'Step 8 - Controller'!G15)</f>
        <v/>
      </c>
      <c r="E368" s="17" t="str">
        <f>IF('Step 8 - Controller'!B15="","",'Step 8 - Controller'!H15)</f>
        <v/>
      </c>
      <c r="F368" s="18" t="str">
        <f>IF('Step 8 - Controller'!B15="","",IF('Step 8 - Controller'!C15="","","Fund Code"))</f>
        <v/>
      </c>
      <c r="G368" s="17" t="str">
        <f>IF('Step 8 - Controller'!B15="","",IF('Step 8 - Controller'!C15="","","Equals"))</f>
        <v/>
      </c>
      <c r="H368" s="18" t="str">
        <f>IF('Step 8 - Controller'!B15="","",IF('Step 8 - Controller'!C15="","",'Step 8 - Controller'!C15))</f>
        <v/>
      </c>
      <c r="I368" s="18" t="str">
        <f>IF('Step 8 - Controller'!B15="","","Organization Code")</f>
        <v/>
      </c>
      <c r="J368" s="17" t="str">
        <f>IF('Step 8 - Controller'!B15="","","Equals")</f>
        <v/>
      </c>
      <c r="K368" s="18" t="str">
        <f>IF('Step 8 - Controller'!B15="","",'Step 8 - Controller'!D15)</f>
        <v/>
      </c>
      <c r="L368" s="18" t="str">
        <f>IF('Step 8 - Controller'!B15="","","Other Criteria")</f>
        <v/>
      </c>
      <c r="M368" s="17" t="str">
        <f>IF('Step 8 - Controller'!B15="","","Equals")</f>
        <v/>
      </c>
      <c r="N368" s="18" t="str">
        <f>IF('Step 8 - Controller'!B15="","",'Step 8 - Controller'!E15)</f>
        <v/>
      </c>
      <c r="O368" s="18" t="str">
        <f>IF('Step 8 - Controller'!B15="","",IF('Step 8 - Controller'!F15="","","Total"))</f>
        <v/>
      </c>
      <c r="P368" s="17" t="str">
        <f>IF('Step 8 - Controller'!B15="","",IF('Step 8 - Controller'!F15="","","&gt;="))</f>
        <v/>
      </c>
      <c r="Q368" s="18" t="str">
        <f>IF('Step 8 - Controller'!B15="","",IF('Step 8 - Controller'!F15="","",'Step 8 - Controller'!F15))</f>
        <v/>
      </c>
      <c r="R368" s="18" t="str">
        <f>""</f>
        <v/>
      </c>
      <c r="S368" s="18" t="str">
        <f>""</f>
        <v/>
      </c>
      <c r="T368" s="18" t="str">
        <f>""</f>
        <v/>
      </c>
      <c r="U368" s="18" t="str">
        <f>IF('Step 8 - Controller'!B15="","",'Step 8 - Controller'!I15)</f>
        <v/>
      </c>
      <c r="V368" s="17" t="str">
        <f>IF('Step 8 - Controller'!B15="","",'Step 8 - Controller'!K15)</f>
        <v/>
      </c>
      <c r="W368" s="18" t="str">
        <f>IF('Step 8 - Controller'!B15="","",'Step 8 - Controller'!L15)</f>
        <v/>
      </c>
      <c r="X368" s="17" t="str">
        <f>IF('Step 8 - Controller'!B15="","",'Step 8 - Controller'!N15)</f>
        <v/>
      </c>
      <c r="Y368" s="18" t="str">
        <f>""</f>
        <v/>
      </c>
      <c r="Z368" s="18" t="str">
        <f>""</f>
        <v/>
      </c>
      <c r="AA368" s="18" t="str">
        <f>""</f>
        <v/>
      </c>
      <c r="AB368" s="18" t="str">
        <f>""</f>
        <v/>
      </c>
      <c r="AC368" s="18" t="str">
        <f>""</f>
        <v/>
      </c>
      <c r="AD368" s="18" t="str">
        <f>""</f>
        <v/>
      </c>
      <c r="AE368" s="18" t="str">
        <f>""</f>
        <v/>
      </c>
      <c r="AF368" s="18" t="str">
        <f>""</f>
        <v/>
      </c>
      <c r="AG368" s="18" t="str">
        <f>""</f>
        <v/>
      </c>
      <c r="AH368" s="18" t="str">
        <f>""</f>
        <v/>
      </c>
      <c r="AI368" s="18" t="str">
        <f>""</f>
        <v/>
      </c>
      <c r="AJ368" s="18" t="str">
        <f>""</f>
        <v/>
      </c>
      <c r="AK368" s="18" t="str">
        <f>""</f>
        <v/>
      </c>
      <c r="AL368" s="18" t="str">
        <f>""</f>
        <v/>
      </c>
      <c r="AM368" s="18" t="str">
        <f>""</f>
        <v/>
      </c>
    </row>
    <row r="369" spans="1:39" ht="15.75" customHeight="1" x14ac:dyDescent="0.25">
      <c r="A369" s="19" t="str">
        <f>IF('Step 8 - Controller'!B16="","","Active")</f>
        <v/>
      </c>
      <c r="B369" s="20" t="str">
        <f>IF('Step 8 - Controller'!B16="","",'Step 8 - Controller'!B16)</f>
        <v/>
      </c>
      <c r="C369" s="20" t="str">
        <f>IF('Step 8 - Controller'!B16="","",'Step 8 - Controller'!B16)</f>
        <v/>
      </c>
      <c r="D369" s="19" t="str">
        <f>IF('Step 8 - Controller'!B16="","",'Step 8 - Controller'!G16)</f>
        <v/>
      </c>
      <c r="E369" s="19" t="str">
        <f>IF('Step 8 - Controller'!B16="","",'Step 8 - Controller'!H16)</f>
        <v/>
      </c>
      <c r="F369" s="20" t="str">
        <f>IF('Step 8 - Controller'!B16="","",IF('Step 8 - Controller'!C16="","","Fund Code"))</f>
        <v/>
      </c>
      <c r="G369" s="19" t="str">
        <f>IF('Step 8 - Controller'!B16="","",IF('Step 8 - Controller'!C16="","","Equals"))</f>
        <v/>
      </c>
      <c r="H369" s="20" t="str">
        <f>IF('Step 8 - Controller'!B16="","",IF('Step 8 - Controller'!C16="","",'Step 8 - Controller'!C16))</f>
        <v/>
      </c>
      <c r="I369" s="20" t="str">
        <f>IF('Step 8 - Controller'!B16="","","Organization Code")</f>
        <v/>
      </c>
      <c r="J369" s="19" t="str">
        <f>IF('Step 8 - Controller'!B16="","","Equals")</f>
        <v/>
      </c>
      <c r="K369" s="20" t="str">
        <f>IF('Step 8 - Controller'!B16="","",'Step 8 - Controller'!D16)</f>
        <v/>
      </c>
      <c r="L369" s="20" t="str">
        <f>IF('Step 8 - Controller'!B16="","","Other Criteria")</f>
        <v/>
      </c>
      <c r="M369" s="19" t="str">
        <f>IF('Step 8 - Controller'!B16="","","Equals")</f>
        <v/>
      </c>
      <c r="N369" s="20" t="str">
        <f>IF('Step 8 - Controller'!B16="","",'Step 8 - Controller'!E16)</f>
        <v/>
      </c>
      <c r="O369" s="20" t="str">
        <f>IF('Step 8 - Controller'!B16="","",IF('Step 8 - Controller'!F16="","","Total"))</f>
        <v/>
      </c>
      <c r="P369" s="19" t="str">
        <f>IF('Step 8 - Controller'!B16="","",IF('Step 8 - Controller'!F16="","","&gt;="))</f>
        <v/>
      </c>
      <c r="Q369" s="20" t="str">
        <f>IF('Step 8 - Controller'!B16="","",IF('Step 8 - Controller'!F16="","",'Step 8 - Controller'!F16))</f>
        <v/>
      </c>
      <c r="R369" s="20" t="str">
        <f>""</f>
        <v/>
      </c>
      <c r="S369" s="20" t="str">
        <f>""</f>
        <v/>
      </c>
      <c r="T369" s="20" t="str">
        <f>""</f>
        <v/>
      </c>
      <c r="U369" s="20" t="str">
        <f>IF('Step 8 - Controller'!B16="","",'Step 8 - Controller'!I16)</f>
        <v/>
      </c>
      <c r="V369" s="19" t="str">
        <f>IF('Step 8 - Controller'!B16="","",'Step 8 - Controller'!K16)</f>
        <v/>
      </c>
      <c r="W369" s="20" t="str">
        <f>IF('Step 8 - Controller'!B16="","",'Step 8 - Controller'!L16)</f>
        <v/>
      </c>
      <c r="X369" s="19" t="str">
        <f>IF('Step 8 - Controller'!B16="","",'Step 8 - Controller'!N16)</f>
        <v/>
      </c>
      <c r="Y369" s="20" t="str">
        <f>""</f>
        <v/>
      </c>
      <c r="Z369" s="20" t="str">
        <f>""</f>
        <v/>
      </c>
      <c r="AA369" s="20" t="str">
        <f>""</f>
        <v/>
      </c>
      <c r="AB369" s="20" t="str">
        <f>""</f>
        <v/>
      </c>
      <c r="AC369" s="20" t="str">
        <f>""</f>
        <v/>
      </c>
      <c r="AD369" s="20" t="str">
        <f>""</f>
        <v/>
      </c>
      <c r="AE369" s="20" t="str">
        <f>""</f>
        <v/>
      </c>
      <c r="AF369" s="20" t="str">
        <f>""</f>
        <v/>
      </c>
      <c r="AG369" s="20" t="str">
        <f>""</f>
        <v/>
      </c>
      <c r="AH369" s="20" t="str">
        <f>""</f>
        <v/>
      </c>
      <c r="AI369" s="20" t="str">
        <f>""</f>
        <v/>
      </c>
      <c r="AJ369" s="20" t="str">
        <f>""</f>
        <v/>
      </c>
      <c r="AK369" s="20" t="str">
        <f>""</f>
        <v/>
      </c>
      <c r="AL369" s="20" t="str">
        <f>""</f>
        <v/>
      </c>
      <c r="AM369" s="20" t="str">
        <f>""</f>
        <v/>
      </c>
    </row>
    <row r="370" spans="1:39" ht="15.75" customHeight="1" x14ac:dyDescent="0.25">
      <c r="A370" s="17" t="str">
        <f>IF('Step 8 - Controller'!B17="","","Active")</f>
        <v/>
      </c>
      <c r="B370" s="18" t="str">
        <f>IF('Step 8 - Controller'!B17="","",'Step 8 - Controller'!B17)</f>
        <v/>
      </c>
      <c r="C370" s="18" t="str">
        <f>IF('Step 8 - Controller'!B17="","",'Step 8 - Controller'!B17)</f>
        <v/>
      </c>
      <c r="D370" s="17" t="str">
        <f>IF('Step 8 - Controller'!B17="","",'Step 8 - Controller'!G17)</f>
        <v/>
      </c>
      <c r="E370" s="17" t="str">
        <f>IF('Step 8 - Controller'!B17="","",'Step 8 - Controller'!H17)</f>
        <v/>
      </c>
      <c r="F370" s="18" t="str">
        <f>IF('Step 8 - Controller'!B17="","",IF('Step 8 - Controller'!C17="","","Fund Code"))</f>
        <v/>
      </c>
      <c r="G370" s="17" t="str">
        <f>IF('Step 8 - Controller'!B17="","",IF('Step 8 - Controller'!C17="","","Equals"))</f>
        <v/>
      </c>
      <c r="H370" s="18" t="str">
        <f>IF('Step 8 - Controller'!B17="","",IF('Step 8 - Controller'!C17="","",'Step 8 - Controller'!C17))</f>
        <v/>
      </c>
      <c r="I370" s="18" t="str">
        <f>IF('Step 8 - Controller'!B17="","","Organization Code")</f>
        <v/>
      </c>
      <c r="J370" s="17" t="str">
        <f>IF('Step 8 - Controller'!B17="","","Equals")</f>
        <v/>
      </c>
      <c r="K370" s="18" t="str">
        <f>IF('Step 8 - Controller'!B17="","",'Step 8 - Controller'!D17)</f>
        <v/>
      </c>
      <c r="L370" s="18" t="str">
        <f>IF('Step 8 - Controller'!B17="","","Other Criteria")</f>
        <v/>
      </c>
      <c r="M370" s="17" t="str">
        <f>IF('Step 8 - Controller'!B17="","","Equals")</f>
        <v/>
      </c>
      <c r="N370" s="18" t="str">
        <f>IF('Step 8 - Controller'!B17="","",'Step 8 - Controller'!E17)</f>
        <v/>
      </c>
      <c r="O370" s="18" t="str">
        <f>IF('Step 8 - Controller'!B17="","",IF('Step 8 - Controller'!F17="","","Total"))</f>
        <v/>
      </c>
      <c r="P370" s="17" t="str">
        <f>IF('Step 8 - Controller'!B17="","",IF('Step 8 - Controller'!F17="","","&gt;="))</f>
        <v/>
      </c>
      <c r="Q370" s="18" t="str">
        <f>IF('Step 8 - Controller'!B17="","",IF('Step 8 - Controller'!F17="","",'Step 8 - Controller'!F17))</f>
        <v/>
      </c>
      <c r="R370" s="18" t="str">
        <f>""</f>
        <v/>
      </c>
      <c r="S370" s="18" t="str">
        <f>""</f>
        <v/>
      </c>
      <c r="T370" s="18" t="str">
        <f>""</f>
        <v/>
      </c>
      <c r="U370" s="18" t="str">
        <f>IF('Step 8 - Controller'!B17="","",'Step 8 - Controller'!I17)</f>
        <v/>
      </c>
      <c r="V370" s="17" t="str">
        <f>IF('Step 8 - Controller'!B17="","",'Step 8 - Controller'!K17)</f>
        <v/>
      </c>
      <c r="W370" s="18" t="str">
        <f>IF('Step 8 - Controller'!B17="","",'Step 8 - Controller'!L17)</f>
        <v/>
      </c>
      <c r="X370" s="17" t="str">
        <f>IF('Step 8 - Controller'!B17="","",'Step 8 - Controller'!N17)</f>
        <v/>
      </c>
      <c r="Y370" s="18" t="str">
        <f>""</f>
        <v/>
      </c>
      <c r="Z370" s="18" t="str">
        <f>""</f>
        <v/>
      </c>
      <c r="AA370" s="18" t="str">
        <f>""</f>
        <v/>
      </c>
      <c r="AB370" s="18" t="str">
        <f>""</f>
        <v/>
      </c>
      <c r="AC370" s="18" t="str">
        <f>""</f>
        <v/>
      </c>
      <c r="AD370" s="18" t="str">
        <f>""</f>
        <v/>
      </c>
      <c r="AE370" s="18" t="str">
        <f>""</f>
        <v/>
      </c>
      <c r="AF370" s="18" t="str">
        <f>""</f>
        <v/>
      </c>
      <c r="AG370" s="18" t="str">
        <f>""</f>
        <v/>
      </c>
      <c r="AH370" s="18" t="str">
        <f>""</f>
        <v/>
      </c>
      <c r="AI370" s="18" t="str">
        <f>""</f>
        <v/>
      </c>
      <c r="AJ370" s="18" t="str">
        <f>""</f>
        <v/>
      </c>
      <c r="AK370" s="18" t="str">
        <f>""</f>
        <v/>
      </c>
      <c r="AL370" s="18" t="str">
        <f>""</f>
        <v/>
      </c>
      <c r="AM370" s="18" t="str">
        <f>""</f>
        <v/>
      </c>
    </row>
    <row r="371" spans="1:39" ht="15.75" customHeight="1" x14ac:dyDescent="0.25">
      <c r="A371" s="19" t="str">
        <f>IF('Step 8 - Controller'!B18="","","Active")</f>
        <v/>
      </c>
      <c r="B371" s="20" t="str">
        <f>IF('Step 8 - Controller'!B18="","",'Step 8 - Controller'!B18)</f>
        <v/>
      </c>
      <c r="C371" s="20" t="str">
        <f>IF('Step 8 - Controller'!B18="","",'Step 8 - Controller'!B18)</f>
        <v/>
      </c>
      <c r="D371" s="19" t="str">
        <f>IF('Step 8 - Controller'!B18="","",'Step 8 - Controller'!G18)</f>
        <v/>
      </c>
      <c r="E371" s="19" t="str">
        <f>IF('Step 8 - Controller'!B18="","",'Step 8 - Controller'!H18)</f>
        <v/>
      </c>
      <c r="F371" s="20" t="str">
        <f>IF('Step 8 - Controller'!B18="","",IF('Step 8 - Controller'!C18="","","Fund Code"))</f>
        <v/>
      </c>
      <c r="G371" s="19" t="str">
        <f>IF('Step 8 - Controller'!B18="","",IF('Step 8 - Controller'!C18="","","Equals"))</f>
        <v/>
      </c>
      <c r="H371" s="20" t="str">
        <f>IF('Step 8 - Controller'!B18="","",IF('Step 8 - Controller'!C18="","",'Step 8 - Controller'!C18))</f>
        <v/>
      </c>
      <c r="I371" s="20" t="str">
        <f>IF('Step 8 - Controller'!B18="","","Organization Code")</f>
        <v/>
      </c>
      <c r="J371" s="19" t="str">
        <f>IF('Step 8 - Controller'!B18="","","Equals")</f>
        <v/>
      </c>
      <c r="K371" s="20" t="str">
        <f>IF('Step 8 - Controller'!B18="","",'Step 8 - Controller'!D18)</f>
        <v/>
      </c>
      <c r="L371" s="20" t="str">
        <f>IF('Step 8 - Controller'!B18="","","Other Criteria")</f>
        <v/>
      </c>
      <c r="M371" s="19" t="str">
        <f>IF('Step 8 - Controller'!B18="","","Equals")</f>
        <v/>
      </c>
      <c r="N371" s="20" t="str">
        <f>IF('Step 8 - Controller'!B18="","",'Step 8 - Controller'!E18)</f>
        <v/>
      </c>
      <c r="O371" s="20" t="str">
        <f>IF('Step 8 - Controller'!B18="","",IF('Step 8 - Controller'!F18="","","Total"))</f>
        <v/>
      </c>
      <c r="P371" s="19" t="str">
        <f>IF('Step 8 - Controller'!B18="","",IF('Step 8 - Controller'!F18="","","&gt;="))</f>
        <v/>
      </c>
      <c r="Q371" s="20" t="str">
        <f>IF('Step 8 - Controller'!B18="","",IF('Step 8 - Controller'!F18="","",'Step 8 - Controller'!F18))</f>
        <v/>
      </c>
      <c r="R371" s="20" t="str">
        <f>""</f>
        <v/>
      </c>
      <c r="S371" s="20" t="str">
        <f>""</f>
        <v/>
      </c>
      <c r="T371" s="20" t="str">
        <f>""</f>
        <v/>
      </c>
      <c r="U371" s="20" t="str">
        <f>IF('Step 8 - Controller'!B18="","",'Step 8 - Controller'!I18)</f>
        <v/>
      </c>
      <c r="V371" s="19" t="str">
        <f>IF('Step 8 - Controller'!B18="","",'Step 8 - Controller'!K18)</f>
        <v/>
      </c>
      <c r="W371" s="20" t="str">
        <f>IF('Step 8 - Controller'!B18="","",'Step 8 - Controller'!L18)</f>
        <v/>
      </c>
      <c r="X371" s="19" t="str">
        <f>IF('Step 8 - Controller'!B18="","",'Step 8 - Controller'!N18)</f>
        <v/>
      </c>
      <c r="Y371" s="20" t="str">
        <f>""</f>
        <v/>
      </c>
      <c r="Z371" s="20" t="str">
        <f>""</f>
        <v/>
      </c>
      <c r="AA371" s="20" t="str">
        <f>""</f>
        <v/>
      </c>
      <c r="AB371" s="20" t="str">
        <f>""</f>
        <v/>
      </c>
      <c r="AC371" s="20" t="str">
        <f>""</f>
        <v/>
      </c>
      <c r="AD371" s="20" t="str">
        <f>""</f>
        <v/>
      </c>
      <c r="AE371" s="20" t="str">
        <f>""</f>
        <v/>
      </c>
      <c r="AF371" s="20" t="str">
        <f>""</f>
        <v/>
      </c>
      <c r="AG371" s="20" t="str">
        <f>""</f>
        <v/>
      </c>
      <c r="AH371" s="20" t="str">
        <f>""</f>
        <v/>
      </c>
      <c r="AI371" s="20" t="str">
        <f>""</f>
        <v/>
      </c>
      <c r="AJ371" s="20" t="str">
        <f>""</f>
        <v/>
      </c>
      <c r="AK371" s="20" t="str">
        <f>""</f>
        <v/>
      </c>
      <c r="AL371" s="20" t="str">
        <f>""</f>
        <v/>
      </c>
      <c r="AM371" s="20" t="str">
        <f>""</f>
        <v/>
      </c>
    </row>
    <row r="372" spans="1:39" ht="15.75" customHeight="1" x14ac:dyDescent="0.25">
      <c r="A372" s="17" t="str">
        <f>IF('Step 8 - Controller'!B19="","","Active")</f>
        <v/>
      </c>
      <c r="B372" s="18" t="str">
        <f>IF('Step 8 - Controller'!B19="","",'Step 8 - Controller'!B19)</f>
        <v/>
      </c>
      <c r="C372" s="18" t="str">
        <f>IF('Step 8 - Controller'!B19="","",'Step 8 - Controller'!B19)</f>
        <v/>
      </c>
      <c r="D372" s="17" t="str">
        <f>IF('Step 8 - Controller'!B19="","",'Step 8 - Controller'!G19)</f>
        <v/>
      </c>
      <c r="E372" s="17" t="str">
        <f>IF('Step 8 - Controller'!B19="","",'Step 8 - Controller'!H19)</f>
        <v/>
      </c>
      <c r="F372" s="18" t="str">
        <f>IF('Step 8 - Controller'!B19="","",IF('Step 8 - Controller'!C19="","","Fund Code"))</f>
        <v/>
      </c>
      <c r="G372" s="17" t="str">
        <f>IF('Step 8 - Controller'!B19="","",IF('Step 8 - Controller'!C19="","","Equals"))</f>
        <v/>
      </c>
      <c r="H372" s="18" t="str">
        <f>IF('Step 8 - Controller'!B19="","",IF('Step 8 - Controller'!C19="","",'Step 8 - Controller'!C19))</f>
        <v/>
      </c>
      <c r="I372" s="18" t="str">
        <f>IF('Step 8 - Controller'!B19="","","Organization Code")</f>
        <v/>
      </c>
      <c r="J372" s="17" t="str">
        <f>IF('Step 8 - Controller'!B19="","","Equals")</f>
        <v/>
      </c>
      <c r="K372" s="18" t="str">
        <f>IF('Step 8 - Controller'!B19="","",'Step 8 - Controller'!D19)</f>
        <v/>
      </c>
      <c r="L372" s="18" t="str">
        <f>IF('Step 8 - Controller'!B19="","","Other Criteria")</f>
        <v/>
      </c>
      <c r="M372" s="17" t="str">
        <f>IF('Step 8 - Controller'!B19="","","Equals")</f>
        <v/>
      </c>
      <c r="N372" s="18" t="str">
        <f>IF('Step 8 - Controller'!B19="","",'Step 8 - Controller'!E19)</f>
        <v/>
      </c>
      <c r="O372" s="18" t="str">
        <f>IF('Step 8 - Controller'!B19="","",IF('Step 8 - Controller'!F19="","","Total"))</f>
        <v/>
      </c>
      <c r="P372" s="17" t="str">
        <f>IF('Step 8 - Controller'!B19="","",IF('Step 8 - Controller'!F19="","","&gt;="))</f>
        <v/>
      </c>
      <c r="Q372" s="18" t="str">
        <f>IF('Step 8 - Controller'!B19="","",IF('Step 8 - Controller'!F19="","",'Step 8 - Controller'!F19))</f>
        <v/>
      </c>
      <c r="R372" s="18" t="str">
        <f>""</f>
        <v/>
      </c>
      <c r="S372" s="18" t="str">
        <f>""</f>
        <v/>
      </c>
      <c r="T372" s="18" t="str">
        <f>""</f>
        <v/>
      </c>
      <c r="U372" s="18" t="str">
        <f>IF('Step 8 - Controller'!B19="","",'Step 8 - Controller'!I19)</f>
        <v/>
      </c>
      <c r="V372" s="17" t="str">
        <f>IF('Step 8 - Controller'!B19="","",'Step 8 - Controller'!K19)</f>
        <v/>
      </c>
      <c r="W372" s="18" t="str">
        <f>IF('Step 8 - Controller'!B19="","",'Step 8 - Controller'!L19)</f>
        <v/>
      </c>
      <c r="X372" s="17" t="str">
        <f>IF('Step 8 - Controller'!B19="","",'Step 8 - Controller'!N19)</f>
        <v/>
      </c>
      <c r="Y372" s="18" t="str">
        <f>""</f>
        <v/>
      </c>
      <c r="Z372" s="18" t="str">
        <f>""</f>
        <v/>
      </c>
      <c r="AA372" s="18" t="str">
        <f>""</f>
        <v/>
      </c>
      <c r="AB372" s="18" t="str">
        <f>""</f>
        <v/>
      </c>
      <c r="AC372" s="18" t="str">
        <f>""</f>
        <v/>
      </c>
      <c r="AD372" s="18" t="str">
        <f>""</f>
        <v/>
      </c>
      <c r="AE372" s="18" t="str">
        <f>""</f>
        <v/>
      </c>
      <c r="AF372" s="18" t="str">
        <f>""</f>
        <v/>
      </c>
      <c r="AG372" s="18" t="str">
        <f>""</f>
        <v/>
      </c>
      <c r="AH372" s="18" t="str">
        <f>""</f>
        <v/>
      </c>
      <c r="AI372" s="18" t="str">
        <f>""</f>
        <v/>
      </c>
      <c r="AJ372" s="18" t="str">
        <f>""</f>
        <v/>
      </c>
      <c r="AK372" s="18" t="str">
        <f>""</f>
        <v/>
      </c>
      <c r="AL372" s="18" t="str">
        <f>""</f>
        <v/>
      </c>
      <c r="AM372" s="18" t="str">
        <f>""</f>
        <v/>
      </c>
    </row>
    <row r="373" spans="1:39" ht="15.75" customHeight="1" x14ac:dyDescent="0.25">
      <c r="A373" s="19" t="str">
        <f>IF('Step 8 - Controller'!B20="","","Active")</f>
        <v/>
      </c>
      <c r="B373" s="20" t="str">
        <f>IF('Step 8 - Controller'!B20="","",'Step 8 - Controller'!B20)</f>
        <v/>
      </c>
      <c r="C373" s="20" t="str">
        <f>IF('Step 8 - Controller'!B20="","",'Step 8 - Controller'!B20)</f>
        <v/>
      </c>
      <c r="D373" s="19" t="str">
        <f>IF('Step 8 - Controller'!B20="","",'Step 8 - Controller'!G20)</f>
        <v/>
      </c>
      <c r="E373" s="19" t="str">
        <f>IF('Step 8 - Controller'!B20="","",'Step 8 - Controller'!H20)</f>
        <v/>
      </c>
      <c r="F373" s="20" t="str">
        <f>IF('Step 8 - Controller'!B20="","",IF('Step 8 - Controller'!C20="","","Fund Code"))</f>
        <v/>
      </c>
      <c r="G373" s="19" t="str">
        <f>IF('Step 8 - Controller'!B20="","",IF('Step 8 - Controller'!C20="","","Equals"))</f>
        <v/>
      </c>
      <c r="H373" s="20" t="str">
        <f>IF('Step 8 - Controller'!B20="","",IF('Step 8 - Controller'!C20="","",'Step 8 - Controller'!C20))</f>
        <v/>
      </c>
      <c r="I373" s="20" t="str">
        <f>IF('Step 8 - Controller'!B20="","","Organization Code")</f>
        <v/>
      </c>
      <c r="J373" s="19" t="str">
        <f>IF('Step 8 - Controller'!B20="","","Equals")</f>
        <v/>
      </c>
      <c r="K373" s="20" t="str">
        <f>IF('Step 8 - Controller'!B20="","",'Step 8 - Controller'!D20)</f>
        <v/>
      </c>
      <c r="L373" s="20" t="str">
        <f>IF('Step 8 - Controller'!B20="","","Other Criteria")</f>
        <v/>
      </c>
      <c r="M373" s="19" t="str">
        <f>IF('Step 8 - Controller'!B20="","","Equals")</f>
        <v/>
      </c>
      <c r="N373" s="20" t="str">
        <f>IF('Step 8 - Controller'!B20="","",'Step 8 - Controller'!E20)</f>
        <v/>
      </c>
      <c r="O373" s="20" t="str">
        <f>IF('Step 8 - Controller'!B20="","",IF('Step 8 - Controller'!F20="","","Total"))</f>
        <v/>
      </c>
      <c r="P373" s="19" t="str">
        <f>IF('Step 8 - Controller'!B20="","",IF('Step 8 - Controller'!F20="","","&gt;="))</f>
        <v/>
      </c>
      <c r="Q373" s="20" t="str">
        <f>IF('Step 8 - Controller'!B20="","",IF('Step 8 - Controller'!F20="","",'Step 8 - Controller'!F20))</f>
        <v/>
      </c>
      <c r="R373" s="20" t="str">
        <f>""</f>
        <v/>
      </c>
      <c r="S373" s="20" t="str">
        <f>""</f>
        <v/>
      </c>
      <c r="T373" s="20" t="str">
        <f>""</f>
        <v/>
      </c>
      <c r="U373" s="20" t="str">
        <f>IF('Step 8 - Controller'!B20="","",'Step 8 - Controller'!I20)</f>
        <v/>
      </c>
      <c r="V373" s="19" t="str">
        <f>IF('Step 8 - Controller'!B20="","",'Step 8 - Controller'!K20)</f>
        <v/>
      </c>
      <c r="W373" s="20" t="str">
        <f>IF('Step 8 - Controller'!B20="","",'Step 8 - Controller'!L20)</f>
        <v/>
      </c>
      <c r="X373" s="19" t="str">
        <f>IF('Step 8 - Controller'!B20="","",'Step 8 - Controller'!N20)</f>
        <v/>
      </c>
      <c r="Y373" s="20" t="str">
        <f>""</f>
        <v/>
      </c>
      <c r="Z373" s="20" t="str">
        <f>""</f>
        <v/>
      </c>
      <c r="AA373" s="20" t="str">
        <f>""</f>
        <v/>
      </c>
      <c r="AB373" s="20" t="str">
        <f>""</f>
        <v/>
      </c>
      <c r="AC373" s="20" t="str">
        <f>""</f>
        <v/>
      </c>
      <c r="AD373" s="20" t="str">
        <f>""</f>
        <v/>
      </c>
      <c r="AE373" s="20" t="str">
        <f>""</f>
        <v/>
      </c>
      <c r="AF373" s="20" t="str">
        <f>""</f>
        <v/>
      </c>
      <c r="AG373" s="20" t="str">
        <f>""</f>
        <v/>
      </c>
      <c r="AH373" s="20" t="str">
        <f>""</f>
        <v/>
      </c>
      <c r="AI373" s="20" t="str">
        <f>""</f>
        <v/>
      </c>
      <c r="AJ373" s="20" t="str">
        <f>""</f>
        <v/>
      </c>
      <c r="AK373" s="20" t="str">
        <f>""</f>
        <v/>
      </c>
      <c r="AL373" s="20" t="str">
        <f>""</f>
        <v/>
      </c>
      <c r="AM373" s="20" t="str">
        <f>""</f>
        <v/>
      </c>
    </row>
    <row r="374" spans="1:39" ht="15.75" customHeight="1" x14ac:dyDescent="0.25">
      <c r="A374" s="17" t="str">
        <f>IF('Step 8 - Controller'!B21="","","Active")</f>
        <v/>
      </c>
      <c r="B374" s="18" t="str">
        <f>IF('Step 8 - Controller'!B21="","",'Step 8 - Controller'!B21)</f>
        <v/>
      </c>
      <c r="C374" s="18" t="str">
        <f>IF('Step 8 - Controller'!B21="","",'Step 8 - Controller'!B21)</f>
        <v/>
      </c>
      <c r="D374" s="17" t="str">
        <f>IF('Step 8 - Controller'!B21="","",'Step 8 - Controller'!G21)</f>
        <v/>
      </c>
      <c r="E374" s="17" t="str">
        <f>IF('Step 8 - Controller'!B21="","",'Step 8 - Controller'!H21)</f>
        <v/>
      </c>
      <c r="F374" s="18" t="str">
        <f>IF('Step 8 - Controller'!B21="","",IF('Step 8 - Controller'!C21="","","Fund Code"))</f>
        <v/>
      </c>
      <c r="G374" s="17" t="str">
        <f>IF('Step 8 - Controller'!B21="","",IF('Step 8 - Controller'!C21="","","Equals"))</f>
        <v/>
      </c>
      <c r="H374" s="18" t="str">
        <f>IF('Step 8 - Controller'!B21="","",IF('Step 8 - Controller'!C21="","",'Step 8 - Controller'!C21))</f>
        <v/>
      </c>
      <c r="I374" s="18" t="str">
        <f>IF('Step 8 - Controller'!B21="","","Organization Code")</f>
        <v/>
      </c>
      <c r="J374" s="17" t="str">
        <f>IF('Step 8 - Controller'!B21="","","Equals")</f>
        <v/>
      </c>
      <c r="K374" s="18" t="str">
        <f>IF('Step 8 - Controller'!B21="","",'Step 8 - Controller'!D21)</f>
        <v/>
      </c>
      <c r="L374" s="18" t="str">
        <f>IF('Step 8 - Controller'!B21="","","Other Criteria")</f>
        <v/>
      </c>
      <c r="M374" s="17" t="str">
        <f>IF('Step 8 - Controller'!B21="","","Equals")</f>
        <v/>
      </c>
      <c r="N374" s="18" t="str">
        <f>IF('Step 8 - Controller'!B21="","",'Step 8 - Controller'!E21)</f>
        <v/>
      </c>
      <c r="O374" s="18" t="str">
        <f>IF('Step 8 - Controller'!B21="","",IF('Step 8 - Controller'!F21="","","Total"))</f>
        <v/>
      </c>
      <c r="P374" s="17" t="str">
        <f>IF('Step 8 - Controller'!B21="","",IF('Step 8 - Controller'!F21="","","&gt;="))</f>
        <v/>
      </c>
      <c r="Q374" s="18" t="str">
        <f>IF('Step 8 - Controller'!B21="","",IF('Step 8 - Controller'!F21="","",'Step 8 - Controller'!F21))</f>
        <v/>
      </c>
      <c r="R374" s="18" t="str">
        <f>""</f>
        <v/>
      </c>
      <c r="S374" s="18" t="str">
        <f>""</f>
        <v/>
      </c>
      <c r="T374" s="18" t="str">
        <f>""</f>
        <v/>
      </c>
      <c r="U374" s="18" t="str">
        <f>IF('Step 8 - Controller'!B21="","",'Step 8 - Controller'!I21)</f>
        <v/>
      </c>
      <c r="V374" s="17" t="str">
        <f>IF('Step 8 - Controller'!B21="","",'Step 8 - Controller'!K21)</f>
        <v/>
      </c>
      <c r="W374" s="18" t="str">
        <f>IF('Step 8 - Controller'!B21="","",'Step 8 - Controller'!L21)</f>
        <v/>
      </c>
      <c r="X374" s="17" t="str">
        <f>IF('Step 8 - Controller'!B21="","",'Step 8 - Controller'!N21)</f>
        <v/>
      </c>
      <c r="Y374" s="18" t="str">
        <f>""</f>
        <v/>
      </c>
      <c r="Z374" s="18" t="str">
        <f>""</f>
        <v/>
      </c>
      <c r="AA374" s="18" t="str">
        <f>""</f>
        <v/>
      </c>
      <c r="AB374" s="18" t="str">
        <f>""</f>
        <v/>
      </c>
      <c r="AC374" s="18" t="str">
        <f>""</f>
        <v/>
      </c>
      <c r="AD374" s="18" t="str">
        <f>""</f>
        <v/>
      </c>
      <c r="AE374" s="18" t="str">
        <f>""</f>
        <v/>
      </c>
      <c r="AF374" s="18" t="str">
        <f>""</f>
        <v/>
      </c>
      <c r="AG374" s="18" t="str">
        <f>""</f>
        <v/>
      </c>
      <c r="AH374" s="18" t="str">
        <f>""</f>
        <v/>
      </c>
      <c r="AI374" s="18" t="str">
        <f>""</f>
        <v/>
      </c>
      <c r="AJ374" s="18" t="str">
        <f>""</f>
        <v/>
      </c>
      <c r="AK374" s="18" t="str">
        <f>""</f>
        <v/>
      </c>
      <c r="AL374" s="18" t="str">
        <f>""</f>
        <v/>
      </c>
      <c r="AM374" s="18" t="str">
        <f>""</f>
        <v/>
      </c>
    </row>
    <row r="375" spans="1:39" ht="15.75" customHeight="1" x14ac:dyDescent="0.25">
      <c r="A375" s="19" t="str">
        <f>IF('Step 8 - Controller'!B22="","","Active")</f>
        <v/>
      </c>
      <c r="B375" s="20" t="str">
        <f>IF('Step 8 - Controller'!B22="","",'Step 8 - Controller'!B22)</f>
        <v/>
      </c>
      <c r="C375" s="20" t="str">
        <f>IF('Step 8 - Controller'!B22="","",'Step 8 - Controller'!B22)</f>
        <v/>
      </c>
      <c r="D375" s="19" t="str">
        <f>IF('Step 8 - Controller'!B22="","",'Step 8 - Controller'!G22)</f>
        <v/>
      </c>
      <c r="E375" s="19" t="str">
        <f>IF('Step 8 - Controller'!B22="","",'Step 8 - Controller'!H22)</f>
        <v/>
      </c>
      <c r="F375" s="20" t="str">
        <f>IF('Step 8 - Controller'!B22="","",IF('Step 8 - Controller'!C22="","","Fund Code"))</f>
        <v/>
      </c>
      <c r="G375" s="19" t="str">
        <f>IF('Step 8 - Controller'!B22="","",IF('Step 8 - Controller'!C22="","","Equals"))</f>
        <v/>
      </c>
      <c r="H375" s="20" t="str">
        <f>IF('Step 8 - Controller'!B22="","",IF('Step 8 - Controller'!C22="","",'Step 8 - Controller'!C22))</f>
        <v/>
      </c>
      <c r="I375" s="20" t="str">
        <f>IF('Step 8 - Controller'!B22="","","Organization Code")</f>
        <v/>
      </c>
      <c r="J375" s="19" t="str">
        <f>IF('Step 8 - Controller'!B22="","","Equals")</f>
        <v/>
      </c>
      <c r="K375" s="20" t="str">
        <f>IF('Step 8 - Controller'!B22="","",'Step 8 - Controller'!D22)</f>
        <v/>
      </c>
      <c r="L375" s="20" t="str">
        <f>IF('Step 8 - Controller'!B22="","","Other Criteria")</f>
        <v/>
      </c>
      <c r="M375" s="19" t="str">
        <f>IF('Step 8 - Controller'!B22="","","Equals")</f>
        <v/>
      </c>
      <c r="N375" s="20" t="str">
        <f>IF('Step 8 - Controller'!B22="","",'Step 8 - Controller'!E22)</f>
        <v/>
      </c>
      <c r="O375" s="20" t="str">
        <f>IF('Step 8 - Controller'!B22="","",IF('Step 8 - Controller'!F22="","","Total"))</f>
        <v/>
      </c>
      <c r="P375" s="19" t="str">
        <f>IF('Step 8 - Controller'!B22="","",IF('Step 8 - Controller'!F22="","","&gt;="))</f>
        <v/>
      </c>
      <c r="Q375" s="20" t="str">
        <f>IF('Step 8 - Controller'!B22="","",IF('Step 8 - Controller'!F22="","",'Step 8 - Controller'!F22))</f>
        <v/>
      </c>
      <c r="R375" s="20" t="str">
        <f>""</f>
        <v/>
      </c>
      <c r="S375" s="20" t="str">
        <f>""</f>
        <v/>
      </c>
      <c r="T375" s="20" t="str">
        <f>""</f>
        <v/>
      </c>
      <c r="U375" s="20" t="str">
        <f>IF('Step 8 - Controller'!B22="","",'Step 8 - Controller'!I22)</f>
        <v/>
      </c>
      <c r="V375" s="19" t="str">
        <f>IF('Step 8 - Controller'!B22="","",'Step 8 - Controller'!K22)</f>
        <v/>
      </c>
      <c r="W375" s="20" t="str">
        <f>IF('Step 8 - Controller'!B22="","",'Step 8 - Controller'!L22)</f>
        <v/>
      </c>
      <c r="X375" s="19" t="str">
        <f>IF('Step 8 - Controller'!B22="","",'Step 8 - Controller'!N22)</f>
        <v/>
      </c>
      <c r="Y375" s="20" t="str">
        <f>""</f>
        <v/>
      </c>
      <c r="Z375" s="20" t="str">
        <f>""</f>
        <v/>
      </c>
      <c r="AA375" s="20" t="str">
        <f>""</f>
        <v/>
      </c>
      <c r="AB375" s="20" t="str">
        <f>""</f>
        <v/>
      </c>
      <c r="AC375" s="20" t="str">
        <f>""</f>
        <v/>
      </c>
      <c r="AD375" s="20" t="str">
        <f>""</f>
        <v/>
      </c>
      <c r="AE375" s="20" t="str">
        <f>""</f>
        <v/>
      </c>
      <c r="AF375" s="20" t="str">
        <f>""</f>
        <v/>
      </c>
      <c r="AG375" s="20" t="str">
        <f>""</f>
        <v/>
      </c>
      <c r="AH375" s="20" t="str">
        <f>""</f>
        <v/>
      </c>
      <c r="AI375" s="20" t="str">
        <f>""</f>
        <v/>
      </c>
      <c r="AJ375" s="20" t="str">
        <f>""</f>
        <v/>
      </c>
      <c r="AK375" s="20" t="str">
        <f>""</f>
        <v/>
      </c>
      <c r="AL375" s="20" t="str">
        <f>""</f>
        <v/>
      </c>
      <c r="AM375" s="20" t="str">
        <f>""</f>
        <v/>
      </c>
    </row>
    <row r="376" spans="1:39" ht="15.75" customHeight="1" x14ac:dyDescent="0.25">
      <c r="A376" s="17" t="str">
        <f>IF('Step 8 - Controller'!B23="","","Active")</f>
        <v/>
      </c>
      <c r="B376" s="18" t="str">
        <f>IF('Step 8 - Controller'!B23="","",'Step 8 - Controller'!B23)</f>
        <v/>
      </c>
      <c r="C376" s="18" t="str">
        <f>IF('Step 8 - Controller'!B23="","",'Step 8 - Controller'!B23)</f>
        <v/>
      </c>
      <c r="D376" s="17" t="str">
        <f>IF('Step 8 - Controller'!B23="","",'Step 8 - Controller'!G23)</f>
        <v/>
      </c>
      <c r="E376" s="17" t="str">
        <f>IF('Step 8 - Controller'!B23="","",'Step 8 - Controller'!H23)</f>
        <v/>
      </c>
      <c r="F376" s="18" t="str">
        <f>IF('Step 8 - Controller'!B23="","",IF('Step 8 - Controller'!C23="","","Fund Code"))</f>
        <v/>
      </c>
      <c r="G376" s="17" t="str">
        <f>IF('Step 8 - Controller'!B23="","",IF('Step 8 - Controller'!C23="","","Equals"))</f>
        <v/>
      </c>
      <c r="H376" s="18" t="str">
        <f>IF('Step 8 - Controller'!B23="","",IF('Step 8 - Controller'!C23="","",'Step 8 - Controller'!C23))</f>
        <v/>
      </c>
      <c r="I376" s="18" t="str">
        <f>IF('Step 8 - Controller'!B23="","","Organization Code")</f>
        <v/>
      </c>
      <c r="J376" s="17" t="str">
        <f>IF('Step 8 - Controller'!B23="","","Equals")</f>
        <v/>
      </c>
      <c r="K376" s="18" t="str">
        <f>IF('Step 8 - Controller'!B23="","",'Step 8 - Controller'!D23)</f>
        <v/>
      </c>
      <c r="L376" s="18" t="str">
        <f>IF('Step 8 - Controller'!B23="","","Other Criteria")</f>
        <v/>
      </c>
      <c r="M376" s="17" t="str">
        <f>IF('Step 8 - Controller'!B23="","","Equals")</f>
        <v/>
      </c>
      <c r="N376" s="18" t="str">
        <f>IF('Step 8 - Controller'!B23="","",'Step 8 - Controller'!E23)</f>
        <v/>
      </c>
      <c r="O376" s="18" t="str">
        <f>IF('Step 8 - Controller'!B23="","",IF('Step 8 - Controller'!F23="","","Total"))</f>
        <v/>
      </c>
      <c r="P376" s="17" t="str">
        <f>IF('Step 8 - Controller'!B23="","",IF('Step 8 - Controller'!F23="","","&gt;="))</f>
        <v/>
      </c>
      <c r="Q376" s="18" t="str">
        <f>IF('Step 8 - Controller'!B23="","",IF('Step 8 - Controller'!F23="","",'Step 8 - Controller'!F23))</f>
        <v/>
      </c>
      <c r="R376" s="18" t="str">
        <f>""</f>
        <v/>
      </c>
      <c r="S376" s="18" t="str">
        <f>""</f>
        <v/>
      </c>
      <c r="T376" s="18" t="str">
        <f>""</f>
        <v/>
      </c>
      <c r="U376" s="18" t="str">
        <f>IF('Step 8 - Controller'!B23="","",'Step 8 - Controller'!I23)</f>
        <v/>
      </c>
      <c r="V376" s="17" t="str">
        <f>IF('Step 8 - Controller'!B23="","",'Step 8 - Controller'!K23)</f>
        <v/>
      </c>
      <c r="W376" s="18" t="str">
        <f>IF('Step 8 - Controller'!B23="","",'Step 8 - Controller'!L23)</f>
        <v/>
      </c>
      <c r="X376" s="17" t="str">
        <f>IF('Step 8 - Controller'!B23="","",'Step 8 - Controller'!N23)</f>
        <v/>
      </c>
      <c r="Y376" s="18" t="str">
        <f>""</f>
        <v/>
      </c>
      <c r="Z376" s="18" t="str">
        <f>""</f>
        <v/>
      </c>
      <c r="AA376" s="18" t="str">
        <f>""</f>
        <v/>
      </c>
      <c r="AB376" s="18" t="str">
        <f>""</f>
        <v/>
      </c>
      <c r="AC376" s="18" t="str">
        <f>""</f>
        <v/>
      </c>
      <c r="AD376" s="18" t="str">
        <f>""</f>
        <v/>
      </c>
      <c r="AE376" s="18" t="str">
        <f>""</f>
        <v/>
      </c>
      <c r="AF376" s="18" t="str">
        <f>""</f>
        <v/>
      </c>
      <c r="AG376" s="18" t="str">
        <f>""</f>
        <v/>
      </c>
      <c r="AH376" s="18" t="str">
        <f>""</f>
        <v/>
      </c>
      <c r="AI376" s="18" t="str">
        <f>""</f>
        <v/>
      </c>
      <c r="AJ376" s="18" t="str">
        <f>""</f>
        <v/>
      </c>
      <c r="AK376" s="18" t="str">
        <f>""</f>
        <v/>
      </c>
      <c r="AL376" s="18" t="str">
        <f>""</f>
        <v/>
      </c>
      <c r="AM376" s="18" t="str">
        <f>""</f>
        <v/>
      </c>
    </row>
    <row r="377" spans="1:39" ht="15.75" customHeight="1" x14ac:dyDescent="0.25">
      <c r="A377" s="19" t="str">
        <f>IF('Step 8 - Controller'!B24="","","Active")</f>
        <v/>
      </c>
      <c r="B377" s="20" t="str">
        <f>IF('Step 8 - Controller'!B24="","",'Step 8 - Controller'!B24)</f>
        <v/>
      </c>
      <c r="C377" s="20" t="str">
        <f>IF('Step 8 - Controller'!B24="","",'Step 8 - Controller'!B24)</f>
        <v/>
      </c>
      <c r="D377" s="19" t="str">
        <f>IF('Step 8 - Controller'!B24="","",'Step 8 - Controller'!G24)</f>
        <v/>
      </c>
      <c r="E377" s="19" t="str">
        <f>IF('Step 8 - Controller'!B24="","",'Step 8 - Controller'!H24)</f>
        <v/>
      </c>
      <c r="F377" s="20" t="str">
        <f>IF('Step 8 - Controller'!B24="","",IF('Step 8 - Controller'!C24="","","Fund Code"))</f>
        <v/>
      </c>
      <c r="G377" s="19" t="str">
        <f>IF('Step 8 - Controller'!B24="","",IF('Step 8 - Controller'!C24="","","Equals"))</f>
        <v/>
      </c>
      <c r="H377" s="20" t="str">
        <f>IF('Step 8 - Controller'!B24="","",IF('Step 8 - Controller'!C24="","",'Step 8 - Controller'!C24))</f>
        <v/>
      </c>
      <c r="I377" s="20" t="str">
        <f>IF('Step 8 - Controller'!B24="","","Organization Code")</f>
        <v/>
      </c>
      <c r="J377" s="19" t="str">
        <f>IF('Step 8 - Controller'!B24="","","Equals")</f>
        <v/>
      </c>
      <c r="K377" s="20" t="str">
        <f>IF('Step 8 - Controller'!B24="","",'Step 8 - Controller'!D24)</f>
        <v/>
      </c>
      <c r="L377" s="20" t="str">
        <f>IF('Step 8 - Controller'!B24="","","Other Criteria")</f>
        <v/>
      </c>
      <c r="M377" s="19" t="str">
        <f>IF('Step 8 - Controller'!B24="","","Equals")</f>
        <v/>
      </c>
      <c r="N377" s="20" t="str">
        <f>IF('Step 8 - Controller'!B24="","",'Step 8 - Controller'!E24)</f>
        <v/>
      </c>
      <c r="O377" s="20" t="str">
        <f>IF('Step 8 - Controller'!B24="","",IF('Step 8 - Controller'!F24="","","Total"))</f>
        <v/>
      </c>
      <c r="P377" s="19" t="str">
        <f>IF('Step 8 - Controller'!B24="","",IF('Step 8 - Controller'!F24="","","&gt;="))</f>
        <v/>
      </c>
      <c r="Q377" s="20" t="str">
        <f>IF('Step 8 - Controller'!B24="","",IF('Step 8 - Controller'!F24="","",'Step 8 - Controller'!F24))</f>
        <v/>
      </c>
      <c r="R377" s="20" t="str">
        <f>""</f>
        <v/>
      </c>
      <c r="S377" s="20" t="str">
        <f>""</f>
        <v/>
      </c>
      <c r="T377" s="20" t="str">
        <f>""</f>
        <v/>
      </c>
      <c r="U377" s="20" t="str">
        <f>IF('Step 8 - Controller'!B24="","",'Step 8 - Controller'!I24)</f>
        <v/>
      </c>
      <c r="V377" s="19" t="str">
        <f>IF('Step 8 - Controller'!B24="","",'Step 8 - Controller'!K24)</f>
        <v/>
      </c>
      <c r="W377" s="20" t="str">
        <f>IF('Step 8 - Controller'!B24="","",'Step 8 - Controller'!L24)</f>
        <v/>
      </c>
      <c r="X377" s="19" t="str">
        <f>IF('Step 8 - Controller'!B24="","",'Step 8 - Controller'!N24)</f>
        <v/>
      </c>
      <c r="Y377" s="20" t="str">
        <f>""</f>
        <v/>
      </c>
      <c r="Z377" s="20" t="str">
        <f>""</f>
        <v/>
      </c>
      <c r="AA377" s="20" t="str">
        <f>""</f>
        <v/>
      </c>
      <c r="AB377" s="20" t="str">
        <f>""</f>
        <v/>
      </c>
      <c r="AC377" s="20" t="str">
        <f>""</f>
        <v/>
      </c>
      <c r="AD377" s="20" t="str">
        <f>""</f>
        <v/>
      </c>
      <c r="AE377" s="20" t="str">
        <f>""</f>
        <v/>
      </c>
      <c r="AF377" s="20" t="str">
        <f>""</f>
        <v/>
      </c>
      <c r="AG377" s="20" t="str">
        <f>""</f>
        <v/>
      </c>
      <c r="AH377" s="20" t="str">
        <f>""</f>
        <v/>
      </c>
      <c r="AI377" s="20" t="str">
        <f>""</f>
        <v/>
      </c>
      <c r="AJ377" s="20" t="str">
        <f>""</f>
        <v/>
      </c>
      <c r="AK377" s="20" t="str">
        <f>""</f>
        <v/>
      </c>
      <c r="AL377" s="20" t="str">
        <f>""</f>
        <v/>
      </c>
      <c r="AM377" s="20" t="str">
        <f>""</f>
        <v/>
      </c>
    </row>
    <row r="378" spans="1:39" ht="15.75" customHeight="1" x14ac:dyDescent="0.25">
      <c r="A378" s="17" t="str">
        <f>IF('Step 8 - Controller'!B25="","","Active")</f>
        <v/>
      </c>
      <c r="B378" s="18" t="str">
        <f>IF('Step 8 - Controller'!B25="","",'Step 8 - Controller'!B25)</f>
        <v/>
      </c>
      <c r="C378" s="18" t="str">
        <f>IF('Step 8 - Controller'!B25="","",'Step 8 - Controller'!B25)</f>
        <v/>
      </c>
      <c r="D378" s="17" t="str">
        <f>IF('Step 8 - Controller'!B25="","",'Step 8 - Controller'!G25)</f>
        <v/>
      </c>
      <c r="E378" s="17" t="str">
        <f>IF('Step 8 - Controller'!B25="","",'Step 8 - Controller'!H25)</f>
        <v/>
      </c>
      <c r="F378" s="18" t="str">
        <f>IF('Step 8 - Controller'!B25="","",IF('Step 8 - Controller'!C25="","","Fund Code"))</f>
        <v/>
      </c>
      <c r="G378" s="17" t="str">
        <f>IF('Step 8 - Controller'!B25="","",IF('Step 8 - Controller'!C25="","","Equals"))</f>
        <v/>
      </c>
      <c r="H378" s="18" t="str">
        <f>IF('Step 8 - Controller'!B25="","",IF('Step 8 - Controller'!C25="","",'Step 8 - Controller'!C25))</f>
        <v/>
      </c>
      <c r="I378" s="18" t="str">
        <f>IF('Step 8 - Controller'!B25="","","Organization Code")</f>
        <v/>
      </c>
      <c r="J378" s="17" t="str">
        <f>IF('Step 8 - Controller'!B25="","","Equals")</f>
        <v/>
      </c>
      <c r="K378" s="18" t="str">
        <f>IF('Step 8 - Controller'!B25="","",'Step 8 - Controller'!D25)</f>
        <v/>
      </c>
      <c r="L378" s="18" t="str">
        <f>IF('Step 8 - Controller'!B25="","","Other Criteria")</f>
        <v/>
      </c>
      <c r="M378" s="17" t="str">
        <f>IF('Step 8 - Controller'!B25="","","Equals")</f>
        <v/>
      </c>
      <c r="N378" s="18" t="str">
        <f>IF('Step 8 - Controller'!B25="","",'Step 8 - Controller'!E25)</f>
        <v/>
      </c>
      <c r="O378" s="18" t="str">
        <f>IF('Step 8 - Controller'!B25="","",IF('Step 8 - Controller'!F25="","","Total"))</f>
        <v/>
      </c>
      <c r="P378" s="17" t="str">
        <f>IF('Step 8 - Controller'!B25="","",IF('Step 8 - Controller'!F25="","","&gt;="))</f>
        <v/>
      </c>
      <c r="Q378" s="18" t="str">
        <f>IF('Step 8 - Controller'!B25="","",IF('Step 8 - Controller'!F25="","",'Step 8 - Controller'!F25))</f>
        <v/>
      </c>
      <c r="R378" s="18" t="str">
        <f>""</f>
        <v/>
      </c>
      <c r="S378" s="18" t="str">
        <f>""</f>
        <v/>
      </c>
      <c r="T378" s="18" t="str">
        <f>""</f>
        <v/>
      </c>
      <c r="U378" s="18" t="str">
        <f>IF('Step 8 - Controller'!B25="","",'Step 8 - Controller'!I25)</f>
        <v/>
      </c>
      <c r="V378" s="17" t="str">
        <f>IF('Step 8 - Controller'!B25="","",'Step 8 - Controller'!K25)</f>
        <v/>
      </c>
      <c r="W378" s="18" t="str">
        <f>IF('Step 8 - Controller'!B25="","",'Step 8 - Controller'!L25)</f>
        <v/>
      </c>
      <c r="X378" s="17" t="str">
        <f>IF('Step 8 - Controller'!B25="","",'Step 8 - Controller'!N25)</f>
        <v/>
      </c>
      <c r="Y378" s="18" t="str">
        <f>""</f>
        <v/>
      </c>
      <c r="Z378" s="18" t="str">
        <f>""</f>
        <v/>
      </c>
      <c r="AA378" s="18" t="str">
        <f>""</f>
        <v/>
      </c>
      <c r="AB378" s="18" t="str">
        <f>""</f>
        <v/>
      </c>
      <c r="AC378" s="18" t="str">
        <f>""</f>
        <v/>
      </c>
      <c r="AD378" s="18" t="str">
        <f>""</f>
        <v/>
      </c>
      <c r="AE378" s="18" t="str">
        <f>""</f>
        <v/>
      </c>
      <c r="AF378" s="18" t="str">
        <f>""</f>
        <v/>
      </c>
      <c r="AG378" s="18" t="str">
        <f>""</f>
        <v/>
      </c>
      <c r="AH378" s="18" t="str">
        <f>""</f>
        <v/>
      </c>
      <c r="AI378" s="18" t="str">
        <f>""</f>
        <v/>
      </c>
      <c r="AJ378" s="18" t="str">
        <f>""</f>
        <v/>
      </c>
      <c r="AK378" s="18" t="str">
        <f>""</f>
        <v/>
      </c>
      <c r="AL378" s="18" t="str">
        <f>""</f>
        <v/>
      </c>
      <c r="AM378" s="18" t="str">
        <f>""</f>
        <v/>
      </c>
    </row>
    <row r="379" spans="1:39" ht="15.75" customHeight="1" x14ac:dyDescent="0.25">
      <c r="A379" s="19" t="str">
        <f>IF('Step 8 - Controller'!B26="","","Active")</f>
        <v/>
      </c>
      <c r="B379" s="20" t="str">
        <f>IF('Step 8 - Controller'!B26="","",'Step 8 - Controller'!B26)</f>
        <v/>
      </c>
      <c r="C379" s="20" t="str">
        <f>IF('Step 8 - Controller'!B26="","",'Step 8 - Controller'!B26)</f>
        <v/>
      </c>
      <c r="D379" s="19" t="str">
        <f>IF('Step 8 - Controller'!B26="","",'Step 8 - Controller'!G26)</f>
        <v/>
      </c>
      <c r="E379" s="19" t="str">
        <f>IF('Step 8 - Controller'!B26="","",'Step 8 - Controller'!H26)</f>
        <v/>
      </c>
      <c r="F379" s="20" t="str">
        <f>IF('Step 8 - Controller'!B26="","",IF('Step 8 - Controller'!C26="","","Fund Code"))</f>
        <v/>
      </c>
      <c r="G379" s="19" t="str">
        <f>IF('Step 8 - Controller'!B26="","",IF('Step 8 - Controller'!C26="","","Equals"))</f>
        <v/>
      </c>
      <c r="H379" s="20" t="str">
        <f>IF('Step 8 - Controller'!B26="","",IF('Step 8 - Controller'!C26="","",'Step 8 - Controller'!C26))</f>
        <v/>
      </c>
      <c r="I379" s="20" t="str">
        <f>IF('Step 8 - Controller'!B26="","","Organization Code")</f>
        <v/>
      </c>
      <c r="J379" s="19" t="str">
        <f>IF('Step 8 - Controller'!B26="","","Equals")</f>
        <v/>
      </c>
      <c r="K379" s="20" t="str">
        <f>IF('Step 8 - Controller'!B26="","",'Step 8 - Controller'!D26)</f>
        <v/>
      </c>
      <c r="L379" s="20" t="str">
        <f>IF('Step 8 - Controller'!B26="","","Other Criteria")</f>
        <v/>
      </c>
      <c r="M379" s="19" t="str">
        <f>IF('Step 8 - Controller'!B26="","","Equals")</f>
        <v/>
      </c>
      <c r="N379" s="20" t="str">
        <f>IF('Step 8 - Controller'!B26="","",'Step 8 - Controller'!E26)</f>
        <v/>
      </c>
      <c r="O379" s="20" t="str">
        <f>IF('Step 8 - Controller'!B26="","",IF('Step 8 - Controller'!F26="","","Total"))</f>
        <v/>
      </c>
      <c r="P379" s="19" t="str">
        <f>IF('Step 8 - Controller'!B26="","",IF('Step 8 - Controller'!F26="","","&gt;="))</f>
        <v/>
      </c>
      <c r="Q379" s="20" t="str">
        <f>IF('Step 8 - Controller'!B26="","",IF('Step 8 - Controller'!F26="","",'Step 8 - Controller'!F26))</f>
        <v/>
      </c>
      <c r="R379" s="20" t="str">
        <f>""</f>
        <v/>
      </c>
      <c r="S379" s="20" t="str">
        <f>""</f>
        <v/>
      </c>
      <c r="T379" s="20" t="str">
        <f>""</f>
        <v/>
      </c>
      <c r="U379" s="20" t="str">
        <f>IF('Step 8 - Controller'!B26="","",'Step 8 - Controller'!I26)</f>
        <v/>
      </c>
      <c r="V379" s="19" t="str">
        <f>IF('Step 8 - Controller'!B26="","",'Step 8 - Controller'!K26)</f>
        <v/>
      </c>
      <c r="W379" s="20" t="str">
        <f>IF('Step 8 - Controller'!B26="","",'Step 8 - Controller'!L26)</f>
        <v/>
      </c>
      <c r="X379" s="19" t="str">
        <f>IF('Step 8 - Controller'!B26="","",'Step 8 - Controller'!N26)</f>
        <v/>
      </c>
      <c r="Y379" s="20" t="str">
        <f>""</f>
        <v/>
      </c>
      <c r="Z379" s="20" t="str">
        <f>""</f>
        <v/>
      </c>
      <c r="AA379" s="20" t="str">
        <f>""</f>
        <v/>
      </c>
      <c r="AB379" s="20" t="str">
        <f>""</f>
        <v/>
      </c>
      <c r="AC379" s="20" t="str">
        <f>""</f>
        <v/>
      </c>
      <c r="AD379" s="20" t="str">
        <f>""</f>
        <v/>
      </c>
      <c r="AE379" s="20" t="str">
        <f>""</f>
        <v/>
      </c>
      <c r="AF379" s="20" t="str">
        <f>""</f>
        <v/>
      </c>
      <c r="AG379" s="20" t="str">
        <f>""</f>
        <v/>
      </c>
      <c r="AH379" s="20" t="str">
        <f>""</f>
        <v/>
      </c>
      <c r="AI379" s="20" t="str">
        <f>""</f>
        <v/>
      </c>
      <c r="AJ379" s="20" t="str">
        <f>""</f>
        <v/>
      </c>
      <c r="AK379" s="20" t="str">
        <f>""</f>
        <v/>
      </c>
      <c r="AL379" s="20" t="str">
        <f>""</f>
        <v/>
      </c>
      <c r="AM379" s="20" t="str">
        <f>""</f>
        <v/>
      </c>
    </row>
    <row r="380" spans="1:39" ht="15.75" customHeight="1" x14ac:dyDescent="0.25">
      <c r="A380" s="17" t="str">
        <f>IF('Step 8 - Controller'!B27="","","Active")</f>
        <v/>
      </c>
      <c r="B380" s="18" t="str">
        <f>IF('Step 8 - Controller'!B27="","",'Step 8 - Controller'!B27)</f>
        <v/>
      </c>
      <c r="C380" s="18" t="str">
        <f>IF('Step 8 - Controller'!B27="","",'Step 8 - Controller'!B27)</f>
        <v/>
      </c>
      <c r="D380" s="17" t="str">
        <f>IF('Step 8 - Controller'!B27="","",'Step 8 - Controller'!G27)</f>
        <v/>
      </c>
      <c r="E380" s="17" t="str">
        <f>IF('Step 8 - Controller'!B27="","",'Step 8 - Controller'!H27)</f>
        <v/>
      </c>
      <c r="F380" s="18" t="str">
        <f>IF('Step 8 - Controller'!B27="","",IF('Step 8 - Controller'!C27="","","Fund Code"))</f>
        <v/>
      </c>
      <c r="G380" s="17" t="str">
        <f>IF('Step 8 - Controller'!B27="","",IF('Step 8 - Controller'!C27="","","Equals"))</f>
        <v/>
      </c>
      <c r="H380" s="18" t="str">
        <f>IF('Step 8 - Controller'!B27="","",IF('Step 8 - Controller'!C27="","",'Step 8 - Controller'!C27))</f>
        <v/>
      </c>
      <c r="I380" s="18" t="str">
        <f>IF('Step 8 - Controller'!B27="","","Organization Code")</f>
        <v/>
      </c>
      <c r="J380" s="17" t="str">
        <f>IF('Step 8 - Controller'!B27="","","Equals")</f>
        <v/>
      </c>
      <c r="K380" s="18" t="str">
        <f>IF('Step 8 - Controller'!B27="","",'Step 8 - Controller'!D27)</f>
        <v/>
      </c>
      <c r="L380" s="18" t="str">
        <f>IF('Step 8 - Controller'!B27="","","Other Criteria")</f>
        <v/>
      </c>
      <c r="M380" s="17" t="str">
        <f>IF('Step 8 - Controller'!B27="","","Equals")</f>
        <v/>
      </c>
      <c r="N380" s="18" t="str">
        <f>IF('Step 8 - Controller'!B27="","",'Step 8 - Controller'!E27)</f>
        <v/>
      </c>
      <c r="O380" s="18" t="str">
        <f>IF('Step 8 - Controller'!B27="","",IF('Step 8 - Controller'!F27="","","Total"))</f>
        <v/>
      </c>
      <c r="P380" s="17" t="str">
        <f>IF('Step 8 - Controller'!B27="","",IF('Step 8 - Controller'!F27="","","&gt;="))</f>
        <v/>
      </c>
      <c r="Q380" s="18" t="str">
        <f>IF('Step 8 - Controller'!B27="","",IF('Step 8 - Controller'!F27="","",'Step 8 - Controller'!F27))</f>
        <v/>
      </c>
      <c r="R380" s="18" t="str">
        <f>""</f>
        <v/>
      </c>
      <c r="S380" s="18" t="str">
        <f>""</f>
        <v/>
      </c>
      <c r="T380" s="18" t="str">
        <f>""</f>
        <v/>
      </c>
      <c r="U380" s="18" t="str">
        <f>IF('Step 8 - Controller'!B27="","",'Step 8 - Controller'!I27)</f>
        <v/>
      </c>
      <c r="V380" s="17" t="str">
        <f>IF('Step 8 - Controller'!B27="","",'Step 8 - Controller'!K27)</f>
        <v/>
      </c>
      <c r="W380" s="18" t="str">
        <f>IF('Step 8 - Controller'!B27="","",'Step 8 - Controller'!L27)</f>
        <v/>
      </c>
      <c r="X380" s="17" t="str">
        <f>IF('Step 8 - Controller'!B27="","",'Step 8 - Controller'!N27)</f>
        <v/>
      </c>
      <c r="Y380" s="18" t="str">
        <f>""</f>
        <v/>
      </c>
      <c r="Z380" s="18" t="str">
        <f>""</f>
        <v/>
      </c>
      <c r="AA380" s="18" t="str">
        <f>""</f>
        <v/>
      </c>
      <c r="AB380" s="18" t="str">
        <f>""</f>
        <v/>
      </c>
      <c r="AC380" s="18" t="str">
        <f>""</f>
        <v/>
      </c>
      <c r="AD380" s="18" t="str">
        <f>""</f>
        <v/>
      </c>
      <c r="AE380" s="18" t="str">
        <f>""</f>
        <v/>
      </c>
      <c r="AF380" s="18" t="str">
        <f>""</f>
        <v/>
      </c>
      <c r="AG380" s="18" t="str">
        <f>""</f>
        <v/>
      </c>
      <c r="AH380" s="18" t="str">
        <f>""</f>
        <v/>
      </c>
      <c r="AI380" s="18" t="str">
        <f>""</f>
        <v/>
      </c>
      <c r="AJ380" s="18" t="str">
        <f>""</f>
        <v/>
      </c>
      <c r="AK380" s="18" t="str">
        <f>""</f>
        <v/>
      </c>
      <c r="AL380" s="18" t="str">
        <f>""</f>
        <v/>
      </c>
      <c r="AM380" s="18" t="str">
        <f>""</f>
        <v/>
      </c>
    </row>
    <row r="381" spans="1:39" ht="15.75" customHeight="1" x14ac:dyDescent="0.25">
      <c r="A381" s="19" t="str">
        <f>IF('Step 8 - Controller'!B28="","","Active")</f>
        <v/>
      </c>
      <c r="B381" s="20" t="str">
        <f>IF('Step 8 - Controller'!B28="","",'Step 8 - Controller'!B28)</f>
        <v/>
      </c>
      <c r="C381" s="20" t="str">
        <f>IF('Step 8 - Controller'!B28="","",'Step 8 - Controller'!B28)</f>
        <v/>
      </c>
      <c r="D381" s="19" t="str">
        <f>IF('Step 8 - Controller'!B28="","",'Step 8 - Controller'!G28)</f>
        <v/>
      </c>
      <c r="E381" s="19" t="str">
        <f>IF('Step 8 - Controller'!B28="","",'Step 8 - Controller'!H28)</f>
        <v/>
      </c>
      <c r="F381" s="20" t="str">
        <f>IF('Step 8 - Controller'!B28="","",IF('Step 8 - Controller'!C28="","","Fund Code"))</f>
        <v/>
      </c>
      <c r="G381" s="19" t="str">
        <f>IF('Step 8 - Controller'!B28="","",IF('Step 8 - Controller'!C28="","","Equals"))</f>
        <v/>
      </c>
      <c r="H381" s="20" t="str">
        <f>IF('Step 8 - Controller'!B28="","",IF('Step 8 - Controller'!C28="","",'Step 8 - Controller'!C28))</f>
        <v/>
      </c>
      <c r="I381" s="20" t="str">
        <f>IF('Step 8 - Controller'!B28="","","Organization Code")</f>
        <v/>
      </c>
      <c r="J381" s="19" t="str">
        <f>IF('Step 8 - Controller'!B28="","","Equals")</f>
        <v/>
      </c>
      <c r="K381" s="20" t="str">
        <f>IF('Step 8 - Controller'!B28="","",'Step 8 - Controller'!D28)</f>
        <v/>
      </c>
      <c r="L381" s="20" t="str">
        <f>IF('Step 8 - Controller'!B28="","","Other Criteria")</f>
        <v/>
      </c>
      <c r="M381" s="19" t="str">
        <f>IF('Step 8 - Controller'!B28="","","Equals")</f>
        <v/>
      </c>
      <c r="N381" s="20" t="str">
        <f>IF('Step 8 - Controller'!B28="","",'Step 8 - Controller'!E28)</f>
        <v/>
      </c>
      <c r="O381" s="20" t="str">
        <f>IF('Step 8 - Controller'!B28="","",IF('Step 8 - Controller'!F28="","","Total"))</f>
        <v/>
      </c>
      <c r="P381" s="19" t="str">
        <f>IF('Step 8 - Controller'!B28="","",IF('Step 8 - Controller'!F28="","","&gt;="))</f>
        <v/>
      </c>
      <c r="Q381" s="20" t="str">
        <f>IF('Step 8 - Controller'!B28="","",IF('Step 8 - Controller'!F28="","",'Step 8 - Controller'!F28))</f>
        <v/>
      </c>
      <c r="R381" s="20" t="str">
        <f>""</f>
        <v/>
      </c>
      <c r="S381" s="20" t="str">
        <f>""</f>
        <v/>
      </c>
      <c r="T381" s="20" t="str">
        <f>""</f>
        <v/>
      </c>
      <c r="U381" s="20" t="str">
        <f>IF('Step 8 - Controller'!B28="","",'Step 8 - Controller'!I28)</f>
        <v/>
      </c>
      <c r="V381" s="19" t="str">
        <f>IF('Step 8 - Controller'!B28="","",'Step 8 - Controller'!K28)</f>
        <v/>
      </c>
      <c r="W381" s="20" t="str">
        <f>IF('Step 8 - Controller'!B28="","",'Step 8 - Controller'!L28)</f>
        <v/>
      </c>
      <c r="X381" s="19" t="str">
        <f>IF('Step 8 - Controller'!B28="","",'Step 8 - Controller'!N28)</f>
        <v/>
      </c>
      <c r="Y381" s="20" t="str">
        <f>""</f>
        <v/>
      </c>
      <c r="Z381" s="20" t="str">
        <f>""</f>
        <v/>
      </c>
      <c r="AA381" s="20" t="str">
        <f>""</f>
        <v/>
      </c>
      <c r="AB381" s="20" t="str">
        <f>""</f>
        <v/>
      </c>
      <c r="AC381" s="20" t="str">
        <f>""</f>
        <v/>
      </c>
      <c r="AD381" s="20" t="str">
        <f>""</f>
        <v/>
      </c>
      <c r="AE381" s="20" t="str">
        <f>""</f>
        <v/>
      </c>
      <c r="AF381" s="20" t="str">
        <f>""</f>
        <v/>
      </c>
      <c r="AG381" s="20" t="str">
        <f>""</f>
        <v/>
      </c>
      <c r="AH381" s="20" t="str">
        <f>""</f>
        <v/>
      </c>
      <c r="AI381" s="20" t="str">
        <f>""</f>
        <v/>
      </c>
      <c r="AJ381" s="20" t="str">
        <f>""</f>
        <v/>
      </c>
      <c r="AK381" s="20" t="str">
        <f>""</f>
        <v/>
      </c>
      <c r="AL381" s="20" t="str">
        <f>""</f>
        <v/>
      </c>
      <c r="AM381" s="20" t="str">
        <f>""</f>
        <v/>
      </c>
    </row>
    <row r="382" spans="1:39" ht="15.75" customHeight="1" x14ac:dyDescent="0.25">
      <c r="A382" s="17" t="str">
        <f>IF('Step 8 - Controller'!B29="","","Active")</f>
        <v/>
      </c>
      <c r="B382" s="18" t="str">
        <f>IF('Step 8 - Controller'!B29="","",'Step 8 - Controller'!B29)</f>
        <v/>
      </c>
      <c r="C382" s="18" t="str">
        <f>IF('Step 8 - Controller'!B29="","",'Step 8 - Controller'!B29)</f>
        <v/>
      </c>
      <c r="D382" s="17" t="str">
        <f>IF('Step 8 - Controller'!B29="","",'Step 8 - Controller'!G29)</f>
        <v/>
      </c>
      <c r="E382" s="17" t="str">
        <f>IF('Step 8 - Controller'!B29="","",'Step 8 - Controller'!H29)</f>
        <v/>
      </c>
      <c r="F382" s="18" t="str">
        <f>IF('Step 8 - Controller'!B29="","",IF('Step 8 - Controller'!C29="","","Fund Code"))</f>
        <v/>
      </c>
      <c r="G382" s="17" t="str">
        <f>IF('Step 8 - Controller'!B29="","",IF('Step 8 - Controller'!C29="","","Equals"))</f>
        <v/>
      </c>
      <c r="H382" s="18" t="str">
        <f>IF('Step 8 - Controller'!B29="","",IF('Step 8 - Controller'!C29="","",'Step 8 - Controller'!C29))</f>
        <v/>
      </c>
      <c r="I382" s="18" t="str">
        <f>IF('Step 8 - Controller'!B29="","","Organization Code")</f>
        <v/>
      </c>
      <c r="J382" s="17" t="str">
        <f>IF('Step 8 - Controller'!B29="","","Equals")</f>
        <v/>
      </c>
      <c r="K382" s="18" t="str">
        <f>IF('Step 8 - Controller'!B29="","",'Step 8 - Controller'!D29)</f>
        <v/>
      </c>
      <c r="L382" s="18" t="str">
        <f>IF('Step 8 - Controller'!B29="","","Other Criteria")</f>
        <v/>
      </c>
      <c r="M382" s="17" t="str">
        <f>IF('Step 8 - Controller'!B29="","","Equals")</f>
        <v/>
      </c>
      <c r="N382" s="18" t="str">
        <f>IF('Step 8 - Controller'!B29="","",'Step 8 - Controller'!E29)</f>
        <v/>
      </c>
      <c r="O382" s="18" t="str">
        <f>IF('Step 8 - Controller'!B29="","",IF('Step 8 - Controller'!F29="","","Total"))</f>
        <v/>
      </c>
      <c r="P382" s="17" t="str">
        <f>IF('Step 8 - Controller'!B29="","",IF('Step 8 - Controller'!F29="","","&gt;="))</f>
        <v/>
      </c>
      <c r="Q382" s="18" t="str">
        <f>IF('Step 8 - Controller'!B29="","",IF('Step 8 - Controller'!F29="","",'Step 8 - Controller'!F29))</f>
        <v/>
      </c>
      <c r="R382" s="18" t="str">
        <f>""</f>
        <v/>
      </c>
      <c r="S382" s="18" t="str">
        <f>""</f>
        <v/>
      </c>
      <c r="T382" s="18" t="str">
        <f>""</f>
        <v/>
      </c>
      <c r="U382" s="18" t="str">
        <f>IF('Step 8 - Controller'!B29="","",'Step 8 - Controller'!I29)</f>
        <v/>
      </c>
      <c r="V382" s="17" t="str">
        <f>IF('Step 8 - Controller'!B29="","",'Step 8 - Controller'!K29)</f>
        <v/>
      </c>
      <c r="W382" s="18" t="str">
        <f>IF('Step 8 - Controller'!B29="","",'Step 8 - Controller'!L29)</f>
        <v/>
      </c>
      <c r="X382" s="17" t="str">
        <f>IF('Step 8 - Controller'!B29="","",'Step 8 - Controller'!N29)</f>
        <v/>
      </c>
      <c r="Y382" s="18" t="str">
        <f>""</f>
        <v/>
      </c>
      <c r="Z382" s="18" t="str">
        <f>""</f>
        <v/>
      </c>
      <c r="AA382" s="18" t="str">
        <f>""</f>
        <v/>
      </c>
      <c r="AB382" s="18" t="str">
        <f>""</f>
        <v/>
      </c>
      <c r="AC382" s="18" t="str">
        <f>""</f>
        <v/>
      </c>
      <c r="AD382" s="18" t="str">
        <f>""</f>
        <v/>
      </c>
      <c r="AE382" s="18" t="str">
        <f>""</f>
        <v/>
      </c>
      <c r="AF382" s="18" t="str">
        <f>""</f>
        <v/>
      </c>
      <c r="AG382" s="18" t="str">
        <f>""</f>
        <v/>
      </c>
      <c r="AH382" s="18" t="str">
        <f>""</f>
        <v/>
      </c>
      <c r="AI382" s="18" t="str">
        <f>""</f>
        <v/>
      </c>
      <c r="AJ382" s="18" t="str">
        <f>""</f>
        <v/>
      </c>
      <c r="AK382" s="18" t="str">
        <f>""</f>
        <v/>
      </c>
      <c r="AL382" s="18" t="str">
        <f>""</f>
        <v/>
      </c>
      <c r="AM382" s="18" t="str">
        <f>""</f>
        <v/>
      </c>
    </row>
    <row r="383" spans="1:39" ht="15.75" customHeight="1" x14ac:dyDescent="0.25">
      <c r="A383" s="19" t="str">
        <f>IF('Step 8 - Controller'!B30="","","Active")</f>
        <v/>
      </c>
      <c r="B383" s="20" t="str">
        <f>IF('Step 8 - Controller'!B30="","",'Step 8 - Controller'!B30)</f>
        <v/>
      </c>
      <c r="C383" s="20" t="str">
        <f>IF('Step 8 - Controller'!B30="","",'Step 8 - Controller'!B30)</f>
        <v/>
      </c>
      <c r="D383" s="19" t="str">
        <f>IF('Step 8 - Controller'!B30="","",'Step 8 - Controller'!G30)</f>
        <v/>
      </c>
      <c r="E383" s="19" t="str">
        <f>IF('Step 8 - Controller'!B30="","",'Step 8 - Controller'!H30)</f>
        <v/>
      </c>
      <c r="F383" s="20" t="str">
        <f>IF('Step 8 - Controller'!B30="","",IF('Step 8 - Controller'!C30="","","Fund Code"))</f>
        <v/>
      </c>
      <c r="G383" s="19" t="str">
        <f>IF('Step 8 - Controller'!B30="","",IF('Step 8 - Controller'!C30="","","Equals"))</f>
        <v/>
      </c>
      <c r="H383" s="20" t="str">
        <f>IF('Step 8 - Controller'!B30="","",IF('Step 8 - Controller'!C30="","",'Step 8 - Controller'!C30))</f>
        <v/>
      </c>
      <c r="I383" s="20" t="str">
        <f>IF('Step 8 - Controller'!B30="","","Organization Code")</f>
        <v/>
      </c>
      <c r="J383" s="19" t="str">
        <f>IF('Step 8 - Controller'!B30="","","Equals")</f>
        <v/>
      </c>
      <c r="K383" s="20" t="str">
        <f>IF('Step 8 - Controller'!B30="","",'Step 8 - Controller'!D30)</f>
        <v/>
      </c>
      <c r="L383" s="20" t="str">
        <f>IF('Step 8 - Controller'!B30="","","Other Criteria")</f>
        <v/>
      </c>
      <c r="M383" s="19" t="str">
        <f>IF('Step 8 - Controller'!B30="","","Equals")</f>
        <v/>
      </c>
      <c r="N383" s="20" t="str">
        <f>IF('Step 8 - Controller'!B30="","",'Step 8 - Controller'!E30)</f>
        <v/>
      </c>
      <c r="O383" s="20" t="str">
        <f>IF('Step 8 - Controller'!B30="","",IF('Step 8 - Controller'!F30="","","Total"))</f>
        <v/>
      </c>
      <c r="P383" s="19" t="str">
        <f>IF('Step 8 - Controller'!B30="","",IF('Step 8 - Controller'!F30="","","&gt;="))</f>
        <v/>
      </c>
      <c r="Q383" s="20" t="str">
        <f>IF('Step 8 - Controller'!B30="","",IF('Step 8 - Controller'!F30="","",'Step 8 - Controller'!F30))</f>
        <v/>
      </c>
      <c r="R383" s="20" t="str">
        <f>""</f>
        <v/>
      </c>
      <c r="S383" s="20" t="str">
        <f>""</f>
        <v/>
      </c>
      <c r="T383" s="20" t="str">
        <f>""</f>
        <v/>
      </c>
      <c r="U383" s="20" t="str">
        <f>IF('Step 8 - Controller'!B30="","",'Step 8 - Controller'!I30)</f>
        <v/>
      </c>
      <c r="V383" s="19" t="str">
        <f>IF('Step 8 - Controller'!B30="","",'Step 8 - Controller'!K30)</f>
        <v/>
      </c>
      <c r="W383" s="20" t="str">
        <f>IF('Step 8 - Controller'!B30="","",'Step 8 - Controller'!L30)</f>
        <v/>
      </c>
      <c r="X383" s="19" t="str">
        <f>IF('Step 8 - Controller'!B30="","",'Step 8 - Controller'!N30)</f>
        <v/>
      </c>
      <c r="Y383" s="20" t="str">
        <f>""</f>
        <v/>
      </c>
      <c r="Z383" s="20" t="str">
        <f>""</f>
        <v/>
      </c>
      <c r="AA383" s="20" t="str">
        <f>""</f>
        <v/>
      </c>
      <c r="AB383" s="20" t="str">
        <f>""</f>
        <v/>
      </c>
      <c r="AC383" s="20" t="str">
        <f>""</f>
        <v/>
      </c>
      <c r="AD383" s="20" t="str">
        <f>""</f>
        <v/>
      </c>
      <c r="AE383" s="20" t="str">
        <f>""</f>
        <v/>
      </c>
      <c r="AF383" s="20" t="str">
        <f>""</f>
        <v/>
      </c>
      <c r="AG383" s="20" t="str">
        <f>""</f>
        <v/>
      </c>
      <c r="AH383" s="20" t="str">
        <f>""</f>
        <v/>
      </c>
      <c r="AI383" s="20" t="str">
        <f>""</f>
        <v/>
      </c>
      <c r="AJ383" s="20" t="str">
        <f>""</f>
        <v/>
      </c>
      <c r="AK383" s="20" t="str">
        <f>""</f>
        <v/>
      </c>
      <c r="AL383" s="20" t="str">
        <f>""</f>
        <v/>
      </c>
      <c r="AM383" s="20" t="str">
        <f>""</f>
        <v/>
      </c>
    </row>
    <row r="384" spans="1:39" ht="15.75" customHeight="1" x14ac:dyDescent="0.25">
      <c r="A384" s="17" t="str">
        <f>IF('Step 8 - Controller'!B31="","","Active")</f>
        <v/>
      </c>
      <c r="B384" s="18" t="str">
        <f>IF('Step 8 - Controller'!B31="","",'Step 8 - Controller'!B31)</f>
        <v/>
      </c>
      <c r="C384" s="18" t="str">
        <f>IF('Step 8 - Controller'!B31="","",'Step 8 - Controller'!B31)</f>
        <v/>
      </c>
      <c r="D384" s="17" t="str">
        <f>IF('Step 8 - Controller'!B31="","",'Step 8 - Controller'!G31)</f>
        <v/>
      </c>
      <c r="E384" s="17" t="str">
        <f>IF('Step 8 - Controller'!B31="","",'Step 8 - Controller'!H31)</f>
        <v/>
      </c>
      <c r="F384" s="18" t="str">
        <f>IF('Step 8 - Controller'!B31="","",IF('Step 8 - Controller'!C31="","","Fund Code"))</f>
        <v/>
      </c>
      <c r="G384" s="17" t="str">
        <f>IF('Step 8 - Controller'!B31="","",IF('Step 8 - Controller'!C31="","","Equals"))</f>
        <v/>
      </c>
      <c r="H384" s="18" t="str">
        <f>IF('Step 8 - Controller'!B31="","",IF('Step 8 - Controller'!C31="","",'Step 8 - Controller'!C31))</f>
        <v/>
      </c>
      <c r="I384" s="18" t="str">
        <f>IF('Step 8 - Controller'!B31="","","Organization Code")</f>
        <v/>
      </c>
      <c r="J384" s="17" t="str">
        <f>IF('Step 8 - Controller'!B31="","","Equals")</f>
        <v/>
      </c>
      <c r="K384" s="18" t="str">
        <f>IF('Step 8 - Controller'!B31="","",'Step 8 - Controller'!D31)</f>
        <v/>
      </c>
      <c r="L384" s="18" t="str">
        <f>IF('Step 8 - Controller'!B31="","","Other Criteria")</f>
        <v/>
      </c>
      <c r="M384" s="17" t="str">
        <f>IF('Step 8 - Controller'!B31="","","Equals")</f>
        <v/>
      </c>
      <c r="N384" s="18" t="str">
        <f>IF('Step 8 - Controller'!B31="","",'Step 8 - Controller'!E31)</f>
        <v/>
      </c>
      <c r="O384" s="18" t="str">
        <f>IF('Step 8 - Controller'!B31="","",IF('Step 8 - Controller'!F31="","","Total"))</f>
        <v/>
      </c>
      <c r="P384" s="17" t="str">
        <f>IF('Step 8 - Controller'!B31="","",IF('Step 8 - Controller'!F31="","","&gt;="))</f>
        <v/>
      </c>
      <c r="Q384" s="18" t="str">
        <f>IF('Step 8 - Controller'!B31="","",IF('Step 8 - Controller'!F31="","",'Step 8 - Controller'!F31))</f>
        <v/>
      </c>
      <c r="R384" s="18" t="str">
        <f>""</f>
        <v/>
      </c>
      <c r="S384" s="18" t="str">
        <f>""</f>
        <v/>
      </c>
      <c r="T384" s="18" t="str">
        <f>""</f>
        <v/>
      </c>
      <c r="U384" s="18" t="str">
        <f>IF('Step 8 - Controller'!B31="","",'Step 8 - Controller'!I31)</f>
        <v/>
      </c>
      <c r="V384" s="17" t="str">
        <f>IF('Step 8 - Controller'!B31="","",'Step 8 - Controller'!K31)</f>
        <v/>
      </c>
      <c r="W384" s="18" t="str">
        <f>IF('Step 8 - Controller'!B31="","",'Step 8 - Controller'!L31)</f>
        <v/>
      </c>
      <c r="X384" s="17" t="str">
        <f>IF('Step 8 - Controller'!B31="","",'Step 8 - Controller'!N31)</f>
        <v/>
      </c>
      <c r="Y384" s="18" t="str">
        <f>""</f>
        <v/>
      </c>
      <c r="Z384" s="18" t="str">
        <f>""</f>
        <v/>
      </c>
      <c r="AA384" s="18" t="str">
        <f>""</f>
        <v/>
      </c>
      <c r="AB384" s="18" t="str">
        <f>""</f>
        <v/>
      </c>
      <c r="AC384" s="18" t="str">
        <f>""</f>
        <v/>
      </c>
      <c r="AD384" s="18" t="str">
        <f>""</f>
        <v/>
      </c>
      <c r="AE384" s="18" t="str">
        <f>""</f>
        <v/>
      </c>
      <c r="AF384" s="18" t="str">
        <f>""</f>
        <v/>
      </c>
      <c r="AG384" s="18" t="str">
        <f>""</f>
        <v/>
      </c>
      <c r="AH384" s="18" t="str">
        <f>""</f>
        <v/>
      </c>
      <c r="AI384" s="18" t="str">
        <f>""</f>
        <v/>
      </c>
      <c r="AJ384" s="18" t="str">
        <f>""</f>
        <v/>
      </c>
      <c r="AK384" s="18" t="str">
        <f>""</f>
        <v/>
      </c>
      <c r="AL384" s="18" t="str">
        <f>""</f>
        <v/>
      </c>
      <c r="AM384" s="18" t="str">
        <f>""</f>
        <v/>
      </c>
    </row>
    <row r="385" spans="1:39" ht="15.75" customHeight="1" x14ac:dyDescent="0.25">
      <c r="A385" s="19" t="str">
        <f>IF('Step 8 - Controller'!B32="","","Active")</f>
        <v/>
      </c>
      <c r="B385" s="20" t="str">
        <f>IF('Step 8 - Controller'!B32="","",'Step 8 - Controller'!B32)</f>
        <v/>
      </c>
      <c r="C385" s="20" t="str">
        <f>IF('Step 8 - Controller'!B32="","",'Step 8 - Controller'!B32)</f>
        <v/>
      </c>
      <c r="D385" s="19" t="str">
        <f>IF('Step 8 - Controller'!B32="","",'Step 8 - Controller'!G32)</f>
        <v/>
      </c>
      <c r="E385" s="19" t="str">
        <f>IF('Step 8 - Controller'!B32="","",'Step 8 - Controller'!H32)</f>
        <v/>
      </c>
      <c r="F385" s="20" t="str">
        <f>IF('Step 8 - Controller'!B32="","",IF('Step 8 - Controller'!C32="","","Fund Code"))</f>
        <v/>
      </c>
      <c r="G385" s="19" t="str">
        <f>IF('Step 8 - Controller'!B32="","",IF('Step 8 - Controller'!C32="","","Equals"))</f>
        <v/>
      </c>
      <c r="H385" s="20" t="str">
        <f>IF('Step 8 - Controller'!B32="","",IF('Step 8 - Controller'!C32="","",'Step 8 - Controller'!C32))</f>
        <v/>
      </c>
      <c r="I385" s="20" t="str">
        <f>IF('Step 8 - Controller'!B32="","","Organization Code")</f>
        <v/>
      </c>
      <c r="J385" s="19" t="str">
        <f>IF('Step 8 - Controller'!B32="","","Equals")</f>
        <v/>
      </c>
      <c r="K385" s="20" t="str">
        <f>IF('Step 8 - Controller'!B32="","",'Step 8 - Controller'!D32)</f>
        <v/>
      </c>
      <c r="L385" s="20" t="str">
        <f>IF('Step 8 - Controller'!B32="","","Other Criteria")</f>
        <v/>
      </c>
      <c r="M385" s="19" t="str">
        <f>IF('Step 8 - Controller'!B32="","","Equals")</f>
        <v/>
      </c>
      <c r="N385" s="20" t="str">
        <f>IF('Step 8 - Controller'!B32="","",'Step 8 - Controller'!E32)</f>
        <v/>
      </c>
      <c r="O385" s="20" t="str">
        <f>IF('Step 8 - Controller'!B32="","",IF('Step 8 - Controller'!F32="","","Total"))</f>
        <v/>
      </c>
      <c r="P385" s="19" t="str">
        <f>IF('Step 8 - Controller'!B32="","",IF('Step 8 - Controller'!F32="","","&gt;="))</f>
        <v/>
      </c>
      <c r="Q385" s="20" t="str">
        <f>IF('Step 8 - Controller'!B32="","",IF('Step 8 - Controller'!F32="","",'Step 8 - Controller'!F32))</f>
        <v/>
      </c>
      <c r="R385" s="20" t="str">
        <f>""</f>
        <v/>
      </c>
      <c r="S385" s="20" t="str">
        <f>""</f>
        <v/>
      </c>
      <c r="T385" s="20" t="str">
        <f>""</f>
        <v/>
      </c>
      <c r="U385" s="20" t="str">
        <f>IF('Step 8 - Controller'!B32="","",'Step 8 - Controller'!I32)</f>
        <v/>
      </c>
      <c r="V385" s="19" t="str">
        <f>IF('Step 8 - Controller'!B32="","",'Step 8 - Controller'!K32)</f>
        <v/>
      </c>
      <c r="W385" s="20" t="str">
        <f>IF('Step 8 - Controller'!B32="","",'Step 8 - Controller'!L32)</f>
        <v/>
      </c>
      <c r="X385" s="19" t="str">
        <f>IF('Step 8 - Controller'!B32="","",'Step 8 - Controller'!N32)</f>
        <v/>
      </c>
      <c r="Y385" s="20" t="str">
        <f>""</f>
        <v/>
      </c>
      <c r="Z385" s="20" t="str">
        <f>""</f>
        <v/>
      </c>
      <c r="AA385" s="20" t="str">
        <f>""</f>
        <v/>
      </c>
      <c r="AB385" s="20" t="str">
        <f>""</f>
        <v/>
      </c>
      <c r="AC385" s="20" t="str">
        <f>""</f>
        <v/>
      </c>
      <c r="AD385" s="20" t="str">
        <f>""</f>
        <v/>
      </c>
      <c r="AE385" s="20" t="str">
        <f>""</f>
        <v/>
      </c>
      <c r="AF385" s="20" t="str">
        <f>""</f>
        <v/>
      </c>
      <c r="AG385" s="20" t="str">
        <f>""</f>
        <v/>
      </c>
      <c r="AH385" s="20" t="str">
        <f>""</f>
        <v/>
      </c>
      <c r="AI385" s="20" t="str">
        <f>""</f>
        <v/>
      </c>
      <c r="AJ385" s="20" t="str">
        <f>""</f>
        <v/>
      </c>
      <c r="AK385" s="20" t="str">
        <f>""</f>
        <v/>
      </c>
      <c r="AL385" s="20" t="str">
        <f>""</f>
        <v/>
      </c>
      <c r="AM385" s="20" t="str">
        <f>""</f>
        <v/>
      </c>
    </row>
    <row r="386" spans="1:39" ht="15.75" customHeight="1" x14ac:dyDescent="0.25">
      <c r="A386" s="17" t="str">
        <f>IF('Step 8 - Controller'!B33="","","Active")</f>
        <v/>
      </c>
      <c r="B386" s="18" t="str">
        <f>IF('Step 8 - Controller'!B33="","",'Step 8 - Controller'!B33)</f>
        <v/>
      </c>
      <c r="C386" s="18" t="str">
        <f>IF('Step 8 - Controller'!B33="","",'Step 8 - Controller'!B33)</f>
        <v/>
      </c>
      <c r="D386" s="17" t="str">
        <f>IF('Step 8 - Controller'!B33="","",'Step 8 - Controller'!G33)</f>
        <v/>
      </c>
      <c r="E386" s="17" t="str">
        <f>IF('Step 8 - Controller'!B33="","",'Step 8 - Controller'!H33)</f>
        <v/>
      </c>
      <c r="F386" s="18" t="str">
        <f>IF('Step 8 - Controller'!B33="","",IF('Step 8 - Controller'!C33="","","Fund Code"))</f>
        <v/>
      </c>
      <c r="G386" s="17" t="str">
        <f>IF('Step 8 - Controller'!B33="","",IF('Step 8 - Controller'!C33="","","Equals"))</f>
        <v/>
      </c>
      <c r="H386" s="18" t="str">
        <f>IF('Step 8 - Controller'!B33="","",IF('Step 8 - Controller'!C33="","",'Step 8 - Controller'!C33))</f>
        <v/>
      </c>
      <c r="I386" s="18" t="str">
        <f>IF('Step 8 - Controller'!B33="","","Organization Code")</f>
        <v/>
      </c>
      <c r="J386" s="17" t="str">
        <f>IF('Step 8 - Controller'!B33="","","Equals")</f>
        <v/>
      </c>
      <c r="K386" s="18" t="str">
        <f>IF('Step 8 - Controller'!B33="","",'Step 8 - Controller'!D33)</f>
        <v/>
      </c>
      <c r="L386" s="18" t="str">
        <f>IF('Step 8 - Controller'!B33="","","Other Criteria")</f>
        <v/>
      </c>
      <c r="M386" s="17" t="str">
        <f>IF('Step 8 - Controller'!B33="","","Equals")</f>
        <v/>
      </c>
      <c r="N386" s="18" t="str">
        <f>IF('Step 8 - Controller'!B33="","",'Step 8 - Controller'!E33)</f>
        <v/>
      </c>
      <c r="O386" s="18" t="str">
        <f>IF('Step 8 - Controller'!B33="","",IF('Step 8 - Controller'!F33="","","Total"))</f>
        <v/>
      </c>
      <c r="P386" s="17" t="str">
        <f>IF('Step 8 - Controller'!B33="","",IF('Step 8 - Controller'!F33="","","&gt;="))</f>
        <v/>
      </c>
      <c r="Q386" s="18" t="str">
        <f>IF('Step 8 - Controller'!B33="","",IF('Step 8 - Controller'!F33="","",'Step 8 - Controller'!F33))</f>
        <v/>
      </c>
      <c r="R386" s="18" t="str">
        <f>""</f>
        <v/>
      </c>
      <c r="S386" s="18" t="str">
        <f>""</f>
        <v/>
      </c>
      <c r="T386" s="18" t="str">
        <f>""</f>
        <v/>
      </c>
      <c r="U386" s="18" t="str">
        <f>IF('Step 8 - Controller'!B33="","",'Step 8 - Controller'!I33)</f>
        <v/>
      </c>
      <c r="V386" s="17" t="str">
        <f>IF('Step 8 - Controller'!B33="","",'Step 8 - Controller'!K33)</f>
        <v/>
      </c>
      <c r="W386" s="18" t="str">
        <f>IF('Step 8 - Controller'!B33="","",'Step 8 - Controller'!L33)</f>
        <v/>
      </c>
      <c r="X386" s="17" t="str">
        <f>IF('Step 8 - Controller'!B33="","",'Step 8 - Controller'!N33)</f>
        <v/>
      </c>
      <c r="Y386" s="18" t="str">
        <f>""</f>
        <v/>
      </c>
      <c r="Z386" s="18" t="str">
        <f>""</f>
        <v/>
      </c>
      <c r="AA386" s="18" t="str">
        <f>""</f>
        <v/>
      </c>
      <c r="AB386" s="18" t="str">
        <f>""</f>
        <v/>
      </c>
      <c r="AC386" s="18" t="str">
        <f>""</f>
        <v/>
      </c>
      <c r="AD386" s="18" t="str">
        <f>""</f>
        <v/>
      </c>
      <c r="AE386" s="18" t="str">
        <f>""</f>
        <v/>
      </c>
      <c r="AF386" s="18" t="str">
        <f>""</f>
        <v/>
      </c>
      <c r="AG386" s="18" t="str">
        <f>""</f>
        <v/>
      </c>
      <c r="AH386" s="18" t="str">
        <f>""</f>
        <v/>
      </c>
      <c r="AI386" s="18" t="str">
        <f>""</f>
        <v/>
      </c>
      <c r="AJ386" s="18" t="str">
        <f>""</f>
        <v/>
      </c>
      <c r="AK386" s="18" t="str">
        <f>""</f>
        <v/>
      </c>
      <c r="AL386" s="18" t="str">
        <f>""</f>
        <v/>
      </c>
      <c r="AM386" s="18" t="str">
        <f>""</f>
        <v/>
      </c>
    </row>
    <row r="387" spans="1:39" ht="15.75" customHeight="1" x14ac:dyDescent="0.25">
      <c r="A387" s="19" t="str">
        <f>IF('Step 8 - Controller'!B34="","","Active")</f>
        <v/>
      </c>
      <c r="B387" s="20" t="str">
        <f>IF('Step 8 - Controller'!B34="","",'Step 8 - Controller'!B34)</f>
        <v/>
      </c>
      <c r="C387" s="20" t="str">
        <f>IF('Step 8 - Controller'!B34="","",'Step 8 - Controller'!B34)</f>
        <v/>
      </c>
      <c r="D387" s="19" t="str">
        <f>IF('Step 8 - Controller'!B34="","",'Step 8 - Controller'!G34)</f>
        <v/>
      </c>
      <c r="E387" s="19" t="str">
        <f>IF('Step 8 - Controller'!B34="","",'Step 8 - Controller'!H34)</f>
        <v/>
      </c>
      <c r="F387" s="20" t="str">
        <f>IF('Step 8 - Controller'!B34="","",IF('Step 8 - Controller'!C34="","","Fund Code"))</f>
        <v/>
      </c>
      <c r="G387" s="19" t="str">
        <f>IF('Step 8 - Controller'!B34="","",IF('Step 8 - Controller'!C34="","","Equals"))</f>
        <v/>
      </c>
      <c r="H387" s="20" t="str">
        <f>IF('Step 8 - Controller'!B34="","",IF('Step 8 - Controller'!C34="","",'Step 8 - Controller'!C34))</f>
        <v/>
      </c>
      <c r="I387" s="20" t="str">
        <f>IF('Step 8 - Controller'!B34="","","Organization Code")</f>
        <v/>
      </c>
      <c r="J387" s="19" t="str">
        <f>IF('Step 8 - Controller'!B34="","","Equals")</f>
        <v/>
      </c>
      <c r="K387" s="20" t="str">
        <f>IF('Step 8 - Controller'!B34="","",'Step 8 - Controller'!D34)</f>
        <v/>
      </c>
      <c r="L387" s="20" t="str">
        <f>IF('Step 8 - Controller'!B34="","","Other Criteria")</f>
        <v/>
      </c>
      <c r="M387" s="19" t="str">
        <f>IF('Step 8 - Controller'!B34="","","Equals")</f>
        <v/>
      </c>
      <c r="N387" s="20" t="str">
        <f>IF('Step 8 - Controller'!B34="","",'Step 8 - Controller'!E34)</f>
        <v/>
      </c>
      <c r="O387" s="20" t="str">
        <f>IF('Step 8 - Controller'!B34="","",IF('Step 8 - Controller'!F34="","","Total"))</f>
        <v/>
      </c>
      <c r="P387" s="19" t="str">
        <f>IF('Step 8 - Controller'!B34="","",IF('Step 8 - Controller'!F34="","","&gt;="))</f>
        <v/>
      </c>
      <c r="Q387" s="20" t="str">
        <f>IF('Step 8 - Controller'!B34="","",IF('Step 8 - Controller'!F34="","",'Step 8 - Controller'!F34))</f>
        <v/>
      </c>
      <c r="R387" s="20" t="str">
        <f>""</f>
        <v/>
      </c>
      <c r="S387" s="20" t="str">
        <f>""</f>
        <v/>
      </c>
      <c r="T387" s="20" t="str">
        <f>""</f>
        <v/>
      </c>
      <c r="U387" s="20" t="str">
        <f>IF('Step 8 - Controller'!B34="","",'Step 8 - Controller'!I34)</f>
        <v/>
      </c>
      <c r="V387" s="19" t="str">
        <f>IF('Step 8 - Controller'!B34="","",'Step 8 - Controller'!K34)</f>
        <v/>
      </c>
      <c r="W387" s="20" t="str">
        <f>IF('Step 8 - Controller'!B34="","",'Step 8 - Controller'!L34)</f>
        <v/>
      </c>
      <c r="X387" s="19" t="str">
        <f>IF('Step 8 - Controller'!B34="","",'Step 8 - Controller'!N34)</f>
        <v/>
      </c>
      <c r="Y387" s="20" t="str">
        <f>""</f>
        <v/>
      </c>
      <c r="Z387" s="20" t="str">
        <f>""</f>
        <v/>
      </c>
      <c r="AA387" s="20" t="str">
        <f>""</f>
        <v/>
      </c>
      <c r="AB387" s="20" t="str">
        <f>""</f>
        <v/>
      </c>
      <c r="AC387" s="20" t="str">
        <f>""</f>
        <v/>
      </c>
      <c r="AD387" s="20" t="str">
        <f>""</f>
        <v/>
      </c>
      <c r="AE387" s="20" t="str">
        <f>""</f>
        <v/>
      </c>
      <c r="AF387" s="20" t="str">
        <f>""</f>
        <v/>
      </c>
      <c r="AG387" s="20" t="str">
        <f>""</f>
        <v/>
      </c>
      <c r="AH387" s="20" t="str">
        <f>""</f>
        <v/>
      </c>
      <c r="AI387" s="20" t="str">
        <f>""</f>
        <v/>
      </c>
      <c r="AJ387" s="20" t="str">
        <f>""</f>
        <v/>
      </c>
      <c r="AK387" s="20" t="str">
        <f>""</f>
        <v/>
      </c>
      <c r="AL387" s="20" t="str">
        <f>""</f>
        <v/>
      </c>
      <c r="AM387" s="20" t="str">
        <f>""</f>
        <v/>
      </c>
    </row>
    <row r="388" spans="1:39" ht="15.75" customHeight="1" x14ac:dyDescent="0.25">
      <c r="A388" s="17" t="str">
        <f>IF('Step 8 - Controller'!B35="","","Active")</f>
        <v/>
      </c>
      <c r="B388" s="18" t="str">
        <f>IF('Step 8 - Controller'!B35="","",'Step 8 - Controller'!B35)</f>
        <v/>
      </c>
      <c r="C388" s="18" t="str">
        <f>IF('Step 8 - Controller'!B35="","",'Step 8 - Controller'!B35)</f>
        <v/>
      </c>
      <c r="D388" s="17" t="str">
        <f>IF('Step 8 - Controller'!B35="","",'Step 8 - Controller'!G35)</f>
        <v/>
      </c>
      <c r="E388" s="17" t="str">
        <f>IF('Step 8 - Controller'!B35="","",'Step 8 - Controller'!H35)</f>
        <v/>
      </c>
      <c r="F388" s="18" t="str">
        <f>IF('Step 8 - Controller'!B35="","",IF('Step 8 - Controller'!C35="","","Fund Code"))</f>
        <v/>
      </c>
      <c r="G388" s="17" t="str">
        <f>IF('Step 8 - Controller'!B35="","",IF('Step 8 - Controller'!C35="","","Equals"))</f>
        <v/>
      </c>
      <c r="H388" s="18" t="str">
        <f>IF('Step 8 - Controller'!B35="","",IF('Step 8 - Controller'!C35="","",'Step 8 - Controller'!C35))</f>
        <v/>
      </c>
      <c r="I388" s="18" t="str">
        <f>IF('Step 8 - Controller'!B35="","","Organization Code")</f>
        <v/>
      </c>
      <c r="J388" s="17" t="str">
        <f>IF('Step 8 - Controller'!B35="","","Equals")</f>
        <v/>
      </c>
      <c r="K388" s="18" t="str">
        <f>IF('Step 8 - Controller'!B35="","",'Step 8 - Controller'!D35)</f>
        <v/>
      </c>
      <c r="L388" s="18" t="str">
        <f>IF('Step 8 - Controller'!B35="","","Other Criteria")</f>
        <v/>
      </c>
      <c r="M388" s="17" t="str">
        <f>IF('Step 8 - Controller'!B35="","","Equals")</f>
        <v/>
      </c>
      <c r="N388" s="18" t="str">
        <f>IF('Step 8 - Controller'!B35="","",'Step 8 - Controller'!E35)</f>
        <v/>
      </c>
      <c r="O388" s="18" t="str">
        <f>IF('Step 8 - Controller'!B35="","",IF('Step 8 - Controller'!F35="","","Total"))</f>
        <v/>
      </c>
      <c r="P388" s="17" t="str">
        <f>IF('Step 8 - Controller'!B35="","",IF('Step 8 - Controller'!F35="","","&gt;="))</f>
        <v/>
      </c>
      <c r="Q388" s="18" t="str">
        <f>IF('Step 8 - Controller'!B35="","",IF('Step 8 - Controller'!F35="","",'Step 8 - Controller'!F35))</f>
        <v/>
      </c>
      <c r="R388" s="18" t="str">
        <f>""</f>
        <v/>
      </c>
      <c r="S388" s="18" t="str">
        <f>""</f>
        <v/>
      </c>
      <c r="T388" s="18" t="str">
        <f>""</f>
        <v/>
      </c>
      <c r="U388" s="18" t="str">
        <f>IF('Step 8 - Controller'!B35="","",'Step 8 - Controller'!I35)</f>
        <v/>
      </c>
      <c r="V388" s="17" t="str">
        <f>IF('Step 8 - Controller'!B35="","",'Step 8 - Controller'!K35)</f>
        <v/>
      </c>
      <c r="W388" s="18" t="str">
        <f>IF('Step 8 - Controller'!B35="","",'Step 8 - Controller'!L35)</f>
        <v/>
      </c>
      <c r="X388" s="17" t="str">
        <f>IF('Step 8 - Controller'!B35="","",'Step 8 - Controller'!N35)</f>
        <v/>
      </c>
      <c r="Y388" s="18" t="str">
        <f>""</f>
        <v/>
      </c>
      <c r="Z388" s="18" t="str">
        <f>""</f>
        <v/>
      </c>
      <c r="AA388" s="18" t="str">
        <f>""</f>
        <v/>
      </c>
      <c r="AB388" s="18" t="str">
        <f>""</f>
        <v/>
      </c>
      <c r="AC388" s="18" t="str">
        <f>""</f>
        <v/>
      </c>
      <c r="AD388" s="18" t="str">
        <f>""</f>
        <v/>
      </c>
      <c r="AE388" s="18" t="str">
        <f>""</f>
        <v/>
      </c>
      <c r="AF388" s="18" t="str">
        <f>""</f>
        <v/>
      </c>
      <c r="AG388" s="18" t="str">
        <f>""</f>
        <v/>
      </c>
      <c r="AH388" s="18" t="str">
        <f>""</f>
        <v/>
      </c>
      <c r="AI388" s="18" t="str">
        <f>""</f>
        <v/>
      </c>
      <c r="AJ388" s="18" t="str">
        <f>""</f>
        <v/>
      </c>
      <c r="AK388" s="18" t="str">
        <f>""</f>
        <v/>
      </c>
      <c r="AL388" s="18" t="str">
        <f>""</f>
        <v/>
      </c>
      <c r="AM388" s="18" t="str">
        <f>""</f>
        <v/>
      </c>
    </row>
    <row r="389" spans="1:39" ht="15.75" customHeight="1" x14ac:dyDescent="0.25">
      <c r="A389" s="19" t="str">
        <f>IF('Step 8 - Controller'!B36="","","Active")</f>
        <v/>
      </c>
      <c r="B389" s="20" t="str">
        <f>IF('Step 8 - Controller'!B36="","",'Step 8 - Controller'!B36)</f>
        <v/>
      </c>
      <c r="C389" s="20" t="str">
        <f>IF('Step 8 - Controller'!B36="","",'Step 8 - Controller'!B36)</f>
        <v/>
      </c>
      <c r="D389" s="19" t="str">
        <f>IF('Step 8 - Controller'!B36="","",'Step 8 - Controller'!G36)</f>
        <v/>
      </c>
      <c r="E389" s="19" t="str">
        <f>IF('Step 8 - Controller'!B36="","",'Step 8 - Controller'!H36)</f>
        <v/>
      </c>
      <c r="F389" s="20" t="str">
        <f>IF('Step 8 - Controller'!B36="","",IF('Step 8 - Controller'!C36="","","Fund Code"))</f>
        <v/>
      </c>
      <c r="G389" s="19" t="str">
        <f>IF('Step 8 - Controller'!B36="","",IF('Step 8 - Controller'!C36="","","Equals"))</f>
        <v/>
      </c>
      <c r="H389" s="20" t="str">
        <f>IF('Step 8 - Controller'!B36="","",IF('Step 8 - Controller'!C36="","",'Step 8 - Controller'!C36))</f>
        <v/>
      </c>
      <c r="I389" s="20" t="str">
        <f>IF('Step 8 - Controller'!B36="","","Organization Code")</f>
        <v/>
      </c>
      <c r="J389" s="19" t="str">
        <f>IF('Step 8 - Controller'!B36="","","Equals")</f>
        <v/>
      </c>
      <c r="K389" s="20" t="str">
        <f>IF('Step 8 - Controller'!B36="","",'Step 8 - Controller'!D36)</f>
        <v/>
      </c>
      <c r="L389" s="20" t="str">
        <f>IF('Step 8 - Controller'!B36="","","Other Criteria")</f>
        <v/>
      </c>
      <c r="M389" s="19" t="str">
        <f>IF('Step 8 - Controller'!B36="","","Equals")</f>
        <v/>
      </c>
      <c r="N389" s="20" t="str">
        <f>IF('Step 8 - Controller'!B36="","",'Step 8 - Controller'!E36)</f>
        <v/>
      </c>
      <c r="O389" s="20" t="str">
        <f>IF('Step 8 - Controller'!B36="","",IF('Step 8 - Controller'!F36="","","Total"))</f>
        <v/>
      </c>
      <c r="P389" s="19" t="str">
        <f>IF('Step 8 - Controller'!B36="","",IF('Step 8 - Controller'!F36="","","&gt;="))</f>
        <v/>
      </c>
      <c r="Q389" s="20" t="str">
        <f>IF('Step 8 - Controller'!B36="","",IF('Step 8 - Controller'!F36="","",'Step 8 - Controller'!F36))</f>
        <v/>
      </c>
      <c r="R389" s="20" t="str">
        <f>""</f>
        <v/>
      </c>
      <c r="S389" s="20" t="str">
        <f>""</f>
        <v/>
      </c>
      <c r="T389" s="20" t="str">
        <f>""</f>
        <v/>
      </c>
      <c r="U389" s="20" t="str">
        <f>IF('Step 8 - Controller'!B36="","",'Step 8 - Controller'!I36)</f>
        <v/>
      </c>
      <c r="V389" s="19" t="str">
        <f>IF('Step 8 - Controller'!B36="","",'Step 8 - Controller'!K36)</f>
        <v/>
      </c>
      <c r="W389" s="20" t="str">
        <f>IF('Step 8 - Controller'!B36="","",'Step 8 - Controller'!L36)</f>
        <v/>
      </c>
      <c r="X389" s="19" t="str">
        <f>IF('Step 8 - Controller'!B36="","",'Step 8 - Controller'!N36)</f>
        <v/>
      </c>
      <c r="Y389" s="20" t="str">
        <f>""</f>
        <v/>
      </c>
      <c r="Z389" s="20" t="str">
        <f>""</f>
        <v/>
      </c>
      <c r="AA389" s="20" t="str">
        <f>""</f>
        <v/>
      </c>
      <c r="AB389" s="20" t="str">
        <f>""</f>
        <v/>
      </c>
      <c r="AC389" s="20" t="str">
        <f>""</f>
        <v/>
      </c>
      <c r="AD389" s="20" t="str">
        <f>""</f>
        <v/>
      </c>
      <c r="AE389" s="20" t="str">
        <f>""</f>
        <v/>
      </c>
      <c r="AF389" s="20" t="str">
        <f>""</f>
        <v/>
      </c>
      <c r="AG389" s="20" t="str">
        <f>""</f>
        <v/>
      </c>
      <c r="AH389" s="20" t="str">
        <f>""</f>
        <v/>
      </c>
      <c r="AI389" s="20" t="str">
        <f>""</f>
        <v/>
      </c>
      <c r="AJ389" s="20" t="str">
        <f>""</f>
        <v/>
      </c>
      <c r="AK389" s="20" t="str">
        <f>""</f>
        <v/>
      </c>
      <c r="AL389" s="20" t="str">
        <f>""</f>
        <v/>
      </c>
      <c r="AM389" s="20" t="str">
        <f>""</f>
        <v/>
      </c>
    </row>
    <row r="390" spans="1:39" ht="15.75" customHeight="1" x14ac:dyDescent="0.25">
      <c r="A390" s="17" t="str">
        <f>IF('Step 8 - Controller'!B37="","","Active")</f>
        <v/>
      </c>
      <c r="B390" s="18" t="str">
        <f>IF('Step 8 - Controller'!B37="","",'Step 8 - Controller'!B37)</f>
        <v/>
      </c>
      <c r="C390" s="18" t="str">
        <f>IF('Step 8 - Controller'!B37="","",'Step 8 - Controller'!B37)</f>
        <v/>
      </c>
      <c r="D390" s="17" t="str">
        <f>IF('Step 8 - Controller'!B37="","",'Step 8 - Controller'!G37)</f>
        <v/>
      </c>
      <c r="E390" s="17" t="str">
        <f>IF('Step 8 - Controller'!B37="","",'Step 8 - Controller'!H37)</f>
        <v/>
      </c>
      <c r="F390" s="18" t="str">
        <f>IF('Step 8 - Controller'!B37="","",IF('Step 8 - Controller'!C37="","","Fund Code"))</f>
        <v/>
      </c>
      <c r="G390" s="17" t="str">
        <f>IF('Step 8 - Controller'!B37="","",IF('Step 8 - Controller'!C37="","","Equals"))</f>
        <v/>
      </c>
      <c r="H390" s="18" t="str">
        <f>IF('Step 8 - Controller'!B37="","",IF('Step 8 - Controller'!C37="","",'Step 8 - Controller'!C37))</f>
        <v/>
      </c>
      <c r="I390" s="18" t="str">
        <f>IF('Step 8 - Controller'!B37="","","Organization Code")</f>
        <v/>
      </c>
      <c r="J390" s="17" t="str">
        <f>IF('Step 8 - Controller'!B37="","","Equals")</f>
        <v/>
      </c>
      <c r="K390" s="18" t="str">
        <f>IF('Step 8 - Controller'!B37="","",'Step 8 - Controller'!D37)</f>
        <v/>
      </c>
      <c r="L390" s="18" t="str">
        <f>IF('Step 8 - Controller'!B37="","","Other Criteria")</f>
        <v/>
      </c>
      <c r="M390" s="17" t="str">
        <f>IF('Step 8 - Controller'!B37="","","Equals")</f>
        <v/>
      </c>
      <c r="N390" s="18" t="str">
        <f>IF('Step 8 - Controller'!B37="","",'Step 8 - Controller'!E37)</f>
        <v/>
      </c>
      <c r="O390" s="18" t="str">
        <f>IF('Step 8 - Controller'!B37="","",IF('Step 8 - Controller'!F37="","","Total"))</f>
        <v/>
      </c>
      <c r="P390" s="17" t="str">
        <f>IF('Step 8 - Controller'!B37="","",IF('Step 8 - Controller'!F37="","","&gt;="))</f>
        <v/>
      </c>
      <c r="Q390" s="18" t="str">
        <f>IF('Step 8 - Controller'!B37="","",IF('Step 8 - Controller'!F37="","",'Step 8 - Controller'!F37))</f>
        <v/>
      </c>
      <c r="R390" s="18" t="str">
        <f>""</f>
        <v/>
      </c>
      <c r="S390" s="18" t="str">
        <f>""</f>
        <v/>
      </c>
      <c r="T390" s="18" t="str">
        <f>""</f>
        <v/>
      </c>
      <c r="U390" s="18" t="str">
        <f>IF('Step 8 - Controller'!B37="","",'Step 8 - Controller'!I37)</f>
        <v/>
      </c>
      <c r="V390" s="17" t="str">
        <f>IF('Step 8 - Controller'!B37="","",'Step 8 - Controller'!K37)</f>
        <v/>
      </c>
      <c r="W390" s="18" t="str">
        <f>IF('Step 8 - Controller'!B37="","",'Step 8 - Controller'!L37)</f>
        <v/>
      </c>
      <c r="X390" s="17" t="str">
        <f>IF('Step 8 - Controller'!B37="","",'Step 8 - Controller'!N37)</f>
        <v/>
      </c>
      <c r="Y390" s="18" t="str">
        <f>""</f>
        <v/>
      </c>
      <c r="Z390" s="18" t="str">
        <f>""</f>
        <v/>
      </c>
      <c r="AA390" s="18" t="str">
        <f>""</f>
        <v/>
      </c>
      <c r="AB390" s="18" t="str">
        <f>""</f>
        <v/>
      </c>
      <c r="AC390" s="18" t="str">
        <f>""</f>
        <v/>
      </c>
      <c r="AD390" s="18" t="str">
        <f>""</f>
        <v/>
      </c>
      <c r="AE390" s="18" t="str">
        <f>""</f>
        <v/>
      </c>
      <c r="AF390" s="18" t="str">
        <f>""</f>
        <v/>
      </c>
      <c r="AG390" s="18" t="str">
        <f>""</f>
        <v/>
      </c>
      <c r="AH390" s="18" t="str">
        <f>""</f>
        <v/>
      </c>
      <c r="AI390" s="18" t="str">
        <f>""</f>
        <v/>
      </c>
      <c r="AJ390" s="18" t="str">
        <f>""</f>
        <v/>
      </c>
      <c r="AK390" s="18" t="str">
        <f>""</f>
        <v/>
      </c>
      <c r="AL390" s="18" t="str">
        <f>""</f>
        <v/>
      </c>
      <c r="AM390" s="18" t="str">
        <f>""</f>
        <v/>
      </c>
    </row>
    <row r="391" spans="1:39" ht="15.75" customHeight="1" x14ac:dyDescent="0.25">
      <c r="A391" s="19" t="str">
        <f>IF('Step 8 - Controller'!B38="","","Active")</f>
        <v/>
      </c>
      <c r="B391" s="20" t="str">
        <f>IF('Step 8 - Controller'!B38="","",'Step 8 - Controller'!B38)</f>
        <v/>
      </c>
      <c r="C391" s="20" t="str">
        <f>IF('Step 8 - Controller'!B38="","",'Step 8 - Controller'!B38)</f>
        <v/>
      </c>
      <c r="D391" s="19" t="str">
        <f>IF('Step 8 - Controller'!B38="","",'Step 8 - Controller'!G38)</f>
        <v/>
      </c>
      <c r="E391" s="19" t="str">
        <f>IF('Step 8 - Controller'!B38="","",'Step 8 - Controller'!H38)</f>
        <v/>
      </c>
      <c r="F391" s="20" t="str">
        <f>IF('Step 8 - Controller'!B38="","",IF('Step 8 - Controller'!C38="","","Fund Code"))</f>
        <v/>
      </c>
      <c r="G391" s="19" t="str">
        <f>IF('Step 8 - Controller'!B38="","",IF('Step 8 - Controller'!C38="","","Equals"))</f>
        <v/>
      </c>
      <c r="H391" s="20" t="str">
        <f>IF('Step 8 - Controller'!B38="","",IF('Step 8 - Controller'!C38="","",'Step 8 - Controller'!C38))</f>
        <v/>
      </c>
      <c r="I391" s="20" t="str">
        <f>IF('Step 8 - Controller'!B38="","","Organization Code")</f>
        <v/>
      </c>
      <c r="J391" s="19" t="str">
        <f>IF('Step 8 - Controller'!B38="","","Equals")</f>
        <v/>
      </c>
      <c r="K391" s="20" t="str">
        <f>IF('Step 8 - Controller'!B38="","",'Step 8 - Controller'!D38)</f>
        <v/>
      </c>
      <c r="L391" s="20" t="str">
        <f>IF('Step 8 - Controller'!B38="","","Other Criteria")</f>
        <v/>
      </c>
      <c r="M391" s="19" t="str">
        <f>IF('Step 8 - Controller'!B38="","","Equals")</f>
        <v/>
      </c>
      <c r="N391" s="20" t="str">
        <f>IF('Step 8 - Controller'!B38="","",'Step 8 - Controller'!E38)</f>
        <v/>
      </c>
      <c r="O391" s="20" t="str">
        <f>IF('Step 8 - Controller'!B38="","",IF('Step 8 - Controller'!F38="","","Total"))</f>
        <v/>
      </c>
      <c r="P391" s="19" t="str">
        <f>IF('Step 8 - Controller'!B38="","",IF('Step 8 - Controller'!F38="","","&gt;="))</f>
        <v/>
      </c>
      <c r="Q391" s="20" t="str">
        <f>IF('Step 8 - Controller'!B38="","",IF('Step 8 - Controller'!F38="","",'Step 8 - Controller'!F38))</f>
        <v/>
      </c>
      <c r="R391" s="20" t="str">
        <f>""</f>
        <v/>
      </c>
      <c r="S391" s="20" t="str">
        <f>""</f>
        <v/>
      </c>
      <c r="T391" s="20" t="str">
        <f>""</f>
        <v/>
      </c>
      <c r="U391" s="20" t="str">
        <f>IF('Step 8 - Controller'!B38="","",'Step 8 - Controller'!I38)</f>
        <v/>
      </c>
      <c r="V391" s="19" t="str">
        <f>IF('Step 8 - Controller'!B38="","",'Step 8 - Controller'!K38)</f>
        <v/>
      </c>
      <c r="W391" s="20" t="str">
        <f>IF('Step 8 - Controller'!B38="","",'Step 8 - Controller'!L38)</f>
        <v/>
      </c>
      <c r="X391" s="19" t="str">
        <f>IF('Step 8 - Controller'!B38="","",'Step 8 - Controller'!N38)</f>
        <v/>
      </c>
      <c r="Y391" s="20" t="str">
        <f>""</f>
        <v/>
      </c>
      <c r="Z391" s="20" t="str">
        <f>""</f>
        <v/>
      </c>
      <c r="AA391" s="20" t="str">
        <f>""</f>
        <v/>
      </c>
      <c r="AB391" s="20" t="str">
        <f>""</f>
        <v/>
      </c>
      <c r="AC391" s="20" t="str">
        <f>""</f>
        <v/>
      </c>
      <c r="AD391" s="20" t="str">
        <f>""</f>
        <v/>
      </c>
      <c r="AE391" s="20" t="str">
        <f>""</f>
        <v/>
      </c>
      <c r="AF391" s="20" t="str">
        <f>""</f>
        <v/>
      </c>
      <c r="AG391" s="20" t="str">
        <f>""</f>
        <v/>
      </c>
      <c r="AH391" s="20" t="str">
        <f>""</f>
        <v/>
      </c>
      <c r="AI391" s="20" t="str">
        <f>""</f>
        <v/>
      </c>
      <c r="AJ391" s="20" t="str">
        <f>""</f>
        <v/>
      </c>
      <c r="AK391" s="20" t="str">
        <f>""</f>
        <v/>
      </c>
      <c r="AL391" s="20" t="str">
        <f>""</f>
        <v/>
      </c>
      <c r="AM391" s="20" t="str">
        <f>""</f>
        <v/>
      </c>
    </row>
    <row r="392" spans="1:39" ht="15.75" customHeight="1" x14ac:dyDescent="0.25">
      <c r="A392" s="17" t="str">
        <f>IF('Step 8 - Controller'!B39="","","Active")</f>
        <v/>
      </c>
      <c r="B392" s="18" t="str">
        <f>IF('Step 8 - Controller'!B39="","",'Step 8 - Controller'!B39)</f>
        <v/>
      </c>
      <c r="C392" s="18" t="str">
        <f>IF('Step 8 - Controller'!B39="","",'Step 8 - Controller'!B39)</f>
        <v/>
      </c>
      <c r="D392" s="17" t="str">
        <f>IF('Step 8 - Controller'!B39="","",'Step 8 - Controller'!G39)</f>
        <v/>
      </c>
      <c r="E392" s="17" t="str">
        <f>IF('Step 8 - Controller'!B39="","",'Step 8 - Controller'!H39)</f>
        <v/>
      </c>
      <c r="F392" s="18" t="str">
        <f>IF('Step 8 - Controller'!B39="","",IF('Step 8 - Controller'!C39="","","Fund Code"))</f>
        <v/>
      </c>
      <c r="G392" s="17" t="str">
        <f>IF('Step 8 - Controller'!B39="","",IF('Step 8 - Controller'!C39="","","Equals"))</f>
        <v/>
      </c>
      <c r="H392" s="18" t="str">
        <f>IF('Step 8 - Controller'!B39="","",IF('Step 8 - Controller'!C39="","",'Step 8 - Controller'!C39))</f>
        <v/>
      </c>
      <c r="I392" s="18" t="str">
        <f>IF('Step 8 - Controller'!B39="","","Organization Code")</f>
        <v/>
      </c>
      <c r="J392" s="17" t="str">
        <f>IF('Step 8 - Controller'!B39="","","Equals")</f>
        <v/>
      </c>
      <c r="K392" s="18" t="str">
        <f>IF('Step 8 - Controller'!B39="","",'Step 8 - Controller'!D39)</f>
        <v/>
      </c>
      <c r="L392" s="18" t="str">
        <f>IF('Step 8 - Controller'!B39="","","Other Criteria")</f>
        <v/>
      </c>
      <c r="M392" s="17" t="str">
        <f>IF('Step 8 - Controller'!B39="","","Equals")</f>
        <v/>
      </c>
      <c r="N392" s="18" t="str">
        <f>IF('Step 8 - Controller'!B39="","",'Step 8 - Controller'!E39)</f>
        <v/>
      </c>
      <c r="O392" s="18" t="str">
        <f>IF('Step 8 - Controller'!B39="","",IF('Step 8 - Controller'!F39="","","Total"))</f>
        <v/>
      </c>
      <c r="P392" s="17" t="str">
        <f>IF('Step 8 - Controller'!B39="","",IF('Step 8 - Controller'!F39="","","&gt;="))</f>
        <v/>
      </c>
      <c r="Q392" s="18" t="str">
        <f>IF('Step 8 - Controller'!B39="","",IF('Step 8 - Controller'!F39="","",'Step 8 - Controller'!F39))</f>
        <v/>
      </c>
      <c r="R392" s="18" t="str">
        <f>""</f>
        <v/>
      </c>
      <c r="S392" s="18" t="str">
        <f>""</f>
        <v/>
      </c>
      <c r="T392" s="18" t="str">
        <f>""</f>
        <v/>
      </c>
      <c r="U392" s="18" t="str">
        <f>IF('Step 8 - Controller'!B39="","",'Step 8 - Controller'!I39)</f>
        <v/>
      </c>
      <c r="V392" s="17" t="str">
        <f>IF('Step 8 - Controller'!B39="","",'Step 8 - Controller'!K39)</f>
        <v/>
      </c>
      <c r="W392" s="18" t="str">
        <f>IF('Step 8 - Controller'!B39="","",'Step 8 - Controller'!L39)</f>
        <v/>
      </c>
      <c r="X392" s="17" t="str">
        <f>IF('Step 8 - Controller'!B39="","",'Step 8 - Controller'!N39)</f>
        <v/>
      </c>
      <c r="Y392" s="18" t="str">
        <f>""</f>
        <v/>
      </c>
      <c r="Z392" s="18" t="str">
        <f>""</f>
        <v/>
      </c>
      <c r="AA392" s="18" t="str">
        <f>""</f>
        <v/>
      </c>
      <c r="AB392" s="18" t="str">
        <f>""</f>
        <v/>
      </c>
      <c r="AC392" s="18" t="str">
        <f>""</f>
        <v/>
      </c>
      <c r="AD392" s="18" t="str">
        <f>""</f>
        <v/>
      </c>
      <c r="AE392" s="18" t="str">
        <f>""</f>
        <v/>
      </c>
      <c r="AF392" s="18" t="str">
        <f>""</f>
        <v/>
      </c>
      <c r="AG392" s="18" t="str">
        <f>""</f>
        <v/>
      </c>
      <c r="AH392" s="18" t="str">
        <f>""</f>
        <v/>
      </c>
      <c r="AI392" s="18" t="str">
        <f>""</f>
        <v/>
      </c>
      <c r="AJ392" s="18" t="str">
        <f>""</f>
        <v/>
      </c>
      <c r="AK392" s="18" t="str">
        <f>""</f>
        <v/>
      </c>
      <c r="AL392" s="18" t="str">
        <f>""</f>
        <v/>
      </c>
      <c r="AM392" s="18" t="str">
        <f>""</f>
        <v/>
      </c>
    </row>
    <row r="393" spans="1:39" ht="15.75" customHeight="1" x14ac:dyDescent="0.25">
      <c r="A393" s="19" t="str">
        <f>IF('Step 8 - Controller'!B40="","","Active")</f>
        <v/>
      </c>
      <c r="B393" s="20" t="str">
        <f>IF('Step 8 - Controller'!B40="","",'Step 8 - Controller'!B40)</f>
        <v/>
      </c>
      <c r="C393" s="20" t="str">
        <f>IF('Step 8 - Controller'!B40="","",'Step 8 - Controller'!B40)</f>
        <v/>
      </c>
      <c r="D393" s="19" t="str">
        <f>IF('Step 8 - Controller'!B40="","",'Step 8 - Controller'!G40)</f>
        <v/>
      </c>
      <c r="E393" s="19" t="str">
        <f>IF('Step 8 - Controller'!B40="","",'Step 8 - Controller'!H40)</f>
        <v/>
      </c>
      <c r="F393" s="20" t="str">
        <f>IF('Step 8 - Controller'!B40="","",IF('Step 8 - Controller'!C40="","","Fund Code"))</f>
        <v/>
      </c>
      <c r="G393" s="19" t="str">
        <f>IF('Step 8 - Controller'!B40="","",IF('Step 8 - Controller'!C40="","","Equals"))</f>
        <v/>
      </c>
      <c r="H393" s="20" t="str">
        <f>IF('Step 8 - Controller'!B40="","",IF('Step 8 - Controller'!C40="","",'Step 8 - Controller'!C40))</f>
        <v/>
      </c>
      <c r="I393" s="20" t="str">
        <f>IF('Step 8 - Controller'!B40="","","Organization Code")</f>
        <v/>
      </c>
      <c r="J393" s="19" t="str">
        <f>IF('Step 8 - Controller'!B40="","","Equals")</f>
        <v/>
      </c>
      <c r="K393" s="20" t="str">
        <f>IF('Step 8 - Controller'!B40="","",'Step 8 - Controller'!D40)</f>
        <v/>
      </c>
      <c r="L393" s="20" t="str">
        <f>IF('Step 8 - Controller'!B40="","","Other Criteria")</f>
        <v/>
      </c>
      <c r="M393" s="19" t="str">
        <f>IF('Step 8 - Controller'!B40="","","Equals")</f>
        <v/>
      </c>
      <c r="N393" s="20" t="str">
        <f>IF('Step 8 - Controller'!B40="","",'Step 8 - Controller'!E40)</f>
        <v/>
      </c>
      <c r="O393" s="20" t="str">
        <f>IF('Step 8 - Controller'!B40="","",IF('Step 8 - Controller'!F40="","","Total"))</f>
        <v/>
      </c>
      <c r="P393" s="19" t="str">
        <f>IF('Step 8 - Controller'!B40="","",IF('Step 8 - Controller'!F40="","","&gt;="))</f>
        <v/>
      </c>
      <c r="Q393" s="20" t="str">
        <f>IF('Step 8 - Controller'!B40="","",IF('Step 8 - Controller'!F40="","",'Step 8 - Controller'!F40))</f>
        <v/>
      </c>
      <c r="R393" s="20" t="str">
        <f>""</f>
        <v/>
      </c>
      <c r="S393" s="20" t="str">
        <f>""</f>
        <v/>
      </c>
      <c r="T393" s="20" t="str">
        <f>""</f>
        <v/>
      </c>
      <c r="U393" s="20" t="str">
        <f>IF('Step 8 - Controller'!B40="","",'Step 8 - Controller'!I40)</f>
        <v/>
      </c>
      <c r="V393" s="19" t="str">
        <f>IF('Step 8 - Controller'!B40="","",'Step 8 - Controller'!K40)</f>
        <v/>
      </c>
      <c r="W393" s="20" t="str">
        <f>IF('Step 8 - Controller'!B40="","",'Step 8 - Controller'!L40)</f>
        <v/>
      </c>
      <c r="X393" s="19" t="str">
        <f>IF('Step 8 - Controller'!B40="","",'Step 8 - Controller'!N40)</f>
        <v/>
      </c>
      <c r="Y393" s="20" t="str">
        <f>""</f>
        <v/>
      </c>
      <c r="Z393" s="20" t="str">
        <f>""</f>
        <v/>
      </c>
      <c r="AA393" s="20" t="str">
        <f>""</f>
        <v/>
      </c>
      <c r="AB393" s="20" t="str">
        <f>""</f>
        <v/>
      </c>
      <c r="AC393" s="20" t="str">
        <f>""</f>
        <v/>
      </c>
      <c r="AD393" s="20" t="str">
        <f>""</f>
        <v/>
      </c>
      <c r="AE393" s="20" t="str">
        <f>""</f>
        <v/>
      </c>
      <c r="AF393" s="20" t="str">
        <f>""</f>
        <v/>
      </c>
      <c r="AG393" s="20" t="str">
        <f>""</f>
        <v/>
      </c>
      <c r="AH393" s="20" t="str">
        <f>""</f>
        <v/>
      </c>
      <c r="AI393" s="20" t="str">
        <f>""</f>
        <v/>
      </c>
      <c r="AJ393" s="20" t="str">
        <f>""</f>
        <v/>
      </c>
      <c r="AK393" s="20" t="str">
        <f>""</f>
        <v/>
      </c>
      <c r="AL393" s="20" t="str">
        <f>""</f>
        <v/>
      </c>
      <c r="AM393" s="20" t="str">
        <f>""</f>
        <v/>
      </c>
    </row>
    <row r="394" spans="1:39" ht="15.75" customHeight="1" x14ac:dyDescent="0.25">
      <c r="A394" s="17" t="str">
        <f>IF('Step 8 - Controller'!B41="","","Active")</f>
        <v/>
      </c>
      <c r="B394" s="18" t="str">
        <f>IF('Step 8 - Controller'!B41="","",'Step 8 - Controller'!B41)</f>
        <v/>
      </c>
      <c r="C394" s="18" t="str">
        <f>IF('Step 8 - Controller'!B41="","",'Step 8 - Controller'!B41)</f>
        <v/>
      </c>
      <c r="D394" s="17" t="str">
        <f>IF('Step 8 - Controller'!B41="","",'Step 8 - Controller'!G41)</f>
        <v/>
      </c>
      <c r="E394" s="17" t="str">
        <f>IF('Step 8 - Controller'!B41="","",'Step 8 - Controller'!H41)</f>
        <v/>
      </c>
      <c r="F394" s="18" t="str">
        <f>IF('Step 8 - Controller'!B41="","",IF('Step 8 - Controller'!C41="","","Fund Code"))</f>
        <v/>
      </c>
      <c r="G394" s="17" t="str">
        <f>IF('Step 8 - Controller'!B41="","",IF('Step 8 - Controller'!C41="","","Equals"))</f>
        <v/>
      </c>
      <c r="H394" s="18" t="str">
        <f>IF('Step 8 - Controller'!B41="","",IF('Step 8 - Controller'!C41="","",'Step 8 - Controller'!C41))</f>
        <v/>
      </c>
      <c r="I394" s="18" t="str">
        <f>IF('Step 8 - Controller'!B41="","","Organization Code")</f>
        <v/>
      </c>
      <c r="J394" s="17" t="str">
        <f>IF('Step 8 - Controller'!B41="","","Equals")</f>
        <v/>
      </c>
      <c r="K394" s="18" t="str">
        <f>IF('Step 8 - Controller'!B41="","",'Step 8 - Controller'!D41)</f>
        <v/>
      </c>
      <c r="L394" s="18" t="str">
        <f>IF('Step 8 - Controller'!B41="","","Other Criteria")</f>
        <v/>
      </c>
      <c r="M394" s="17" t="str">
        <f>IF('Step 8 - Controller'!B41="","","Equals")</f>
        <v/>
      </c>
      <c r="N394" s="18" t="str">
        <f>IF('Step 8 - Controller'!B41="","",'Step 8 - Controller'!E41)</f>
        <v/>
      </c>
      <c r="O394" s="18" t="str">
        <f>IF('Step 8 - Controller'!B41="","",IF('Step 8 - Controller'!F41="","","Total"))</f>
        <v/>
      </c>
      <c r="P394" s="17" t="str">
        <f>IF('Step 8 - Controller'!B41="","",IF('Step 8 - Controller'!F41="","","&gt;="))</f>
        <v/>
      </c>
      <c r="Q394" s="18" t="str">
        <f>IF('Step 8 - Controller'!B41="","",IF('Step 8 - Controller'!F41="","",'Step 8 - Controller'!F41))</f>
        <v/>
      </c>
      <c r="R394" s="18" t="str">
        <f>""</f>
        <v/>
      </c>
      <c r="S394" s="18" t="str">
        <f>""</f>
        <v/>
      </c>
      <c r="T394" s="18" t="str">
        <f>""</f>
        <v/>
      </c>
      <c r="U394" s="18" t="str">
        <f>IF('Step 8 - Controller'!B41="","",'Step 8 - Controller'!I41)</f>
        <v/>
      </c>
      <c r="V394" s="17" t="str">
        <f>IF('Step 8 - Controller'!B41="","",'Step 8 - Controller'!K41)</f>
        <v/>
      </c>
      <c r="W394" s="18" t="str">
        <f>IF('Step 8 - Controller'!B41="","",'Step 8 - Controller'!L41)</f>
        <v/>
      </c>
      <c r="X394" s="17" t="str">
        <f>IF('Step 8 - Controller'!B41="","",'Step 8 - Controller'!N41)</f>
        <v/>
      </c>
      <c r="Y394" s="18" t="str">
        <f>""</f>
        <v/>
      </c>
      <c r="Z394" s="18" t="str">
        <f>""</f>
        <v/>
      </c>
      <c r="AA394" s="18" t="str">
        <f>""</f>
        <v/>
      </c>
      <c r="AB394" s="18" t="str">
        <f>""</f>
        <v/>
      </c>
      <c r="AC394" s="18" t="str">
        <f>""</f>
        <v/>
      </c>
      <c r="AD394" s="18" t="str">
        <f>""</f>
        <v/>
      </c>
      <c r="AE394" s="18" t="str">
        <f>""</f>
        <v/>
      </c>
      <c r="AF394" s="18" t="str">
        <f>""</f>
        <v/>
      </c>
      <c r="AG394" s="18" t="str">
        <f>""</f>
        <v/>
      </c>
      <c r="AH394" s="18" t="str">
        <f>""</f>
        <v/>
      </c>
      <c r="AI394" s="18" t="str">
        <f>""</f>
        <v/>
      </c>
      <c r="AJ394" s="18" t="str">
        <f>""</f>
        <v/>
      </c>
      <c r="AK394" s="18" t="str">
        <f>""</f>
        <v/>
      </c>
      <c r="AL394" s="18" t="str">
        <f>""</f>
        <v/>
      </c>
      <c r="AM394" s="18" t="str">
        <f>""</f>
        <v/>
      </c>
    </row>
    <row r="395" spans="1:39" ht="15.75" customHeight="1" x14ac:dyDescent="0.25">
      <c r="A395" s="19" t="str">
        <f>IF('Step 8 - Controller'!B42="","","Active")</f>
        <v/>
      </c>
      <c r="B395" s="20" t="str">
        <f>IF('Step 8 - Controller'!B42="","",'Step 8 - Controller'!B42)</f>
        <v/>
      </c>
      <c r="C395" s="20" t="str">
        <f>IF('Step 8 - Controller'!B42="","",'Step 8 - Controller'!B42)</f>
        <v/>
      </c>
      <c r="D395" s="19" t="str">
        <f>IF('Step 8 - Controller'!B42="","",'Step 8 - Controller'!G42)</f>
        <v/>
      </c>
      <c r="E395" s="19" t="str">
        <f>IF('Step 8 - Controller'!B42="","",'Step 8 - Controller'!H42)</f>
        <v/>
      </c>
      <c r="F395" s="20" t="str">
        <f>IF('Step 8 - Controller'!B42="","",IF('Step 8 - Controller'!C42="","","Fund Code"))</f>
        <v/>
      </c>
      <c r="G395" s="19" t="str">
        <f>IF('Step 8 - Controller'!B42="","",IF('Step 8 - Controller'!C42="","","Equals"))</f>
        <v/>
      </c>
      <c r="H395" s="20" t="str">
        <f>IF('Step 8 - Controller'!B42="","",IF('Step 8 - Controller'!C42="","",'Step 8 - Controller'!C42))</f>
        <v/>
      </c>
      <c r="I395" s="20" t="str">
        <f>IF('Step 8 - Controller'!B42="","","Organization Code")</f>
        <v/>
      </c>
      <c r="J395" s="19" t="str">
        <f>IF('Step 8 - Controller'!B42="","","Equals")</f>
        <v/>
      </c>
      <c r="K395" s="20" t="str">
        <f>IF('Step 8 - Controller'!B42="","",'Step 8 - Controller'!D42)</f>
        <v/>
      </c>
      <c r="L395" s="20" t="str">
        <f>IF('Step 8 - Controller'!B42="","","Other Criteria")</f>
        <v/>
      </c>
      <c r="M395" s="19" t="str">
        <f>IF('Step 8 - Controller'!B42="","","Equals")</f>
        <v/>
      </c>
      <c r="N395" s="20" t="str">
        <f>IF('Step 8 - Controller'!B42="","",'Step 8 - Controller'!E42)</f>
        <v/>
      </c>
      <c r="O395" s="20" t="str">
        <f>IF('Step 8 - Controller'!B42="","",IF('Step 8 - Controller'!F42="","","Total"))</f>
        <v/>
      </c>
      <c r="P395" s="19" t="str">
        <f>IF('Step 8 - Controller'!B42="","",IF('Step 8 - Controller'!F42="","","&gt;="))</f>
        <v/>
      </c>
      <c r="Q395" s="20" t="str">
        <f>IF('Step 8 - Controller'!B42="","",IF('Step 8 - Controller'!F42="","",'Step 8 - Controller'!F42))</f>
        <v/>
      </c>
      <c r="R395" s="20" t="str">
        <f>""</f>
        <v/>
      </c>
      <c r="S395" s="20" t="str">
        <f>""</f>
        <v/>
      </c>
      <c r="T395" s="20" t="str">
        <f>""</f>
        <v/>
      </c>
      <c r="U395" s="20" t="str">
        <f>IF('Step 8 - Controller'!B42="","",'Step 8 - Controller'!I42)</f>
        <v/>
      </c>
      <c r="V395" s="19" t="str">
        <f>IF('Step 8 - Controller'!B42="","",'Step 8 - Controller'!K42)</f>
        <v/>
      </c>
      <c r="W395" s="20" t="str">
        <f>IF('Step 8 - Controller'!B42="","",'Step 8 - Controller'!L42)</f>
        <v/>
      </c>
      <c r="X395" s="19" t="str">
        <f>IF('Step 8 - Controller'!B42="","",'Step 8 - Controller'!N42)</f>
        <v/>
      </c>
      <c r="Y395" s="20" t="str">
        <f>""</f>
        <v/>
      </c>
      <c r="Z395" s="20" t="str">
        <f>""</f>
        <v/>
      </c>
      <c r="AA395" s="20" t="str">
        <f>""</f>
        <v/>
      </c>
      <c r="AB395" s="20" t="str">
        <f>""</f>
        <v/>
      </c>
      <c r="AC395" s="20" t="str">
        <f>""</f>
        <v/>
      </c>
      <c r="AD395" s="20" t="str">
        <f>""</f>
        <v/>
      </c>
      <c r="AE395" s="20" t="str">
        <f>""</f>
        <v/>
      </c>
      <c r="AF395" s="20" t="str">
        <f>""</f>
        <v/>
      </c>
      <c r="AG395" s="20" t="str">
        <f>""</f>
        <v/>
      </c>
      <c r="AH395" s="20" t="str">
        <f>""</f>
        <v/>
      </c>
      <c r="AI395" s="20" t="str">
        <f>""</f>
        <v/>
      </c>
      <c r="AJ395" s="20" t="str">
        <f>""</f>
        <v/>
      </c>
      <c r="AK395" s="20" t="str">
        <f>""</f>
        <v/>
      </c>
      <c r="AL395" s="20" t="str">
        <f>""</f>
        <v/>
      </c>
      <c r="AM395" s="20" t="str">
        <f>""</f>
        <v/>
      </c>
    </row>
    <row r="396" spans="1:39" ht="15.75" customHeight="1" x14ac:dyDescent="0.25">
      <c r="A396" s="17" t="str">
        <f>IF('Step 8 - Controller'!B43="","","Active")</f>
        <v/>
      </c>
      <c r="B396" s="18" t="str">
        <f>IF('Step 8 - Controller'!B43="","",'Step 8 - Controller'!B43)</f>
        <v/>
      </c>
      <c r="C396" s="18" t="str">
        <f>IF('Step 8 - Controller'!B43="","",'Step 8 - Controller'!B43)</f>
        <v/>
      </c>
      <c r="D396" s="17" t="str">
        <f>IF('Step 8 - Controller'!B43="","",'Step 8 - Controller'!G43)</f>
        <v/>
      </c>
      <c r="E396" s="17" t="str">
        <f>IF('Step 8 - Controller'!B43="","",'Step 8 - Controller'!H43)</f>
        <v/>
      </c>
      <c r="F396" s="18" t="str">
        <f>IF('Step 8 - Controller'!B43="","",IF('Step 8 - Controller'!C43="","","Fund Code"))</f>
        <v/>
      </c>
      <c r="G396" s="17" t="str">
        <f>IF('Step 8 - Controller'!B43="","",IF('Step 8 - Controller'!C43="","","Equals"))</f>
        <v/>
      </c>
      <c r="H396" s="18" t="str">
        <f>IF('Step 8 - Controller'!B43="","",IF('Step 8 - Controller'!C43="","",'Step 8 - Controller'!C43))</f>
        <v/>
      </c>
      <c r="I396" s="18" t="str">
        <f>IF('Step 8 - Controller'!B43="","","Organization Code")</f>
        <v/>
      </c>
      <c r="J396" s="17" t="str">
        <f>IF('Step 8 - Controller'!B43="","","Equals")</f>
        <v/>
      </c>
      <c r="K396" s="18" t="str">
        <f>IF('Step 8 - Controller'!B43="","",'Step 8 - Controller'!D43)</f>
        <v/>
      </c>
      <c r="L396" s="18" t="str">
        <f>IF('Step 8 - Controller'!B43="","","Other Criteria")</f>
        <v/>
      </c>
      <c r="M396" s="17" t="str">
        <f>IF('Step 8 - Controller'!B43="","","Equals")</f>
        <v/>
      </c>
      <c r="N396" s="18" t="str">
        <f>IF('Step 8 - Controller'!B43="","",'Step 8 - Controller'!E43)</f>
        <v/>
      </c>
      <c r="O396" s="18" t="str">
        <f>IF('Step 8 - Controller'!B43="","",IF('Step 8 - Controller'!F43="","","Total"))</f>
        <v/>
      </c>
      <c r="P396" s="17" t="str">
        <f>IF('Step 8 - Controller'!B43="","",IF('Step 8 - Controller'!F43="","","&gt;="))</f>
        <v/>
      </c>
      <c r="Q396" s="18" t="str">
        <f>IF('Step 8 - Controller'!B43="","",IF('Step 8 - Controller'!F43="","",'Step 8 - Controller'!F43))</f>
        <v/>
      </c>
      <c r="R396" s="18" t="str">
        <f>""</f>
        <v/>
      </c>
      <c r="S396" s="18" t="str">
        <f>""</f>
        <v/>
      </c>
      <c r="T396" s="18" t="str">
        <f>""</f>
        <v/>
      </c>
      <c r="U396" s="18" t="str">
        <f>IF('Step 8 - Controller'!B43="","",'Step 8 - Controller'!I43)</f>
        <v/>
      </c>
      <c r="V396" s="17" t="str">
        <f>IF('Step 8 - Controller'!B43="","",'Step 8 - Controller'!K43)</f>
        <v/>
      </c>
      <c r="W396" s="18" t="str">
        <f>IF('Step 8 - Controller'!B43="","",'Step 8 - Controller'!L43)</f>
        <v/>
      </c>
      <c r="X396" s="17" t="str">
        <f>IF('Step 8 - Controller'!B43="","",'Step 8 - Controller'!N43)</f>
        <v/>
      </c>
      <c r="Y396" s="18" t="str">
        <f>""</f>
        <v/>
      </c>
      <c r="Z396" s="18" t="str">
        <f>""</f>
        <v/>
      </c>
      <c r="AA396" s="18" t="str">
        <f>""</f>
        <v/>
      </c>
      <c r="AB396" s="18" t="str">
        <f>""</f>
        <v/>
      </c>
      <c r="AC396" s="18" t="str">
        <f>""</f>
        <v/>
      </c>
      <c r="AD396" s="18" t="str">
        <f>""</f>
        <v/>
      </c>
      <c r="AE396" s="18" t="str">
        <f>""</f>
        <v/>
      </c>
      <c r="AF396" s="18" t="str">
        <f>""</f>
        <v/>
      </c>
      <c r="AG396" s="18" t="str">
        <f>""</f>
        <v/>
      </c>
      <c r="AH396" s="18" t="str">
        <f>""</f>
        <v/>
      </c>
      <c r="AI396" s="18" t="str">
        <f>""</f>
        <v/>
      </c>
      <c r="AJ396" s="18" t="str">
        <f>""</f>
        <v/>
      </c>
      <c r="AK396" s="18" t="str">
        <f>""</f>
        <v/>
      </c>
      <c r="AL396" s="18" t="str">
        <f>""</f>
        <v/>
      </c>
      <c r="AM396" s="18" t="str">
        <f>""</f>
        <v/>
      </c>
    </row>
    <row r="397" spans="1:39" ht="15.75" customHeight="1" x14ac:dyDescent="0.25">
      <c r="A397" s="19" t="str">
        <f>IF('Step 8 - Controller'!B44="","","Active")</f>
        <v/>
      </c>
      <c r="B397" s="20" t="str">
        <f>IF('Step 8 - Controller'!B44="","",'Step 8 - Controller'!B44)</f>
        <v/>
      </c>
      <c r="C397" s="20" t="str">
        <f>IF('Step 8 - Controller'!B44="","",'Step 8 - Controller'!B44)</f>
        <v/>
      </c>
      <c r="D397" s="19" t="str">
        <f>IF('Step 8 - Controller'!B44="","",'Step 8 - Controller'!G44)</f>
        <v/>
      </c>
      <c r="E397" s="19" t="str">
        <f>IF('Step 8 - Controller'!B44="","",'Step 8 - Controller'!H44)</f>
        <v/>
      </c>
      <c r="F397" s="20" t="str">
        <f>IF('Step 8 - Controller'!B44="","",IF('Step 8 - Controller'!C44="","","Fund Code"))</f>
        <v/>
      </c>
      <c r="G397" s="19" t="str">
        <f>IF('Step 8 - Controller'!B44="","",IF('Step 8 - Controller'!C44="","","Equals"))</f>
        <v/>
      </c>
      <c r="H397" s="20" t="str">
        <f>IF('Step 8 - Controller'!B44="","",IF('Step 8 - Controller'!C44="","",'Step 8 - Controller'!C44))</f>
        <v/>
      </c>
      <c r="I397" s="20" t="str">
        <f>IF('Step 8 - Controller'!B44="","","Organization Code")</f>
        <v/>
      </c>
      <c r="J397" s="19" t="str">
        <f>IF('Step 8 - Controller'!B44="","","Equals")</f>
        <v/>
      </c>
      <c r="K397" s="20" t="str">
        <f>IF('Step 8 - Controller'!B44="","",'Step 8 - Controller'!D44)</f>
        <v/>
      </c>
      <c r="L397" s="20" t="str">
        <f>IF('Step 8 - Controller'!B44="","","Other Criteria")</f>
        <v/>
      </c>
      <c r="M397" s="19" t="str">
        <f>IF('Step 8 - Controller'!B44="","","Equals")</f>
        <v/>
      </c>
      <c r="N397" s="20" t="str">
        <f>IF('Step 8 - Controller'!B44="","",'Step 8 - Controller'!E44)</f>
        <v/>
      </c>
      <c r="O397" s="20" t="str">
        <f>IF('Step 8 - Controller'!B44="","",IF('Step 8 - Controller'!F44="","","Total"))</f>
        <v/>
      </c>
      <c r="P397" s="19" t="str">
        <f>IF('Step 8 - Controller'!B44="","",IF('Step 8 - Controller'!F44="","","&gt;="))</f>
        <v/>
      </c>
      <c r="Q397" s="20" t="str">
        <f>IF('Step 8 - Controller'!B44="","",IF('Step 8 - Controller'!F44="","",'Step 8 - Controller'!F44))</f>
        <v/>
      </c>
      <c r="R397" s="20" t="str">
        <f>""</f>
        <v/>
      </c>
      <c r="S397" s="20" t="str">
        <f>""</f>
        <v/>
      </c>
      <c r="T397" s="20" t="str">
        <f>""</f>
        <v/>
      </c>
      <c r="U397" s="20" t="str">
        <f>IF('Step 8 - Controller'!B44="","",'Step 8 - Controller'!I44)</f>
        <v/>
      </c>
      <c r="V397" s="19" t="str">
        <f>IF('Step 8 - Controller'!B44="","",'Step 8 - Controller'!K44)</f>
        <v/>
      </c>
      <c r="W397" s="20" t="str">
        <f>IF('Step 8 - Controller'!B44="","",'Step 8 - Controller'!L44)</f>
        <v/>
      </c>
      <c r="X397" s="19" t="str">
        <f>IF('Step 8 - Controller'!B44="","",'Step 8 - Controller'!N44)</f>
        <v/>
      </c>
      <c r="Y397" s="20" t="str">
        <f>""</f>
        <v/>
      </c>
      <c r="Z397" s="20" t="str">
        <f>""</f>
        <v/>
      </c>
      <c r="AA397" s="20" t="str">
        <f>""</f>
        <v/>
      </c>
      <c r="AB397" s="20" t="str">
        <f>""</f>
        <v/>
      </c>
      <c r="AC397" s="20" t="str">
        <f>""</f>
        <v/>
      </c>
      <c r="AD397" s="20" t="str">
        <f>""</f>
        <v/>
      </c>
      <c r="AE397" s="20" t="str">
        <f>""</f>
        <v/>
      </c>
      <c r="AF397" s="20" t="str">
        <f>""</f>
        <v/>
      </c>
      <c r="AG397" s="20" t="str">
        <f>""</f>
        <v/>
      </c>
      <c r="AH397" s="20" t="str">
        <f>""</f>
        <v/>
      </c>
      <c r="AI397" s="20" t="str">
        <f>""</f>
        <v/>
      </c>
      <c r="AJ397" s="20" t="str">
        <f>""</f>
        <v/>
      </c>
      <c r="AK397" s="20" t="str">
        <f>""</f>
        <v/>
      </c>
      <c r="AL397" s="20" t="str">
        <f>""</f>
        <v/>
      </c>
      <c r="AM397" s="20" t="str">
        <f>""</f>
        <v/>
      </c>
    </row>
    <row r="398" spans="1:39" ht="15.75" customHeight="1" x14ac:dyDescent="0.25">
      <c r="A398" s="17" t="str">
        <f>IF('Step 8 - Controller'!B45="","","Active")</f>
        <v/>
      </c>
      <c r="B398" s="18" t="str">
        <f>IF('Step 8 - Controller'!B45="","",'Step 8 - Controller'!B45)</f>
        <v/>
      </c>
      <c r="C398" s="18" t="str">
        <f>IF('Step 8 - Controller'!B45="","",'Step 8 - Controller'!B45)</f>
        <v/>
      </c>
      <c r="D398" s="17" t="str">
        <f>IF('Step 8 - Controller'!B45="","",'Step 8 - Controller'!G45)</f>
        <v/>
      </c>
      <c r="E398" s="17" t="str">
        <f>IF('Step 8 - Controller'!B45="","",'Step 8 - Controller'!H45)</f>
        <v/>
      </c>
      <c r="F398" s="18" t="str">
        <f>IF('Step 8 - Controller'!B45="","",IF('Step 8 - Controller'!C45="","","Fund Code"))</f>
        <v/>
      </c>
      <c r="G398" s="17" t="str">
        <f>IF('Step 8 - Controller'!B45="","",IF('Step 8 - Controller'!C45="","","Equals"))</f>
        <v/>
      </c>
      <c r="H398" s="18" t="str">
        <f>IF('Step 8 - Controller'!B45="","",IF('Step 8 - Controller'!C45="","",'Step 8 - Controller'!C45))</f>
        <v/>
      </c>
      <c r="I398" s="18" t="str">
        <f>IF('Step 8 - Controller'!B45="","","Organization Code")</f>
        <v/>
      </c>
      <c r="J398" s="17" t="str">
        <f>IF('Step 8 - Controller'!B45="","","Equals")</f>
        <v/>
      </c>
      <c r="K398" s="18" t="str">
        <f>IF('Step 8 - Controller'!B45="","",'Step 8 - Controller'!D45)</f>
        <v/>
      </c>
      <c r="L398" s="18" t="str">
        <f>IF('Step 8 - Controller'!B45="","","Other Criteria")</f>
        <v/>
      </c>
      <c r="M398" s="17" t="str">
        <f>IF('Step 8 - Controller'!B45="","","Equals")</f>
        <v/>
      </c>
      <c r="N398" s="18" t="str">
        <f>IF('Step 8 - Controller'!B45="","",'Step 8 - Controller'!E45)</f>
        <v/>
      </c>
      <c r="O398" s="18" t="str">
        <f>IF('Step 8 - Controller'!B45="","",IF('Step 8 - Controller'!F45="","","Total"))</f>
        <v/>
      </c>
      <c r="P398" s="17" t="str">
        <f>IF('Step 8 - Controller'!B45="","",IF('Step 8 - Controller'!F45="","","&gt;="))</f>
        <v/>
      </c>
      <c r="Q398" s="18" t="str">
        <f>IF('Step 8 - Controller'!B45="","",IF('Step 8 - Controller'!F45="","",'Step 8 - Controller'!F45))</f>
        <v/>
      </c>
      <c r="R398" s="18" t="str">
        <f>""</f>
        <v/>
      </c>
      <c r="S398" s="18" t="str">
        <f>""</f>
        <v/>
      </c>
      <c r="T398" s="18" t="str">
        <f>""</f>
        <v/>
      </c>
      <c r="U398" s="18" t="str">
        <f>IF('Step 8 - Controller'!B45="","",'Step 8 - Controller'!I45)</f>
        <v/>
      </c>
      <c r="V398" s="17" t="str">
        <f>IF('Step 8 - Controller'!B45="","",'Step 8 - Controller'!K45)</f>
        <v/>
      </c>
      <c r="W398" s="18" t="str">
        <f>IF('Step 8 - Controller'!B45="","",'Step 8 - Controller'!L45)</f>
        <v/>
      </c>
      <c r="X398" s="17" t="str">
        <f>IF('Step 8 - Controller'!B45="","",'Step 8 - Controller'!N45)</f>
        <v/>
      </c>
      <c r="Y398" s="18" t="str">
        <f>""</f>
        <v/>
      </c>
      <c r="Z398" s="18" t="str">
        <f>""</f>
        <v/>
      </c>
      <c r="AA398" s="18" t="str">
        <f>""</f>
        <v/>
      </c>
      <c r="AB398" s="18" t="str">
        <f>""</f>
        <v/>
      </c>
      <c r="AC398" s="18" t="str">
        <f>""</f>
        <v/>
      </c>
      <c r="AD398" s="18" t="str">
        <f>""</f>
        <v/>
      </c>
      <c r="AE398" s="18" t="str">
        <f>""</f>
        <v/>
      </c>
      <c r="AF398" s="18" t="str">
        <f>""</f>
        <v/>
      </c>
      <c r="AG398" s="18" t="str">
        <f>""</f>
        <v/>
      </c>
      <c r="AH398" s="18" t="str">
        <f>""</f>
        <v/>
      </c>
      <c r="AI398" s="18" t="str">
        <f>""</f>
        <v/>
      </c>
      <c r="AJ398" s="18" t="str">
        <f>""</f>
        <v/>
      </c>
      <c r="AK398" s="18" t="str">
        <f>""</f>
        <v/>
      </c>
      <c r="AL398" s="18" t="str">
        <f>""</f>
        <v/>
      </c>
      <c r="AM398" s="18" t="str">
        <f>""</f>
        <v/>
      </c>
    </row>
    <row r="399" spans="1:39" ht="15.75" customHeight="1" x14ac:dyDescent="0.25">
      <c r="A399" s="19" t="str">
        <f>IF('Step 8 - Controller'!B46="","","Active")</f>
        <v/>
      </c>
      <c r="B399" s="20" t="str">
        <f>IF('Step 8 - Controller'!B46="","",'Step 8 - Controller'!B46)</f>
        <v/>
      </c>
      <c r="C399" s="20" t="str">
        <f>IF('Step 8 - Controller'!B46="","",'Step 8 - Controller'!B46)</f>
        <v/>
      </c>
      <c r="D399" s="19" t="str">
        <f>IF('Step 8 - Controller'!B46="","",'Step 8 - Controller'!G46)</f>
        <v/>
      </c>
      <c r="E399" s="19" t="str">
        <f>IF('Step 8 - Controller'!B46="","",'Step 8 - Controller'!H46)</f>
        <v/>
      </c>
      <c r="F399" s="20" t="str">
        <f>IF('Step 8 - Controller'!B46="","",IF('Step 8 - Controller'!C46="","","Fund Code"))</f>
        <v/>
      </c>
      <c r="G399" s="19" t="str">
        <f>IF('Step 8 - Controller'!B46="","",IF('Step 8 - Controller'!C46="","","Equals"))</f>
        <v/>
      </c>
      <c r="H399" s="20" t="str">
        <f>IF('Step 8 - Controller'!B46="","",IF('Step 8 - Controller'!C46="","",'Step 8 - Controller'!C46))</f>
        <v/>
      </c>
      <c r="I399" s="20" t="str">
        <f>IF('Step 8 - Controller'!B46="","","Organization Code")</f>
        <v/>
      </c>
      <c r="J399" s="19" t="str">
        <f>IF('Step 8 - Controller'!B46="","","Equals")</f>
        <v/>
      </c>
      <c r="K399" s="20" t="str">
        <f>IF('Step 8 - Controller'!B46="","",'Step 8 - Controller'!D46)</f>
        <v/>
      </c>
      <c r="L399" s="20" t="str">
        <f>IF('Step 8 - Controller'!B46="","","Other Criteria")</f>
        <v/>
      </c>
      <c r="M399" s="19" t="str">
        <f>IF('Step 8 - Controller'!B46="","","Equals")</f>
        <v/>
      </c>
      <c r="N399" s="20" t="str">
        <f>IF('Step 8 - Controller'!B46="","",'Step 8 - Controller'!E46)</f>
        <v/>
      </c>
      <c r="O399" s="20" t="str">
        <f>IF('Step 8 - Controller'!B46="","",IF('Step 8 - Controller'!F46="","","Total"))</f>
        <v/>
      </c>
      <c r="P399" s="19" t="str">
        <f>IF('Step 8 - Controller'!B46="","",IF('Step 8 - Controller'!F46="","","&gt;="))</f>
        <v/>
      </c>
      <c r="Q399" s="20" t="str">
        <f>IF('Step 8 - Controller'!B46="","",IF('Step 8 - Controller'!F46="","",'Step 8 - Controller'!F46))</f>
        <v/>
      </c>
      <c r="R399" s="20" t="str">
        <f>""</f>
        <v/>
      </c>
      <c r="S399" s="20" t="str">
        <f>""</f>
        <v/>
      </c>
      <c r="T399" s="20" t="str">
        <f>""</f>
        <v/>
      </c>
      <c r="U399" s="20" t="str">
        <f>IF('Step 8 - Controller'!B46="","",'Step 8 - Controller'!I46)</f>
        <v/>
      </c>
      <c r="V399" s="19" t="str">
        <f>IF('Step 8 - Controller'!B46="","",'Step 8 - Controller'!K46)</f>
        <v/>
      </c>
      <c r="W399" s="20" t="str">
        <f>IF('Step 8 - Controller'!B46="","",'Step 8 - Controller'!L46)</f>
        <v/>
      </c>
      <c r="X399" s="19" t="str">
        <f>IF('Step 8 - Controller'!B46="","",'Step 8 - Controller'!N46)</f>
        <v/>
      </c>
      <c r="Y399" s="20" t="str">
        <f>""</f>
        <v/>
      </c>
      <c r="Z399" s="20" t="str">
        <f>""</f>
        <v/>
      </c>
      <c r="AA399" s="20" t="str">
        <f>""</f>
        <v/>
      </c>
      <c r="AB399" s="20" t="str">
        <f>""</f>
        <v/>
      </c>
      <c r="AC399" s="20" t="str">
        <f>""</f>
        <v/>
      </c>
      <c r="AD399" s="20" t="str">
        <f>""</f>
        <v/>
      </c>
      <c r="AE399" s="20" t="str">
        <f>""</f>
        <v/>
      </c>
      <c r="AF399" s="20" t="str">
        <f>""</f>
        <v/>
      </c>
      <c r="AG399" s="20" t="str">
        <f>""</f>
        <v/>
      </c>
      <c r="AH399" s="20" t="str">
        <f>""</f>
        <v/>
      </c>
      <c r="AI399" s="20" t="str">
        <f>""</f>
        <v/>
      </c>
      <c r="AJ399" s="20" t="str">
        <f>""</f>
        <v/>
      </c>
      <c r="AK399" s="20" t="str">
        <f>""</f>
        <v/>
      </c>
      <c r="AL399" s="20" t="str">
        <f>""</f>
        <v/>
      </c>
      <c r="AM399" s="20" t="str">
        <f>""</f>
        <v/>
      </c>
    </row>
    <row r="400" spans="1:39" ht="15.75" customHeight="1" x14ac:dyDescent="0.25">
      <c r="A400" s="17" t="str">
        <f>IF('Step 8 - Controller'!B47="","","Active")</f>
        <v/>
      </c>
      <c r="B400" s="18" t="str">
        <f>IF('Step 8 - Controller'!B47="","",'Step 8 - Controller'!B47)</f>
        <v/>
      </c>
      <c r="C400" s="18" t="str">
        <f>IF('Step 8 - Controller'!B47="","",'Step 8 - Controller'!B47)</f>
        <v/>
      </c>
      <c r="D400" s="17" t="str">
        <f>IF('Step 8 - Controller'!B47="","",'Step 8 - Controller'!G47)</f>
        <v/>
      </c>
      <c r="E400" s="17" t="str">
        <f>IF('Step 8 - Controller'!B47="","",'Step 8 - Controller'!H47)</f>
        <v/>
      </c>
      <c r="F400" s="18" t="str">
        <f>IF('Step 8 - Controller'!B47="","",IF('Step 8 - Controller'!C47="","","Fund Code"))</f>
        <v/>
      </c>
      <c r="G400" s="17" t="str">
        <f>IF('Step 8 - Controller'!B47="","",IF('Step 8 - Controller'!C47="","","Equals"))</f>
        <v/>
      </c>
      <c r="H400" s="18" t="str">
        <f>IF('Step 8 - Controller'!B47="","",IF('Step 8 - Controller'!C47="","",'Step 8 - Controller'!C47))</f>
        <v/>
      </c>
      <c r="I400" s="18" t="str">
        <f>IF('Step 8 - Controller'!B47="","","Organization Code")</f>
        <v/>
      </c>
      <c r="J400" s="17" t="str">
        <f>IF('Step 8 - Controller'!B47="","","Equals")</f>
        <v/>
      </c>
      <c r="K400" s="18" t="str">
        <f>IF('Step 8 - Controller'!B47="","",'Step 8 - Controller'!D47)</f>
        <v/>
      </c>
      <c r="L400" s="18" t="str">
        <f>IF('Step 8 - Controller'!B47="","","Other Criteria")</f>
        <v/>
      </c>
      <c r="M400" s="17" t="str">
        <f>IF('Step 8 - Controller'!B47="","","Equals")</f>
        <v/>
      </c>
      <c r="N400" s="18" t="str">
        <f>IF('Step 8 - Controller'!B47="","",'Step 8 - Controller'!E47)</f>
        <v/>
      </c>
      <c r="O400" s="18" t="str">
        <f>IF('Step 8 - Controller'!B47="","",IF('Step 8 - Controller'!F47="","","Total"))</f>
        <v/>
      </c>
      <c r="P400" s="17" t="str">
        <f>IF('Step 8 - Controller'!B47="","",IF('Step 8 - Controller'!F47="","","&gt;="))</f>
        <v/>
      </c>
      <c r="Q400" s="18" t="str">
        <f>IF('Step 8 - Controller'!B47="","",IF('Step 8 - Controller'!F47="","",'Step 8 - Controller'!F47))</f>
        <v/>
      </c>
      <c r="R400" s="18" t="str">
        <f>""</f>
        <v/>
      </c>
      <c r="S400" s="18" t="str">
        <f>""</f>
        <v/>
      </c>
      <c r="T400" s="18" t="str">
        <f>""</f>
        <v/>
      </c>
      <c r="U400" s="18" t="str">
        <f>IF('Step 8 - Controller'!B47="","",'Step 8 - Controller'!I47)</f>
        <v/>
      </c>
      <c r="V400" s="17" t="str">
        <f>IF('Step 8 - Controller'!B47="","",'Step 8 - Controller'!K47)</f>
        <v/>
      </c>
      <c r="W400" s="18" t="str">
        <f>IF('Step 8 - Controller'!B47="","",'Step 8 - Controller'!L47)</f>
        <v/>
      </c>
      <c r="X400" s="17" t="str">
        <f>IF('Step 8 - Controller'!B47="","",'Step 8 - Controller'!N47)</f>
        <v/>
      </c>
      <c r="Y400" s="18" t="str">
        <f>""</f>
        <v/>
      </c>
      <c r="Z400" s="18" t="str">
        <f>""</f>
        <v/>
      </c>
      <c r="AA400" s="18" t="str">
        <f>""</f>
        <v/>
      </c>
      <c r="AB400" s="18" t="str">
        <f>""</f>
        <v/>
      </c>
      <c r="AC400" s="18" t="str">
        <f>""</f>
        <v/>
      </c>
      <c r="AD400" s="18" t="str">
        <f>""</f>
        <v/>
      </c>
      <c r="AE400" s="18" t="str">
        <f>""</f>
        <v/>
      </c>
      <c r="AF400" s="18" t="str">
        <f>""</f>
        <v/>
      </c>
      <c r="AG400" s="18" t="str">
        <f>""</f>
        <v/>
      </c>
      <c r="AH400" s="18" t="str">
        <f>""</f>
        <v/>
      </c>
      <c r="AI400" s="18" t="str">
        <f>""</f>
        <v/>
      </c>
      <c r="AJ400" s="18" t="str">
        <f>""</f>
        <v/>
      </c>
      <c r="AK400" s="18" t="str">
        <f>""</f>
        <v/>
      </c>
      <c r="AL400" s="18" t="str">
        <f>""</f>
        <v/>
      </c>
      <c r="AM400" s="18" t="str">
        <f>""</f>
        <v/>
      </c>
    </row>
    <row r="401" spans="1:39" ht="15.75" customHeight="1" x14ac:dyDescent="0.25">
      <c r="A401" s="19" t="str">
        <f>IF('Step 8 - Controller'!B48="","","Active")</f>
        <v/>
      </c>
      <c r="B401" s="20" t="str">
        <f>IF('Step 8 - Controller'!B48="","",'Step 8 - Controller'!B48)</f>
        <v/>
      </c>
      <c r="C401" s="20" t="str">
        <f>IF('Step 8 - Controller'!B48="","",'Step 8 - Controller'!B48)</f>
        <v/>
      </c>
      <c r="D401" s="19" t="str">
        <f>IF('Step 8 - Controller'!B48="","",'Step 8 - Controller'!G48)</f>
        <v/>
      </c>
      <c r="E401" s="19" t="str">
        <f>IF('Step 8 - Controller'!B48="","",'Step 8 - Controller'!H48)</f>
        <v/>
      </c>
      <c r="F401" s="20" t="str">
        <f>IF('Step 8 - Controller'!B48="","",IF('Step 8 - Controller'!C48="","","Fund Code"))</f>
        <v/>
      </c>
      <c r="G401" s="19" t="str">
        <f>IF('Step 8 - Controller'!B48="","",IF('Step 8 - Controller'!C48="","","Equals"))</f>
        <v/>
      </c>
      <c r="H401" s="20" t="str">
        <f>IF('Step 8 - Controller'!B48="","",IF('Step 8 - Controller'!C48="","",'Step 8 - Controller'!C48))</f>
        <v/>
      </c>
      <c r="I401" s="20" t="str">
        <f>IF('Step 8 - Controller'!B48="","","Organization Code")</f>
        <v/>
      </c>
      <c r="J401" s="19" t="str">
        <f>IF('Step 8 - Controller'!B48="","","Equals")</f>
        <v/>
      </c>
      <c r="K401" s="20" t="str">
        <f>IF('Step 8 - Controller'!B48="","",'Step 8 - Controller'!D48)</f>
        <v/>
      </c>
      <c r="L401" s="20" t="str">
        <f>IF('Step 8 - Controller'!B48="","","Other Criteria")</f>
        <v/>
      </c>
      <c r="M401" s="19" t="str">
        <f>IF('Step 8 - Controller'!B48="","","Equals")</f>
        <v/>
      </c>
      <c r="N401" s="20" t="str">
        <f>IF('Step 8 - Controller'!B48="","",'Step 8 - Controller'!E48)</f>
        <v/>
      </c>
      <c r="O401" s="20" t="str">
        <f>IF('Step 8 - Controller'!B48="","",IF('Step 8 - Controller'!F48="","","Total"))</f>
        <v/>
      </c>
      <c r="P401" s="19" t="str">
        <f>IF('Step 8 - Controller'!B48="","",IF('Step 8 - Controller'!F48="","","&gt;="))</f>
        <v/>
      </c>
      <c r="Q401" s="20" t="str">
        <f>IF('Step 8 - Controller'!B48="","",IF('Step 8 - Controller'!F48="","",'Step 8 - Controller'!F48))</f>
        <v/>
      </c>
      <c r="R401" s="20" t="str">
        <f>""</f>
        <v/>
      </c>
      <c r="S401" s="20" t="str">
        <f>""</f>
        <v/>
      </c>
      <c r="T401" s="20" t="str">
        <f>""</f>
        <v/>
      </c>
      <c r="U401" s="20" t="str">
        <f>IF('Step 8 - Controller'!B48="","",'Step 8 - Controller'!I48)</f>
        <v/>
      </c>
      <c r="V401" s="19" t="str">
        <f>IF('Step 8 - Controller'!B48="","",'Step 8 - Controller'!K48)</f>
        <v/>
      </c>
      <c r="W401" s="20" t="str">
        <f>IF('Step 8 - Controller'!B48="","",'Step 8 - Controller'!L48)</f>
        <v/>
      </c>
      <c r="X401" s="19" t="str">
        <f>IF('Step 8 - Controller'!B48="","",'Step 8 - Controller'!N48)</f>
        <v/>
      </c>
      <c r="Y401" s="20" t="str">
        <f>""</f>
        <v/>
      </c>
      <c r="Z401" s="20" t="str">
        <f>""</f>
        <v/>
      </c>
      <c r="AA401" s="20" t="str">
        <f>""</f>
        <v/>
      </c>
      <c r="AB401" s="20" t="str">
        <f>""</f>
        <v/>
      </c>
      <c r="AC401" s="20" t="str">
        <f>""</f>
        <v/>
      </c>
      <c r="AD401" s="20" t="str">
        <f>""</f>
        <v/>
      </c>
      <c r="AE401" s="20" t="str">
        <f>""</f>
        <v/>
      </c>
      <c r="AF401" s="20" t="str">
        <f>""</f>
        <v/>
      </c>
      <c r="AG401" s="20" t="str">
        <f>""</f>
        <v/>
      </c>
      <c r="AH401" s="20" t="str">
        <f>""</f>
        <v/>
      </c>
      <c r="AI401" s="20" t="str">
        <f>""</f>
        <v/>
      </c>
      <c r="AJ401" s="20" t="str">
        <f>""</f>
        <v/>
      </c>
      <c r="AK401" s="20" t="str">
        <f>""</f>
        <v/>
      </c>
      <c r="AL401" s="20" t="str">
        <f>""</f>
        <v/>
      </c>
      <c r="AM401" s="20" t="str">
        <f>""</f>
        <v/>
      </c>
    </row>
    <row r="402" spans="1:39" ht="15.75" customHeight="1" x14ac:dyDescent="0.25">
      <c r="A402" s="17" t="str">
        <f>IF('Step 8 - Controller'!B49="","","Active")</f>
        <v/>
      </c>
      <c r="B402" s="18" t="str">
        <f>IF('Step 8 - Controller'!B49="","",'Step 8 - Controller'!B49)</f>
        <v/>
      </c>
      <c r="C402" s="18" t="str">
        <f>IF('Step 8 - Controller'!B49="","",'Step 8 - Controller'!B49)</f>
        <v/>
      </c>
      <c r="D402" s="17" t="str">
        <f>IF('Step 8 - Controller'!B49="","",'Step 8 - Controller'!G49)</f>
        <v/>
      </c>
      <c r="E402" s="17" t="str">
        <f>IF('Step 8 - Controller'!B49="","",'Step 8 - Controller'!H49)</f>
        <v/>
      </c>
      <c r="F402" s="18" t="str">
        <f>IF('Step 8 - Controller'!B49="","",IF('Step 8 - Controller'!C49="","","Fund Code"))</f>
        <v/>
      </c>
      <c r="G402" s="17" t="str">
        <f>IF('Step 8 - Controller'!B49="","",IF('Step 8 - Controller'!C49="","","Equals"))</f>
        <v/>
      </c>
      <c r="H402" s="18" t="str">
        <f>IF('Step 8 - Controller'!B49="","",IF('Step 8 - Controller'!C49="","",'Step 8 - Controller'!C49))</f>
        <v/>
      </c>
      <c r="I402" s="18" t="str">
        <f>IF('Step 8 - Controller'!B49="","","Organization Code")</f>
        <v/>
      </c>
      <c r="J402" s="17" t="str">
        <f>IF('Step 8 - Controller'!B49="","","Equals")</f>
        <v/>
      </c>
      <c r="K402" s="18" t="str">
        <f>IF('Step 8 - Controller'!B49="","",'Step 8 - Controller'!D49)</f>
        <v/>
      </c>
      <c r="L402" s="18" t="str">
        <f>IF('Step 8 - Controller'!B49="","","Other Criteria")</f>
        <v/>
      </c>
      <c r="M402" s="17" t="str">
        <f>IF('Step 8 - Controller'!B49="","","Equals")</f>
        <v/>
      </c>
      <c r="N402" s="18" t="str">
        <f>IF('Step 8 - Controller'!B49="","",'Step 8 - Controller'!E49)</f>
        <v/>
      </c>
      <c r="O402" s="18" t="str">
        <f>IF('Step 8 - Controller'!B49="","",IF('Step 8 - Controller'!F49="","","Total"))</f>
        <v/>
      </c>
      <c r="P402" s="17" t="str">
        <f>IF('Step 8 - Controller'!B49="","",IF('Step 8 - Controller'!F49="","","&gt;="))</f>
        <v/>
      </c>
      <c r="Q402" s="18" t="str">
        <f>IF('Step 8 - Controller'!B49="","",IF('Step 8 - Controller'!F49="","",'Step 8 - Controller'!F49))</f>
        <v/>
      </c>
      <c r="R402" s="18" t="str">
        <f>""</f>
        <v/>
      </c>
      <c r="S402" s="18" t="str">
        <f>""</f>
        <v/>
      </c>
      <c r="T402" s="18" t="str">
        <f>""</f>
        <v/>
      </c>
      <c r="U402" s="18" t="str">
        <f>IF('Step 8 - Controller'!B49="","",'Step 8 - Controller'!I49)</f>
        <v/>
      </c>
      <c r="V402" s="17" t="str">
        <f>IF('Step 8 - Controller'!B49="","",'Step 8 - Controller'!K49)</f>
        <v/>
      </c>
      <c r="W402" s="18" t="str">
        <f>IF('Step 8 - Controller'!B49="","",'Step 8 - Controller'!L49)</f>
        <v/>
      </c>
      <c r="X402" s="17" t="str">
        <f>IF('Step 8 - Controller'!B49="","",'Step 8 - Controller'!N49)</f>
        <v/>
      </c>
      <c r="Y402" s="18" t="str">
        <f>""</f>
        <v/>
      </c>
      <c r="Z402" s="18" t="str">
        <f>""</f>
        <v/>
      </c>
      <c r="AA402" s="18" t="str">
        <f>""</f>
        <v/>
      </c>
      <c r="AB402" s="18" t="str">
        <f>""</f>
        <v/>
      </c>
      <c r="AC402" s="18" t="str">
        <f>""</f>
        <v/>
      </c>
      <c r="AD402" s="18" t="str">
        <f>""</f>
        <v/>
      </c>
      <c r="AE402" s="18" t="str">
        <f>""</f>
        <v/>
      </c>
      <c r="AF402" s="18" t="str">
        <f>""</f>
        <v/>
      </c>
      <c r="AG402" s="18" t="str">
        <f>""</f>
        <v/>
      </c>
      <c r="AH402" s="18" t="str">
        <f>""</f>
        <v/>
      </c>
      <c r="AI402" s="18" t="str">
        <f>""</f>
        <v/>
      </c>
      <c r="AJ402" s="18" t="str">
        <f>""</f>
        <v/>
      </c>
      <c r="AK402" s="18" t="str">
        <f>""</f>
        <v/>
      </c>
      <c r="AL402" s="18" t="str">
        <f>""</f>
        <v/>
      </c>
      <c r="AM402" s="18" t="str">
        <f>""</f>
        <v/>
      </c>
    </row>
    <row r="403" spans="1:39" ht="15.75" customHeight="1" x14ac:dyDescent="0.25">
      <c r="A403" s="19" t="str">
        <f>IF('Step 8 - Controller'!B50="","","Active")</f>
        <v/>
      </c>
      <c r="B403" s="20" t="str">
        <f>IF('Step 8 - Controller'!B50="","",'Step 8 - Controller'!B50)</f>
        <v/>
      </c>
      <c r="C403" s="20" t="str">
        <f>IF('Step 8 - Controller'!B50="","",'Step 8 - Controller'!B50)</f>
        <v/>
      </c>
      <c r="D403" s="19" t="str">
        <f>IF('Step 8 - Controller'!B50="","",'Step 8 - Controller'!G50)</f>
        <v/>
      </c>
      <c r="E403" s="19" t="str">
        <f>IF('Step 8 - Controller'!B50="","",'Step 8 - Controller'!H50)</f>
        <v/>
      </c>
      <c r="F403" s="20" t="str">
        <f>IF('Step 8 - Controller'!B50="","",IF('Step 8 - Controller'!C50="","","Fund Code"))</f>
        <v/>
      </c>
      <c r="G403" s="19" t="str">
        <f>IF('Step 8 - Controller'!B50="","",IF('Step 8 - Controller'!C50="","","Equals"))</f>
        <v/>
      </c>
      <c r="H403" s="20" t="str">
        <f>IF('Step 8 - Controller'!B50="","",IF('Step 8 - Controller'!C50="","",'Step 8 - Controller'!C50))</f>
        <v/>
      </c>
      <c r="I403" s="20" t="str">
        <f>IF('Step 8 - Controller'!B50="","","Organization Code")</f>
        <v/>
      </c>
      <c r="J403" s="19" t="str">
        <f>IF('Step 8 - Controller'!B50="","","Equals")</f>
        <v/>
      </c>
      <c r="K403" s="20" t="str">
        <f>IF('Step 8 - Controller'!B50="","",'Step 8 - Controller'!D50)</f>
        <v/>
      </c>
      <c r="L403" s="20" t="str">
        <f>IF('Step 8 - Controller'!B50="","","Other Criteria")</f>
        <v/>
      </c>
      <c r="M403" s="19" t="str">
        <f>IF('Step 8 - Controller'!B50="","","Equals")</f>
        <v/>
      </c>
      <c r="N403" s="20" t="str">
        <f>IF('Step 8 - Controller'!B50="","",'Step 8 - Controller'!E50)</f>
        <v/>
      </c>
      <c r="O403" s="20" t="str">
        <f>IF('Step 8 - Controller'!B50="","",IF('Step 8 - Controller'!F50="","","Total"))</f>
        <v/>
      </c>
      <c r="P403" s="19" t="str">
        <f>IF('Step 8 - Controller'!B50="","",IF('Step 8 - Controller'!F50="","","&gt;="))</f>
        <v/>
      </c>
      <c r="Q403" s="20" t="str">
        <f>IF('Step 8 - Controller'!B50="","",IF('Step 8 - Controller'!F50="","",'Step 8 - Controller'!F50))</f>
        <v/>
      </c>
      <c r="R403" s="20" t="str">
        <f>""</f>
        <v/>
      </c>
      <c r="S403" s="20" t="str">
        <f>""</f>
        <v/>
      </c>
      <c r="T403" s="20" t="str">
        <f>""</f>
        <v/>
      </c>
      <c r="U403" s="20" t="str">
        <f>IF('Step 8 - Controller'!B50="","",'Step 8 - Controller'!I50)</f>
        <v/>
      </c>
      <c r="V403" s="19" t="str">
        <f>IF('Step 8 - Controller'!B50="","",'Step 8 - Controller'!K50)</f>
        <v/>
      </c>
      <c r="W403" s="20" t="str">
        <f>IF('Step 8 - Controller'!B50="","",'Step 8 - Controller'!L50)</f>
        <v/>
      </c>
      <c r="X403" s="19" t="str">
        <f>IF('Step 8 - Controller'!B50="","",'Step 8 - Controller'!N50)</f>
        <v/>
      </c>
      <c r="Y403" s="20" t="str">
        <f>""</f>
        <v/>
      </c>
      <c r="Z403" s="20" t="str">
        <f>""</f>
        <v/>
      </c>
      <c r="AA403" s="20" t="str">
        <f>""</f>
        <v/>
      </c>
      <c r="AB403" s="20" t="str">
        <f>""</f>
        <v/>
      </c>
      <c r="AC403" s="20" t="str">
        <f>""</f>
        <v/>
      </c>
      <c r="AD403" s="20" t="str">
        <f>""</f>
        <v/>
      </c>
      <c r="AE403" s="20" t="str">
        <f>""</f>
        <v/>
      </c>
      <c r="AF403" s="20" t="str">
        <f>""</f>
        <v/>
      </c>
      <c r="AG403" s="20" t="str">
        <f>""</f>
        <v/>
      </c>
      <c r="AH403" s="20" t="str">
        <f>""</f>
        <v/>
      </c>
      <c r="AI403" s="20" t="str">
        <f>""</f>
        <v/>
      </c>
      <c r="AJ403" s="20" t="str">
        <f>""</f>
        <v/>
      </c>
      <c r="AK403" s="20" t="str">
        <f>""</f>
        <v/>
      </c>
      <c r="AL403" s="20" t="str">
        <f>""</f>
        <v/>
      </c>
      <c r="AM403" s="20" t="str">
        <f>""</f>
        <v/>
      </c>
    </row>
    <row r="404" spans="1:39" ht="15.75" customHeight="1" x14ac:dyDescent="0.25">
      <c r="A404" s="17" t="str">
        <f>IF('Step 8 - Controller'!B51="","","Active")</f>
        <v/>
      </c>
      <c r="B404" s="18" t="str">
        <f>IF('Step 8 - Controller'!B51="","",'Step 8 - Controller'!B51)</f>
        <v/>
      </c>
      <c r="C404" s="18" t="str">
        <f>IF('Step 8 - Controller'!B51="","",'Step 8 - Controller'!B51)</f>
        <v/>
      </c>
      <c r="D404" s="17" t="str">
        <f>IF('Step 8 - Controller'!B51="","",'Step 8 - Controller'!G51)</f>
        <v/>
      </c>
      <c r="E404" s="17" t="str">
        <f>IF('Step 8 - Controller'!B51="","",'Step 8 - Controller'!H51)</f>
        <v/>
      </c>
      <c r="F404" s="18" t="str">
        <f>IF('Step 8 - Controller'!B51="","",IF('Step 8 - Controller'!C51="","","Fund Code"))</f>
        <v/>
      </c>
      <c r="G404" s="17" t="str">
        <f>IF('Step 8 - Controller'!B51="","",IF('Step 8 - Controller'!C51="","","Equals"))</f>
        <v/>
      </c>
      <c r="H404" s="18" t="str">
        <f>IF('Step 8 - Controller'!B51="","",IF('Step 8 - Controller'!C51="","",'Step 8 - Controller'!C51))</f>
        <v/>
      </c>
      <c r="I404" s="18" t="str">
        <f>IF('Step 8 - Controller'!B51="","","Organization Code")</f>
        <v/>
      </c>
      <c r="J404" s="17" t="str">
        <f>IF('Step 8 - Controller'!B51="","","Equals")</f>
        <v/>
      </c>
      <c r="K404" s="18" t="str">
        <f>IF('Step 8 - Controller'!B51="","",'Step 8 - Controller'!D51)</f>
        <v/>
      </c>
      <c r="L404" s="18" t="str">
        <f>IF('Step 8 - Controller'!B51="","","Other Criteria")</f>
        <v/>
      </c>
      <c r="M404" s="17" t="str">
        <f>IF('Step 8 - Controller'!B51="","","Equals")</f>
        <v/>
      </c>
      <c r="N404" s="18" t="str">
        <f>IF('Step 8 - Controller'!B51="","",'Step 8 - Controller'!E51)</f>
        <v/>
      </c>
      <c r="O404" s="18" t="str">
        <f>IF('Step 8 - Controller'!B51="","",IF('Step 8 - Controller'!F51="","","Total"))</f>
        <v/>
      </c>
      <c r="P404" s="17" t="str">
        <f>IF('Step 8 - Controller'!B51="","",IF('Step 8 - Controller'!F51="","","&gt;="))</f>
        <v/>
      </c>
      <c r="Q404" s="18" t="str">
        <f>IF('Step 8 - Controller'!B51="","",IF('Step 8 - Controller'!F51="","",'Step 8 - Controller'!F51))</f>
        <v/>
      </c>
      <c r="R404" s="18" t="str">
        <f>""</f>
        <v/>
      </c>
      <c r="S404" s="18" t="str">
        <f>""</f>
        <v/>
      </c>
      <c r="T404" s="18" t="str">
        <f>""</f>
        <v/>
      </c>
      <c r="U404" s="18" t="str">
        <f>IF('Step 8 - Controller'!B51="","",'Step 8 - Controller'!I51)</f>
        <v/>
      </c>
      <c r="V404" s="17" t="str">
        <f>IF('Step 8 - Controller'!B51="","",'Step 8 - Controller'!K51)</f>
        <v/>
      </c>
      <c r="W404" s="18" t="str">
        <f>IF('Step 8 - Controller'!B51="","",'Step 8 - Controller'!L51)</f>
        <v/>
      </c>
      <c r="X404" s="17" t="str">
        <f>IF('Step 8 - Controller'!B51="","",'Step 8 - Controller'!N51)</f>
        <v/>
      </c>
      <c r="Y404" s="18" t="str">
        <f>""</f>
        <v/>
      </c>
      <c r="Z404" s="18" t="str">
        <f>""</f>
        <v/>
      </c>
      <c r="AA404" s="18" t="str">
        <f>""</f>
        <v/>
      </c>
      <c r="AB404" s="18" t="str">
        <f>""</f>
        <v/>
      </c>
      <c r="AC404" s="18" t="str">
        <f>""</f>
        <v/>
      </c>
      <c r="AD404" s="18" t="str">
        <f>""</f>
        <v/>
      </c>
      <c r="AE404" s="18" t="str">
        <f>""</f>
        <v/>
      </c>
      <c r="AF404" s="18" t="str">
        <f>""</f>
        <v/>
      </c>
      <c r="AG404" s="18" t="str">
        <f>""</f>
        <v/>
      </c>
      <c r="AH404" s="18" t="str">
        <f>""</f>
        <v/>
      </c>
      <c r="AI404" s="18" t="str">
        <f>""</f>
        <v/>
      </c>
      <c r="AJ404" s="18" t="str">
        <f>""</f>
        <v/>
      </c>
      <c r="AK404" s="18" t="str">
        <f>""</f>
        <v/>
      </c>
      <c r="AL404" s="18" t="str">
        <f>""</f>
        <v/>
      </c>
      <c r="AM404" s="18" t="str">
        <f>""</f>
        <v/>
      </c>
    </row>
    <row r="405" spans="1:39" ht="15.75" customHeight="1" x14ac:dyDescent="0.25">
      <c r="A405" s="19" t="str">
        <f>IF('Step 8 - Controller'!B52="","","Active")</f>
        <v/>
      </c>
      <c r="B405" s="20" t="str">
        <f>IF('Step 8 - Controller'!B52="","",'Step 8 - Controller'!B52)</f>
        <v/>
      </c>
      <c r="C405" s="20" t="str">
        <f>IF('Step 8 - Controller'!B52="","",'Step 8 - Controller'!B52)</f>
        <v/>
      </c>
      <c r="D405" s="19" t="str">
        <f>IF('Step 8 - Controller'!B52="","",'Step 8 - Controller'!G52)</f>
        <v/>
      </c>
      <c r="E405" s="19" t="str">
        <f>IF('Step 8 - Controller'!B52="","",'Step 8 - Controller'!H52)</f>
        <v/>
      </c>
      <c r="F405" s="20" t="str">
        <f>IF('Step 8 - Controller'!B52="","",IF('Step 8 - Controller'!C52="","","Fund Code"))</f>
        <v/>
      </c>
      <c r="G405" s="19" t="str">
        <f>IF('Step 8 - Controller'!B52="","",IF('Step 8 - Controller'!C52="","","Equals"))</f>
        <v/>
      </c>
      <c r="H405" s="20" t="str">
        <f>IF('Step 8 - Controller'!B52="","",IF('Step 8 - Controller'!C52="","",'Step 8 - Controller'!C52))</f>
        <v/>
      </c>
      <c r="I405" s="20" t="str">
        <f>IF('Step 8 - Controller'!B52="","","Organization Code")</f>
        <v/>
      </c>
      <c r="J405" s="19" t="str">
        <f>IF('Step 8 - Controller'!B52="","","Equals")</f>
        <v/>
      </c>
      <c r="K405" s="20" t="str">
        <f>IF('Step 8 - Controller'!B52="","",'Step 8 - Controller'!D52)</f>
        <v/>
      </c>
      <c r="L405" s="20" t="str">
        <f>IF('Step 8 - Controller'!B52="","","Other Criteria")</f>
        <v/>
      </c>
      <c r="M405" s="19" t="str">
        <f>IF('Step 8 - Controller'!B52="","","Equals")</f>
        <v/>
      </c>
      <c r="N405" s="20" t="str">
        <f>IF('Step 8 - Controller'!B52="","",'Step 8 - Controller'!E52)</f>
        <v/>
      </c>
      <c r="O405" s="20" t="str">
        <f>IF('Step 8 - Controller'!B52="","",IF('Step 8 - Controller'!F52="","","Total"))</f>
        <v/>
      </c>
      <c r="P405" s="19" t="str">
        <f>IF('Step 8 - Controller'!B52="","",IF('Step 8 - Controller'!F52="","","&gt;="))</f>
        <v/>
      </c>
      <c r="Q405" s="20" t="str">
        <f>IF('Step 8 - Controller'!B52="","",IF('Step 8 - Controller'!F52="","",'Step 8 - Controller'!F52))</f>
        <v/>
      </c>
      <c r="R405" s="20" t="str">
        <f>""</f>
        <v/>
      </c>
      <c r="S405" s="20" t="str">
        <f>""</f>
        <v/>
      </c>
      <c r="T405" s="20" t="str">
        <f>""</f>
        <v/>
      </c>
      <c r="U405" s="20" t="str">
        <f>IF('Step 8 - Controller'!B52="","",'Step 8 - Controller'!I52)</f>
        <v/>
      </c>
      <c r="V405" s="19" t="str">
        <f>IF('Step 8 - Controller'!B52="","",'Step 8 - Controller'!K52)</f>
        <v/>
      </c>
      <c r="W405" s="20" t="str">
        <f>IF('Step 8 - Controller'!B52="","",'Step 8 - Controller'!L52)</f>
        <v/>
      </c>
      <c r="X405" s="19" t="str">
        <f>IF('Step 8 - Controller'!B52="","",'Step 8 - Controller'!N52)</f>
        <v/>
      </c>
      <c r="Y405" s="20" t="str">
        <f>""</f>
        <v/>
      </c>
      <c r="Z405" s="20" t="str">
        <f>""</f>
        <v/>
      </c>
      <c r="AA405" s="20" t="str">
        <f>""</f>
        <v/>
      </c>
      <c r="AB405" s="20" t="str">
        <f>""</f>
        <v/>
      </c>
      <c r="AC405" s="20" t="str">
        <f>""</f>
        <v/>
      </c>
      <c r="AD405" s="20" t="str">
        <f>""</f>
        <v/>
      </c>
      <c r="AE405" s="20" t="str">
        <f>""</f>
        <v/>
      </c>
      <c r="AF405" s="20" t="str">
        <f>""</f>
        <v/>
      </c>
      <c r="AG405" s="20" t="str">
        <f>""</f>
        <v/>
      </c>
      <c r="AH405" s="20" t="str">
        <f>""</f>
        <v/>
      </c>
      <c r="AI405" s="20" t="str">
        <f>""</f>
        <v/>
      </c>
      <c r="AJ405" s="20" t="str">
        <f>""</f>
        <v/>
      </c>
      <c r="AK405" s="20" t="str">
        <f>""</f>
        <v/>
      </c>
      <c r="AL405" s="20" t="str">
        <f>""</f>
        <v/>
      </c>
      <c r="AM405" s="20" t="str">
        <f>""</f>
        <v/>
      </c>
    </row>
    <row r="406" spans="1:39" ht="15.75" customHeight="1" x14ac:dyDescent="0.25">
      <c r="A406" s="17" t="str">
        <f>IF('Step 8 - Controller'!B53="","","Active")</f>
        <v/>
      </c>
      <c r="B406" s="18" t="str">
        <f>IF('Step 8 - Controller'!B53="","",'Step 8 - Controller'!B53)</f>
        <v/>
      </c>
      <c r="C406" s="18" t="str">
        <f>IF('Step 8 - Controller'!B53="","",'Step 8 - Controller'!B53)</f>
        <v/>
      </c>
      <c r="D406" s="17" t="str">
        <f>IF('Step 8 - Controller'!B53="","",'Step 8 - Controller'!G53)</f>
        <v/>
      </c>
      <c r="E406" s="17" t="str">
        <f>IF('Step 8 - Controller'!B53="","",'Step 8 - Controller'!H53)</f>
        <v/>
      </c>
      <c r="F406" s="18" t="str">
        <f>IF('Step 8 - Controller'!B53="","",IF('Step 8 - Controller'!C53="","","Fund Code"))</f>
        <v/>
      </c>
      <c r="G406" s="17" t="str">
        <f>IF('Step 8 - Controller'!B53="","",IF('Step 8 - Controller'!C53="","","Equals"))</f>
        <v/>
      </c>
      <c r="H406" s="18" t="str">
        <f>IF('Step 8 - Controller'!B53="","",IF('Step 8 - Controller'!C53="","",'Step 8 - Controller'!C53))</f>
        <v/>
      </c>
      <c r="I406" s="18" t="str">
        <f>IF('Step 8 - Controller'!B53="","","Organization Code")</f>
        <v/>
      </c>
      <c r="J406" s="17" t="str">
        <f>IF('Step 8 - Controller'!B53="","","Equals")</f>
        <v/>
      </c>
      <c r="K406" s="18" t="str">
        <f>IF('Step 8 - Controller'!B53="","",'Step 8 - Controller'!D53)</f>
        <v/>
      </c>
      <c r="L406" s="18" t="str">
        <f>IF('Step 8 - Controller'!B53="","","Other Criteria")</f>
        <v/>
      </c>
      <c r="M406" s="17" t="str">
        <f>IF('Step 8 - Controller'!B53="","","Equals")</f>
        <v/>
      </c>
      <c r="N406" s="18" t="str">
        <f>IF('Step 8 - Controller'!B53="","",'Step 8 - Controller'!E53)</f>
        <v/>
      </c>
      <c r="O406" s="18" t="str">
        <f>IF('Step 8 - Controller'!B53="","",IF('Step 8 - Controller'!F53="","","Total"))</f>
        <v/>
      </c>
      <c r="P406" s="17" t="str">
        <f>IF('Step 8 - Controller'!B53="","",IF('Step 8 - Controller'!F53="","","&gt;="))</f>
        <v/>
      </c>
      <c r="Q406" s="18" t="str">
        <f>IF('Step 8 - Controller'!B53="","",IF('Step 8 - Controller'!F53="","",'Step 8 - Controller'!F53))</f>
        <v/>
      </c>
      <c r="R406" s="18" t="str">
        <f>""</f>
        <v/>
      </c>
      <c r="S406" s="18" t="str">
        <f>""</f>
        <v/>
      </c>
      <c r="T406" s="18" t="str">
        <f>""</f>
        <v/>
      </c>
      <c r="U406" s="18" t="str">
        <f>IF('Step 8 - Controller'!B53="","",'Step 8 - Controller'!I53)</f>
        <v/>
      </c>
      <c r="V406" s="17" t="str">
        <f>IF('Step 8 - Controller'!B53="","",'Step 8 - Controller'!K53)</f>
        <v/>
      </c>
      <c r="W406" s="18" t="str">
        <f>IF('Step 8 - Controller'!B53="","",'Step 8 - Controller'!L53)</f>
        <v/>
      </c>
      <c r="X406" s="17" t="str">
        <f>IF('Step 8 - Controller'!B53="","",'Step 8 - Controller'!N53)</f>
        <v/>
      </c>
      <c r="Y406" s="18" t="str">
        <f>""</f>
        <v/>
      </c>
      <c r="Z406" s="18" t="str">
        <f>""</f>
        <v/>
      </c>
      <c r="AA406" s="18" t="str">
        <f>""</f>
        <v/>
      </c>
      <c r="AB406" s="18" t="str">
        <f>""</f>
        <v/>
      </c>
      <c r="AC406" s="18" t="str">
        <f>""</f>
        <v/>
      </c>
      <c r="AD406" s="18" t="str">
        <f>""</f>
        <v/>
      </c>
      <c r="AE406" s="18" t="str">
        <f>""</f>
        <v/>
      </c>
      <c r="AF406" s="18" t="str">
        <f>""</f>
        <v/>
      </c>
      <c r="AG406" s="18" t="str">
        <f>""</f>
        <v/>
      </c>
      <c r="AH406" s="18" t="str">
        <f>""</f>
        <v/>
      </c>
      <c r="AI406" s="18" t="str">
        <f>""</f>
        <v/>
      </c>
      <c r="AJ406" s="18" t="str">
        <f>""</f>
        <v/>
      </c>
      <c r="AK406" s="18" t="str">
        <f>""</f>
        <v/>
      </c>
      <c r="AL406" s="18" t="str">
        <f>""</f>
        <v/>
      </c>
      <c r="AM406" s="18" t="str">
        <f>""</f>
        <v/>
      </c>
    </row>
    <row r="407" spans="1:39" ht="13.5" customHeight="1" x14ac:dyDescent="0.25">
      <c r="A407" s="29" t="s">
        <v>195</v>
      </c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</row>
    <row r="408" spans="1:39" ht="15.75" customHeight="1" x14ac:dyDescent="0.25">
      <c r="A408" s="17" t="str">
        <f>IF('Step 9 - CFO'!B5="","","Active")</f>
        <v/>
      </c>
      <c r="B408" s="18" t="str">
        <f>IF('Step 9 - CFO'!B5="","",'Step 9 - CFO'!B5)</f>
        <v/>
      </c>
      <c r="C408" s="18" t="str">
        <f>IF('Step 9 - CFO'!B5="","",'Step 9 - CFO'!B5)</f>
        <v/>
      </c>
      <c r="D408" s="17" t="str">
        <f>IF('Step 9 - CFO'!B5="","",'Step 9 - CFO'!G5)</f>
        <v/>
      </c>
      <c r="E408" s="17" t="str">
        <f>IF('Step 9 - CFO'!B5="","",'Step 9 - CFO'!H5)</f>
        <v/>
      </c>
      <c r="F408" s="18" t="str">
        <f>IF('Step 9 - CFO'!B5="","",IF('Step 9 - CFO'!C5="","","Fund Code"))</f>
        <v/>
      </c>
      <c r="G408" s="17" t="str">
        <f>IF('Step 9 - CFO'!B5="","",IF('Step 9 - CFO'!C5="","","Equals"))</f>
        <v/>
      </c>
      <c r="H408" s="18" t="str">
        <f>IF('Step 9 - CFO'!B5="","",IF('Step 9 - CFO'!C5="","",'Step 9 - CFO'!C5))</f>
        <v/>
      </c>
      <c r="I408" s="18" t="str">
        <f>IF('Step 9 - CFO'!B5="","","Organization Code")</f>
        <v/>
      </c>
      <c r="J408" s="17" t="str">
        <f>IF('Step 9 - CFO'!B5="","","Equals")</f>
        <v/>
      </c>
      <c r="K408" s="18" t="str">
        <f>IF('Step 9 - CFO'!B5="","",'Step 9 - CFO'!D5)</f>
        <v/>
      </c>
      <c r="L408" s="18" t="str">
        <f>IF('Step 9 - CFO'!B5="","","Other Criteria")</f>
        <v/>
      </c>
      <c r="M408" s="17" t="str">
        <f>IF('Step 9 - CFO'!B5="","","Equals")</f>
        <v/>
      </c>
      <c r="N408" s="18" t="str">
        <f>IF('Step 9 - CFO'!B5="","",'Step 9 - CFO'!E5)</f>
        <v/>
      </c>
      <c r="O408" s="18" t="str">
        <f>IF('Step 9 - CFO'!B5="","",IF('Step 9 - CFO'!F5="","","Total"))</f>
        <v/>
      </c>
      <c r="P408" s="17" t="str">
        <f>IF('Step 9 - CFO'!B5="","",IF('Step 9 - CFO'!F5="","","&gt;="))</f>
        <v/>
      </c>
      <c r="Q408" s="18" t="str">
        <f>IF('Step 9 - CFO'!B5="","",IF('Step 9 - CFO'!F5="","",'Step 9 - CFO'!F5))</f>
        <v/>
      </c>
      <c r="R408" s="18" t="str">
        <f>""</f>
        <v/>
      </c>
      <c r="S408" s="18" t="str">
        <f>""</f>
        <v/>
      </c>
      <c r="T408" s="18" t="str">
        <f>""</f>
        <v/>
      </c>
      <c r="U408" s="18" t="str">
        <f>IF('Step 9 - CFO'!B5="","",'Step 9 - CFO'!I5)</f>
        <v/>
      </c>
      <c r="V408" s="17" t="str">
        <f>IF('Step 9 - CFO'!B5="","",'Step 9 - CFO'!K5)</f>
        <v/>
      </c>
      <c r="W408" s="18" t="str">
        <f>IF('Step 9 - CFO'!B5="","",'Step 9 - CFO'!L5)</f>
        <v/>
      </c>
      <c r="X408" s="17" t="str">
        <f>IF('Step 9 - CFO'!B5="","",'Step 9 - CFO'!N5)</f>
        <v/>
      </c>
      <c r="Y408" s="18" t="str">
        <f>""</f>
        <v/>
      </c>
      <c r="Z408" s="18" t="str">
        <f>""</f>
        <v/>
      </c>
      <c r="AA408" s="18" t="str">
        <f>""</f>
        <v/>
      </c>
      <c r="AB408" s="18" t="str">
        <f>""</f>
        <v/>
      </c>
      <c r="AC408" s="18" t="str">
        <f>""</f>
        <v/>
      </c>
      <c r="AD408" s="18" t="str">
        <f>""</f>
        <v/>
      </c>
      <c r="AE408" s="18" t="str">
        <f>""</f>
        <v/>
      </c>
      <c r="AF408" s="18" t="str">
        <f>""</f>
        <v/>
      </c>
      <c r="AG408" s="18" t="str">
        <f>""</f>
        <v/>
      </c>
      <c r="AH408" s="18" t="str">
        <f>""</f>
        <v/>
      </c>
      <c r="AI408" s="18" t="str">
        <f>""</f>
        <v/>
      </c>
      <c r="AJ408" s="18" t="str">
        <f>""</f>
        <v/>
      </c>
      <c r="AK408" s="18" t="str">
        <f>""</f>
        <v/>
      </c>
      <c r="AL408" s="18" t="str">
        <f>""</f>
        <v/>
      </c>
      <c r="AM408" s="18" t="str">
        <f>""</f>
        <v/>
      </c>
    </row>
    <row r="409" spans="1:39" ht="15.75" customHeight="1" x14ac:dyDescent="0.25">
      <c r="A409" s="19" t="str">
        <f>IF('Step 9 - CFO'!B6="","","Active")</f>
        <v/>
      </c>
      <c r="B409" s="20" t="str">
        <f>IF('Step 9 - CFO'!B6="","",'Step 9 - CFO'!B6)</f>
        <v/>
      </c>
      <c r="C409" s="20" t="str">
        <f>IF('Step 9 - CFO'!B6="","",'Step 9 - CFO'!B6)</f>
        <v/>
      </c>
      <c r="D409" s="19" t="str">
        <f>IF('Step 9 - CFO'!B6="","",'Step 9 - CFO'!G6)</f>
        <v/>
      </c>
      <c r="E409" s="19" t="str">
        <f>IF('Step 9 - CFO'!B6="","",'Step 9 - CFO'!H6)</f>
        <v/>
      </c>
      <c r="F409" s="20" t="str">
        <f>IF('Step 9 - CFO'!B6="","",IF('Step 9 - CFO'!C6="","","Fund Code"))</f>
        <v/>
      </c>
      <c r="G409" s="19" t="str">
        <f>IF('Step 9 - CFO'!B6="","",IF('Step 9 - CFO'!C6="","","Equals"))</f>
        <v/>
      </c>
      <c r="H409" s="20" t="str">
        <f>IF('Step 9 - CFO'!B6="","",IF('Step 9 - CFO'!C6="","",'Step 9 - CFO'!C6))</f>
        <v/>
      </c>
      <c r="I409" s="20" t="str">
        <f>IF('Step 9 - CFO'!B6="","","Organization Code")</f>
        <v/>
      </c>
      <c r="J409" s="19" t="str">
        <f>IF('Step 9 - CFO'!B6="","","Equals")</f>
        <v/>
      </c>
      <c r="K409" s="20" t="str">
        <f>IF('Step 9 - CFO'!B6="","",'Step 9 - CFO'!D6)</f>
        <v/>
      </c>
      <c r="L409" s="20" t="str">
        <f>IF('Step 9 - CFO'!B6="","","Other Criteria")</f>
        <v/>
      </c>
      <c r="M409" s="19" t="str">
        <f>IF('Step 9 - CFO'!B6="","","Equals")</f>
        <v/>
      </c>
      <c r="N409" s="20" t="str">
        <f>IF('Step 9 - CFO'!B6="","",'Step 9 - CFO'!E6)</f>
        <v/>
      </c>
      <c r="O409" s="20" t="str">
        <f>IF('Step 9 - CFO'!B6="","",IF('Step 9 - CFO'!F6="","","Total"))</f>
        <v/>
      </c>
      <c r="P409" s="19" t="str">
        <f>IF('Step 9 - CFO'!B6="","",IF('Step 9 - CFO'!F6="","","&gt;="))</f>
        <v/>
      </c>
      <c r="Q409" s="20" t="str">
        <f>IF('Step 9 - CFO'!B6="","",IF('Step 9 - CFO'!F6="","",'Step 9 - CFO'!F6))</f>
        <v/>
      </c>
      <c r="R409" s="20" t="str">
        <f>""</f>
        <v/>
      </c>
      <c r="S409" s="20" t="str">
        <f>""</f>
        <v/>
      </c>
      <c r="T409" s="20" t="str">
        <f>""</f>
        <v/>
      </c>
      <c r="U409" s="20" t="str">
        <f>IF('Step 9 - CFO'!B6="","",'Step 9 - CFO'!I6)</f>
        <v/>
      </c>
      <c r="V409" s="19" t="str">
        <f>IF('Step 9 - CFO'!B6="","",'Step 9 - CFO'!K6)</f>
        <v/>
      </c>
      <c r="W409" s="20" t="str">
        <f>IF('Step 9 - CFO'!B6="","",'Step 9 - CFO'!L6)</f>
        <v/>
      </c>
      <c r="X409" s="19" t="str">
        <f>IF('Step 9 - CFO'!B6="","",'Step 9 - CFO'!N6)</f>
        <v/>
      </c>
      <c r="Y409" s="20" t="str">
        <f>""</f>
        <v/>
      </c>
      <c r="Z409" s="20" t="str">
        <f>""</f>
        <v/>
      </c>
      <c r="AA409" s="20" t="str">
        <f>""</f>
        <v/>
      </c>
      <c r="AB409" s="20" t="str">
        <f>""</f>
        <v/>
      </c>
      <c r="AC409" s="20" t="str">
        <f>""</f>
        <v/>
      </c>
      <c r="AD409" s="20" t="str">
        <f>""</f>
        <v/>
      </c>
      <c r="AE409" s="20" t="str">
        <f>""</f>
        <v/>
      </c>
      <c r="AF409" s="20" t="str">
        <f>""</f>
        <v/>
      </c>
      <c r="AG409" s="20" t="str">
        <f>""</f>
        <v/>
      </c>
      <c r="AH409" s="20" t="str">
        <f>""</f>
        <v/>
      </c>
      <c r="AI409" s="20" t="str">
        <f>""</f>
        <v/>
      </c>
      <c r="AJ409" s="20" t="str">
        <f>""</f>
        <v/>
      </c>
      <c r="AK409" s="20" t="str">
        <f>""</f>
        <v/>
      </c>
      <c r="AL409" s="20" t="str">
        <f>""</f>
        <v/>
      </c>
      <c r="AM409" s="20" t="str">
        <f>""</f>
        <v/>
      </c>
    </row>
    <row r="410" spans="1:39" ht="15.75" customHeight="1" x14ac:dyDescent="0.25">
      <c r="A410" s="17" t="str">
        <f>IF('Step 9 - CFO'!B7="","","Active")</f>
        <v/>
      </c>
      <c r="B410" s="18" t="str">
        <f>IF('Step 9 - CFO'!B7="","",'Step 9 - CFO'!B7)</f>
        <v/>
      </c>
      <c r="C410" s="18" t="str">
        <f>IF('Step 9 - CFO'!B7="","",'Step 9 - CFO'!B7)</f>
        <v/>
      </c>
      <c r="D410" s="17" t="str">
        <f>IF('Step 9 - CFO'!B7="","",'Step 9 - CFO'!G7)</f>
        <v/>
      </c>
      <c r="E410" s="17" t="str">
        <f>IF('Step 9 - CFO'!B7="","",'Step 9 - CFO'!H7)</f>
        <v/>
      </c>
      <c r="F410" s="18" t="str">
        <f>IF('Step 9 - CFO'!B7="","",IF('Step 9 - CFO'!C7="","","Fund Code"))</f>
        <v/>
      </c>
      <c r="G410" s="17" t="str">
        <f>IF('Step 9 - CFO'!B7="","",IF('Step 9 - CFO'!C7="","","Equals"))</f>
        <v/>
      </c>
      <c r="H410" s="18" t="str">
        <f>IF('Step 9 - CFO'!B7="","",IF('Step 9 - CFO'!C7="","",'Step 9 - CFO'!C7))</f>
        <v/>
      </c>
      <c r="I410" s="18" t="str">
        <f>IF('Step 9 - CFO'!B7="","","Organization Code")</f>
        <v/>
      </c>
      <c r="J410" s="17" t="str">
        <f>IF('Step 9 - CFO'!B7="","","Equals")</f>
        <v/>
      </c>
      <c r="K410" s="18" t="str">
        <f>IF('Step 9 - CFO'!B7="","",'Step 9 - CFO'!D7)</f>
        <v/>
      </c>
      <c r="L410" s="18" t="str">
        <f>IF('Step 9 - CFO'!B7="","","Other Criteria")</f>
        <v/>
      </c>
      <c r="M410" s="17" t="str">
        <f>IF('Step 9 - CFO'!B7="","","Equals")</f>
        <v/>
      </c>
      <c r="N410" s="18" t="str">
        <f>IF('Step 9 - CFO'!B7="","",'Step 9 - CFO'!E7)</f>
        <v/>
      </c>
      <c r="O410" s="18" t="str">
        <f>IF('Step 9 - CFO'!B7="","",IF('Step 9 - CFO'!F7="","","Total"))</f>
        <v/>
      </c>
      <c r="P410" s="17" t="str">
        <f>IF('Step 9 - CFO'!B7="","",IF('Step 9 - CFO'!F7="","","&gt;="))</f>
        <v/>
      </c>
      <c r="Q410" s="18" t="str">
        <f>IF('Step 9 - CFO'!B7="","",IF('Step 9 - CFO'!F7="","",'Step 9 - CFO'!F7))</f>
        <v/>
      </c>
      <c r="R410" s="18" t="str">
        <f>""</f>
        <v/>
      </c>
      <c r="S410" s="18" t="str">
        <f>""</f>
        <v/>
      </c>
      <c r="T410" s="18" t="str">
        <f>""</f>
        <v/>
      </c>
      <c r="U410" s="18" t="str">
        <f>IF('Step 9 - CFO'!B7="","",'Step 9 - CFO'!I7)</f>
        <v/>
      </c>
      <c r="V410" s="17" t="str">
        <f>IF('Step 9 - CFO'!B7="","",'Step 9 - CFO'!K7)</f>
        <v/>
      </c>
      <c r="W410" s="18" t="str">
        <f>IF('Step 9 - CFO'!B7="","",'Step 9 - CFO'!L7)</f>
        <v/>
      </c>
      <c r="X410" s="17" t="str">
        <f>IF('Step 9 - CFO'!B7="","",'Step 9 - CFO'!N7)</f>
        <v/>
      </c>
      <c r="Y410" s="18" t="str">
        <f>""</f>
        <v/>
      </c>
      <c r="Z410" s="18" t="str">
        <f>""</f>
        <v/>
      </c>
      <c r="AA410" s="18" t="str">
        <f>""</f>
        <v/>
      </c>
      <c r="AB410" s="18" t="str">
        <f>""</f>
        <v/>
      </c>
      <c r="AC410" s="18" t="str">
        <f>""</f>
        <v/>
      </c>
      <c r="AD410" s="18" t="str">
        <f>""</f>
        <v/>
      </c>
      <c r="AE410" s="18" t="str">
        <f>""</f>
        <v/>
      </c>
      <c r="AF410" s="18" t="str">
        <f>""</f>
        <v/>
      </c>
      <c r="AG410" s="18" t="str">
        <f>""</f>
        <v/>
      </c>
      <c r="AH410" s="18" t="str">
        <f>""</f>
        <v/>
      </c>
      <c r="AI410" s="18" t="str">
        <f>""</f>
        <v/>
      </c>
      <c r="AJ410" s="18" t="str">
        <f>""</f>
        <v/>
      </c>
      <c r="AK410" s="18" t="str">
        <f>""</f>
        <v/>
      </c>
      <c r="AL410" s="18" t="str">
        <f>""</f>
        <v/>
      </c>
      <c r="AM410" s="18" t="str">
        <f>""</f>
        <v/>
      </c>
    </row>
    <row r="411" spans="1:39" ht="15.75" customHeight="1" x14ac:dyDescent="0.25">
      <c r="A411" s="19" t="str">
        <f>IF('Step 9 - CFO'!B8="","","Active")</f>
        <v/>
      </c>
      <c r="B411" s="20" t="str">
        <f>IF('Step 9 - CFO'!B8="","",'Step 9 - CFO'!B8)</f>
        <v/>
      </c>
      <c r="C411" s="20" t="str">
        <f>IF('Step 9 - CFO'!B8="","",'Step 9 - CFO'!B8)</f>
        <v/>
      </c>
      <c r="D411" s="19" t="str">
        <f>IF('Step 9 - CFO'!B8="","",'Step 9 - CFO'!G8)</f>
        <v/>
      </c>
      <c r="E411" s="19" t="str">
        <f>IF('Step 9 - CFO'!B8="","",'Step 9 - CFO'!H8)</f>
        <v/>
      </c>
      <c r="F411" s="20" t="str">
        <f>IF('Step 9 - CFO'!B8="","",IF('Step 9 - CFO'!C8="","","Fund Code"))</f>
        <v/>
      </c>
      <c r="G411" s="19" t="str">
        <f>IF('Step 9 - CFO'!B8="","",IF('Step 9 - CFO'!C8="","","Equals"))</f>
        <v/>
      </c>
      <c r="H411" s="20" t="str">
        <f>IF('Step 9 - CFO'!B8="","",IF('Step 9 - CFO'!C8="","",'Step 9 - CFO'!C8))</f>
        <v/>
      </c>
      <c r="I411" s="20" t="str">
        <f>IF('Step 9 - CFO'!B8="","","Organization Code")</f>
        <v/>
      </c>
      <c r="J411" s="19" t="str">
        <f>IF('Step 9 - CFO'!B8="","","Equals")</f>
        <v/>
      </c>
      <c r="K411" s="20" t="str">
        <f>IF('Step 9 - CFO'!B8="","",'Step 9 - CFO'!D8)</f>
        <v/>
      </c>
      <c r="L411" s="20" t="str">
        <f>IF('Step 9 - CFO'!B8="","","Other Criteria")</f>
        <v/>
      </c>
      <c r="M411" s="19" t="str">
        <f>IF('Step 9 - CFO'!B8="","","Equals")</f>
        <v/>
      </c>
      <c r="N411" s="20" t="str">
        <f>IF('Step 9 - CFO'!B8="","",'Step 9 - CFO'!E8)</f>
        <v/>
      </c>
      <c r="O411" s="20" t="str">
        <f>IF('Step 9 - CFO'!B8="","",IF('Step 9 - CFO'!F8="","","Total"))</f>
        <v/>
      </c>
      <c r="P411" s="19" t="str">
        <f>IF('Step 9 - CFO'!B8="","",IF('Step 9 - CFO'!F8="","","&gt;="))</f>
        <v/>
      </c>
      <c r="Q411" s="20" t="str">
        <f>IF('Step 9 - CFO'!B8="","",IF('Step 9 - CFO'!F8="","",'Step 9 - CFO'!F8))</f>
        <v/>
      </c>
      <c r="R411" s="20" t="str">
        <f>""</f>
        <v/>
      </c>
      <c r="S411" s="20" t="str">
        <f>""</f>
        <v/>
      </c>
      <c r="T411" s="20" t="str">
        <f>""</f>
        <v/>
      </c>
      <c r="U411" s="20" t="str">
        <f>IF('Step 9 - CFO'!B8="","",'Step 9 - CFO'!I8)</f>
        <v/>
      </c>
      <c r="V411" s="19" t="str">
        <f>IF('Step 9 - CFO'!B8="","",'Step 9 - CFO'!K8)</f>
        <v/>
      </c>
      <c r="W411" s="20" t="str">
        <f>IF('Step 9 - CFO'!B8="","",'Step 9 - CFO'!L8)</f>
        <v/>
      </c>
      <c r="X411" s="19" t="str">
        <f>IF('Step 9 - CFO'!B8="","",'Step 9 - CFO'!N8)</f>
        <v/>
      </c>
      <c r="Y411" s="20" t="str">
        <f>""</f>
        <v/>
      </c>
      <c r="Z411" s="20" t="str">
        <f>""</f>
        <v/>
      </c>
      <c r="AA411" s="20" t="str">
        <f>""</f>
        <v/>
      </c>
      <c r="AB411" s="20" t="str">
        <f>""</f>
        <v/>
      </c>
      <c r="AC411" s="20" t="str">
        <f>""</f>
        <v/>
      </c>
      <c r="AD411" s="20" t="str">
        <f>""</f>
        <v/>
      </c>
      <c r="AE411" s="20" t="str">
        <f>""</f>
        <v/>
      </c>
      <c r="AF411" s="20" t="str">
        <f>""</f>
        <v/>
      </c>
      <c r="AG411" s="20" t="str">
        <f>""</f>
        <v/>
      </c>
      <c r="AH411" s="20" t="str">
        <f>""</f>
        <v/>
      </c>
      <c r="AI411" s="20" t="str">
        <f>""</f>
        <v/>
      </c>
      <c r="AJ411" s="20" t="str">
        <f>""</f>
        <v/>
      </c>
      <c r="AK411" s="20" t="str">
        <f>""</f>
        <v/>
      </c>
      <c r="AL411" s="20" t="str">
        <f>""</f>
        <v/>
      </c>
      <c r="AM411" s="20" t="str">
        <f>""</f>
        <v/>
      </c>
    </row>
    <row r="412" spans="1:39" ht="15.75" customHeight="1" x14ac:dyDescent="0.25">
      <c r="A412" s="17" t="str">
        <f>IF('Step 9 - CFO'!B9="","","Active")</f>
        <v/>
      </c>
      <c r="B412" s="18" t="str">
        <f>IF('Step 9 - CFO'!B9="","",'Step 9 - CFO'!B9)</f>
        <v/>
      </c>
      <c r="C412" s="18" t="str">
        <f>IF('Step 9 - CFO'!B9="","",'Step 9 - CFO'!B9)</f>
        <v/>
      </c>
      <c r="D412" s="17" t="str">
        <f>IF('Step 9 - CFO'!B9="","",'Step 9 - CFO'!G9)</f>
        <v/>
      </c>
      <c r="E412" s="17" t="str">
        <f>IF('Step 9 - CFO'!B9="","",'Step 9 - CFO'!H9)</f>
        <v/>
      </c>
      <c r="F412" s="18" t="str">
        <f>IF('Step 9 - CFO'!B9="","",IF('Step 9 - CFO'!C9="","","Fund Code"))</f>
        <v/>
      </c>
      <c r="G412" s="17" t="str">
        <f>IF('Step 9 - CFO'!B9="","",IF('Step 9 - CFO'!C9="","","Equals"))</f>
        <v/>
      </c>
      <c r="H412" s="18" t="str">
        <f>IF('Step 9 - CFO'!B9="","",IF('Step 9 - CFO'!C9="","",'Step 9 - CFO'!C9))</f>
        <v/>
      </c>
      <c r="I412" s="18" t="str">
        <f>IF('Step 9 - CFO'!B9="","","Organization Code")</f>
        <v/>
      </c>
      <c r="J412" s="17" t="str">
        <f>IF('Step 9 - CFO'!B9="","","Equals")</f>
        <v/>
      </c>
      <c r="K412" s="18" t="str">
        <f>IF('Step 9 - CFO'!B9="","",'Step 9 - CFO'!D9)</f>
        <v/>
      </c>
      <c r="L412" s="18" t="str">
        <f>IF('Step 9 - CFO'!B9="","","Other Criteria")</f>
        <v/>
      </c>
      <c r="M412" s="17" t="str">
        <f>IF('Step 9 - CFO'!B9="","","Equals")</f>
        <v/>
      </c>
      <c r="N412" s="18" t="str">
        <f>IF('Step 9 - CFO'!B9="","",'Step 9 - CFO'!E9)</f>
        <v/>
      </c>
      <c r="O412" s="18" t="str">
        <f>IF('Step 9 - CFO'!B9="","",IF('Step 9 - CFO'!F9="","","Total"))</f>
        <v/>
      </c>
      <c r="P412" s="17" t="str">
        <f>IF('Step 9 - CFO'!B9="","",IF('Step 9 - CFO'!F9="","","&gt;="))</f>
        <v/>
      </c>
      <c r="Q412" s="18" t="str">
        <f>IF('Step 9 - CFO'!B9="","",IF('Step 9 - CFO'!F9="","",'Step 9 - CFO'!F9))</f>
        <v/>
      </c>
      <c r="R412" s="18" t="str">
        <f>""</f>
        <v/>
      </c>
      <c r="S412" s="18" t="str">
        <f>""</f>
        <v/>
      </c>
      <c r="T412" s="18" t="str">
        <f>""</f>
        <v/>
      </c>
      <c r="U412" s="18" t="str">
        <f>IF('Step 9 - CFO'!B9="","",'Step 9 - CFO'!I9)</f>
        <v/>
      </c>
      <c r="V412" s="17" t="str">
        <f>IF('Step 9 - CFO'!B9="","",'Step 9 - CFO'!K9)</f>
        <v/>
      </c>
      <c r="W412" s="18" t="str">
        <f>IF('Step 9 - CFO'!B9="","",'Step 9 - CFO'!L9)</f>
        <v/>
      </c>
      <c r="X412" s="17" t="str">
        <f>IF('Step 9 - CFO'!B9="","",'Step 9 - CFO'!N9)</f>
        <v/>
      </c>
      <c r="Y412" s="18" t="str">
        <f>""</f>
        <v/>
      </c>
      <c r="Z412" s="18" t="str">
        <f>""</f>
        <v/>
      </c>
      <c r="AA412" s="18" t="str">
        <f>""</f>
        <v/>
      </c>
      <c r="AB412" s="18" t="str">
        <f>""</f>
        <v/>
      </c>
      <c r="AC412" s="18" t="str">
        <f>""</f>
        <v/>
      </c>
      <c r="AD412" s="18" t="str">
        <f>""</f>
        <v/>
      </c>
      <c r="AE412" s="18" t="str">
        <f>""</f>
        <v/>
      </c>
      <c r="AF412" s="18" t="str">
        <f>""</f>
        <v/>
      </c>
      <c r="AG412" s="18" t="str">
        <f>""</f>
        <v/>
      </c>
      <c r="AH412" s="18" t="str">
        <f>""</f>
        <v/>
      </c>
      <c r="AI412" s="18" t="str">
        <f>""</f>
        <v/>
      </c>
      <c r="AJ412" s="18" t="str">
        <f>""</f>
        <v/>
      </c>
      <c r="AK412" s="18" t="str">
        <f>""</f>
        <v/>
      </c>
      <c r="AL412" s="18" t="str">
        <f>""</f>
        <v/>
      </c>
      <c r="AM412" s="18" t="str">
        <f>""</f>
        <v/>
      </c>
    </row>
    <row r="413" spans="1:39" ht="15.75" customHeight="1" x14ac:dyDescent="0.25">
      <c r="A413" s="19" t="str">
        <f>IF('Step 9 - CFO'!B10="","","Active")</f>
        <v/>
      </c>
      <c r="B413" s="20" t="str">
        <f>IF('Step 9 - CFO'!B10="","",'Step 9 - CFO'!B10)</f>
        <v/>
      </c>
      <c r="C413" s="20" t="str">
        <f>IF('Step 9 - CFO'!B10="","",'Step 9 - CFO'!B10)</f>
        <v/>
      </c>
      <c r="D413" s="19" t="str">
        <f>IF('Step 9 - CFO'!B10="","",'Step 9 - CFO'!G10)</f>
        <v/>
      </c>
      <c r="E413" s="19" t="str">
        <f>IF('Step 9 - CFO'!B10="","",'Step 9 - CFO'!H10)</f>
        <v/>
      </c>
      <c r="F413" s="20" t="str">
        <f>IF('Step 9 - CFO'!B10="","",IF('Step 9 - CFO'!C10="","","Fund Code"))</f>
        <v/>
      </c>
      <c r="G413" s="19" t="str">
        <f>IF('Step 9 - CFO'!B10="","",IF('Step 9 - CFO'!C10="","","Equals"))</f>
        <v/>
      </c>
      <c r="H413" s="20" t="str">
        <f>IF('Step 9 - CFO'!B10="","",IF('Step 9 - CFO'!C10="","",'Step 9 - CFO'!C10))</f>
        <v/>
      </c>
      <c r="I413" s="20" t="str">
        <f>IF('Step 9 - CFO'!B10="","","Organization Code")</f>
        <v/>
      </c>
      <c r="J413" s="19" t="str">
        <f>IF('Step 9 - CFO'!B10="","","Equals")</f>
        <v/>
      </c>
      <c r="K413" s="20" t="str">
        <f>IF('Step 9 - CFO'!B10="","",'Step 9 - CFO'!D10)</f>
        <v/>
      </c>
      <c r="L413" s="20" t="str">
        <f>IF('Step 9 - CFO'!B10="","","Other Criteria")</f>
        <v/>
      </c>
      <c r="M413" s="19" t="str">
        <f>IF('Step 9 - CFO'!B10="","","Equals")</f>
        <v/>
      </c>
      <c r="N413" s="20" t="str">
        <f>IF('Step 9 - CFO'!B10="","",'Step 9 - CFO'!E10)</f>
        <v/>
      </c>
      <c r="O413" s="20" t="str">
        <f>IF('Step 9 - CFO'!B10="","",IF('Step 9 - CFO'!F10="","","Total"))</f>
        <v/>
      </c>
      <c r="P413" s="19" t="str">
        <f>IF('Step 9 - CFO'!B10="","",IF('Step 9 - CFO'!F10="","","&gt;="))</f>
        <v/>
      </c>
      <c r="Q413" s="20" t="str">
        <f>IF('Step 9 - CFO'!B10="","",IF('Step 9 - CFO'!F10="","",'Step 9 - CFO'!F10))</f>
        <v/>
      </c>
      <c r="R413" s="20" t="str">
        <f>""</f>
        <v/>
      </c>
      <c r="S413" s="20" t="str">
        <f>""</f>
        <v/>
      </c>
      <c r="T413" s="20" t="str">
        <f>""</f>
        <v/>
      </c>
      <c r="U413" s="20" t="str">
        <f>IF('Step 9 - CFO'!B10="","",'Step 9 - CFO'!I10)</f>
        <v/>
      </c>
      <c r="V413" s="19" t="str">
        <f>IF('Step 9 - CFO'!B10="","",'Step 9 - CFO'!K10)</f>
        <v/>
      </c>
      <c r="W413" s="20" t="str">
        <f>IF('Step 9 - CFO'!B10="","",'Step 9 - CFO'!L10)</f>
        <v/>
      </c>
      <c r="X413" s="19" t="str">
        <f>IF('Step 9 - CFO'!B10="","",'Step 9 - CFO'!N10)</f>
        <v/>
      </c>
      <c r="Y413" s="20" t="str">
        <f>""</f>
        <v/>
      </c>
      <c r="Z413" s="20" t="str">
        <f>""</f>
        <v/>
      </c>
      <c r="AA413" s="20" t="str">
        <f>""</f>
        <v/>
      </c>
      <c r="AB413" s="20" t="str">
        <f>""</f>
        <v/>
      </c>
      <c r="AC413" s="20" t="str">
        <f>""</f>
        <v/>
      </c>
      <c r="AD413" s="20" t="str">
        <f>""</f>
        <v/>
      </c>
      <c r="AE413" s="20" t="str">
        <f>""</f>
        <v/>
      </c>
      <c r="AF413" s="20" t="str">
        <f>""</f>
        <v/>
      </c>
      <c r="AG413" s="20" t="str">
        <f>""</f>
        <v/>
      </c>
      <c r="AH413" s="20" t="str">
        <f>""</f>
        <v/>
      </c>
      <c r="AI413" s="20" t="str">
        <f>""</f>
        <v/>
      </c>
      <c r="AJ413" s="20" t="str">
        <f>""</f>
        <v/>
      </c>
      <c r="AK413" s="20" t="str">
        <f>""</f>
        <v/>
      </c>
      <c r="AL413" s="20" t="str">
        <f>""</f>
        <v/>
      </c>
      <c r="AM413" s="20" t="str">
        <f>""</f>
        <v/>
      </c>
    </row>
    <row r="414" spans="1:39" ht="15.75" customHeight="1" x14ac:dyDescent="0.25">
      <c r="A414" s="17" t="str">
        <f>IF('Step 9 - CFO'!B11="","","Active")</f>
        <v/>
      </c>
      <c r="B414" s="18" t="str">
        <f>IF('Step 9 - CFO'!B11="","",'Step 9 - CFO'!B11)</f>
        <v/>
      </c>
      <c r="C414" s="18" t="str">
        <f>IF('Step 9 - CFO'!B11="","",'Step 9 - CFO'!B11)</f>
        <v/>
      </c>
      <c r="D414" s="17" t="str">
        <f>IF('Step 9 - CFO'!B11="","",'Step 9 - CFO'!G11)</f>
        <v/>
      </c>
      <c r="E414" s="17" t="str">
        <f>IF('Step 9 - CFO'!B11="","",'Step 9 - CFO'!H11)</f>
        <v/>
      </c>
      <c r="F414" s="18" t="str">
        <f>IF('Step 9 - CFO'!B11="","",IF('Step 9 - CFO'!C11="","","Fund Code"))</f>
        <v/>
      </c>
      <c r="G414" s="17" t="str">
        <f>IF('Step 9 - CFO'!B11="","",IF('Step 9 - CFO'!C11="","","Equals"))</f>
        <v/>
      </c>
      <c r="H414" s="18" t="str">
        <f>IF('Step 9 - CFO'!B11="","",IF('Step 9 - CFO'!C11="","",'Step 9 - CFO'!C11))</f>
        <v/>
      </c>
      <c r="I414" s="18" t="str">
        <f>IF('Step 9 - CFO'!B11="","","Organization Code")</f>
        <v/>
      </c>
      <c r="J414" s="17" t="str">
        <f>IF('Step 9 - CFO'!B11="","","Equals")</f>
        <v/>
      </c>
      <c r="K414" s="18" t="str">
        <f>IF('Step 9 - CFO'!B11="","",'Step 9 - CFO'!D11)</f>
        <v/>
      </c>
      <c r="L414" s="18" t="str">
        <f>IF('Step 9 - CFO'!B11="","","Other Criteria")</f>
        <v/>
      </c>
      <c r="M414" s="17" t="str">
        <f>IF('Step 9 - CFO'!B11="","","Equals")</f>
        <v/>
      </c>
      <c r="N414" s="18" t="str">
        <f>IF('Step 9 - CFO'!B11="","",'Step 9 - CFO'!E11)</f>
        <v/>
      </c>
      <c r="O414" s="18" t="str">
        <f>IF('Step 9 - CFO'!B11="","",IF('Step 9 - CFO'!F11="","","Total"))</f>
        <v/>
      </c>
      <c r="P414" s="17" t="str">
        <f>IF('Step 9 - CFO'!B11="","",IF('Step 9 - CFO'!F11="","","&gt;="))</f>
        <v/>
      </c>
      <c r="Q414" s="18" t="str">
        <f>IF('Step 9 - CFO'!B11="","",IF('Step 9 - CFO'!F11="","",'Step 9 - CFO'!F11))</f>
        <v/>
      </c>
      <c r="R414" s="18" t="str">
        <f>""</f>
        <v/>
      </c>
      <c r="S414" s="18" t="str">
        <f>""</f>
        <v/>
      </c>
      <c r="T414" s="18" t="str">
        <f>""</f>
        <v/>
      </c>
      <c r="U414" s="18" t="str">
        <f>IF('Step 9 - CFO'!B11="","",'Step 9 - CFO'!I11)</f>
        <v/>
      </c>
      <c r="V414" s="17" t="str">
        <f>IF('Step 9 - CFO'!B11="","",'Step 9 - CFO'!K11)</f>
        <v/>
      </c>
      <c r="W414" s="18" t="str">
        <f>IF('Step 9 - CFO'!B11="","",'Step 9 - CFO'!L11)</f>
        <v/>
      </c>
      <c r="X414" s="17" t="str">
        <f>IF('Step 9 - CFO'!B11="","",'Step 9 - CFO'!N11)</f>
        <v/>
      </c>
      <c r="Y414" s="18" t="str">
        <f>""</f>
        <v/>
      </c>
      <c r="Z414" s="18" t="str">
        <f>""</f>
        <v/>
      </c>
      <c r="AA414" s="18" t="str">
        <f>""</f>
        <v/>
      </c>
      <c r="AB414" s="18" t="str">
        <f>""</f>
        <v/>
      </c>
      <c r="AC414" s="18" t="str">
        <f>""</f>
        <v/>
      </c>
      <c r="AD414" s="18" t="str">
        <f>""</f>
        <v/>
      </c>
      <c r="AE414" s="18" t="str">
        <f>""</f>
        <v/>
      </c>
      <c r="AF414" s="18" t="str">
        <f>""</f>
        <v/>
      </c>
      <c r="AG414" s="18" t="str">
        <f>""</f>
        <v/>
      </c>
      <c r="AH414" s="18" t="str">
        <f>""</f>
        <v/>
      </c>
      <c r="AI414" s="18" t="str">
        <f>""</f>
        <v/>
      </c>
      <c r="AJ414" s="18" t="str">
        <f>""</f>
        <v/>
      </c>
      <c r="AK414" s="18" t="str">
        <f>""</f>
        <v/>
      </c>
      <c r="AL414" s="18" t="str">
        <f>""</f>
        <v/>
      </c>
      <c r="AM414" s="18" t="str">
        <f>""</f>
        <v/>
      </c>
    </row>
    <row r="415" spans="1:39" ht="15.75" customHeight="1" x14ac:dyDescent="0.25">
      <c r="A415" s="19" t="str">
        <f>IF('Step 9 - CFO'!B12="","","Active")</f>
        <v/>
      </c>
      <c r="B415" s="20" t="str">
        <f>IF('Step 9 - CFO'!B12="","",'Step 9 - CFO'!B12)</f>
        <v/>
      </c>
      <c r="C415" s="20" t="str">
        <f>IF('Step 9 - CFO'!B12="","",'Step 9 - CFO'!B12)</f>
        <v/>
      </c>
      <c r="D415" s="19" t="str">
        <f>IF('Step 9 - CFO'!B12="","",'Step 9 - CFO'!G12)</f>
        <v/>
      </c>
      <c r="E415" s="19" t="str">
        <f>IF('Step 9 - CFO'!B12="","",'Step 9 - CFO'!H12)</f>
        <v/>
      </c>
      <c r="F415" s="20" t="str">
        <f>IF('Step 9 - CFO'!B12="","",IF('Step 9 - CFO'!C12="","","Fund Code"))</f>
        <v/>
      </c>
      <c r="G415" s="19" t="str">
        <f>IF('Step 9 - CFO'!B12="","",IF('Step 9 - CFO'!C12="","","Equals"))</f>
        <v/>
      </c>
      <c r="H415" s="20" t="str">
        <f>IF('Step 9 - CFO'!B12="","",IF('Step 9 - CFO'!C12="","",'Step 9 - CFO'!C12))</f>
        <v/>
      </c>
      <c r="I415" s="20" t="str">
        <f>IF('Step 9 - CFO'!B12="","","Organization Code")</f>
        <v/>
      </c>
      <c r="J415" s="19" t="str">
        <f>IF('Step 9 - CFO'!B12="","","Equals")</f>
        <v/>
      </c>
      <c r="K415" s="20" t="str">
        <f>IF('Step 9 - CFO'!B12="","",'Step 9 - CFO'!D12)</f>
        <v/>
      </c>
      <c r="L415" s="20" t="str">
        <f>IF('Step 9 - CFO'!B12="","","Other Criteria")</f>
        <v/>
      </c>
      <c r="M415" s="19" t="str">
        <f>IF('Step 9 - CFO'!B12="","","Equals")</f>
        <v/>
      </c>
      <c r="N415" s="20" t="str">
        <f>IF('Step 9 - CFO'!B12="","",'Step 9 - CFO'!E12)</f>
        <v/>
      </c>
      <c r="O415" s="20" t="str">
        <f>IF('Step 9 - CFO'!B12="","",IF('Step 9 - CFO'!F12="","","Total"))</f>
        <v/>
      </c>
      <c r="P415" s="19" t="str">
        <f>IF('Step 9 - CFO'!B12="","",IF('Step 9 - CFO'!F12="","","&gt;="))</f>
        <v/>
      </c>
      <c r="Q415" s="20" t="str">
        <f>IF('Step 9 - CFO'!B12="","",IF('Step 9 - CFO'!F12="","",'Step 9 - CFO'!F12))</f>
        <v/>
      </c>
      <c r="R415" s="20" t="str">
        <f>""</f>
        <v/>
      </c>
      <c r="S415" s="20" t="str">
        <f>""</f>
        <v/>
      </c>
      <c r="T415" s="20" t="str">
        <f>""</f>
        <v/>
      </c>
      <c r="U415" s="20" t="str">
        <f>IF('Step 9 - CFO'!B12="","",'Step 9 - CFO'!I12)</f>
        <v/>
      </c>
      <c r="V415" s="19" t="str">
        <f>IF('Step 9 - CFO'!B12="","",'Step 9 - CFO'!K12)</f>
        <v/>
      </c>
      <c r="W415" s="20" t="str">
        <f>IF('Step 9 - CFO'!B12="","",'Step 9 - CFO'!L12)</f>
        <v/>
      </c>
      <c r="X415" s="19" t="str">
        <f>IF('Step 9 - CFO'!B12="","",'Step 9 - CFO'!N12)</f>
        <v/>
      </c>
      <c r="Y415" s="20" t="str">
        <f>""</f>
        <v/>
      </c>
      <c r="Z415" s="20" t="str">
        <f>""</f>
        <v/>
      </c>
      <c r="AA415" s="20" t="str">
        <f>""</f>
        <v/>
      </c>
      <c r="AB415" s="20" t="str">
        <f>""</f>
        <v/>
      </c>
      <c r="AC415" s="20" t="str">
        <f>""</f>
        <v/>
      </c>
      <c r="AD415" s="20" t="str">
        <f>""</f>
        <v/>
      </c>
      <c r="AE415" s="20" t="str">
        <f>""</f>
        <v/>
      </c>
      <c r="AF415" s="20" t="str">
        <f>""</f>
        <v/>
      </c>
      <c r="AG415" s="20" t="str">
        <f>""</f>
        <v/>
      </c>
      <c r="AH415" s="20" t="str">
        <f>""</f>
        <v/>
      </c>
      <c r="AI415" s="20" t="str">
        <f>""</f>
        <v/>
      </c>
      <c r="AJ415" s="20" t="str">
        <f>""</f>
        <v/>
      </c>
      <c r="AK415" s="20" t="str">
        <f>""</f>
        <v/>
      </c>
      <c r="AL415" s="20" t="str">
        <f>""</f>
        <v/>
      </c>
      <c r="AM415" s="20" t="str">
        <f>""</f>
        <v/>
      </c>
    </row>
    <row r="416" spans="1:39" ht="15.75" customHeight="1" x14ac:dyDescent="0.25">
      <c r="A416" s="17" t="str">
        <f>IF('Step 9 - CFO'!B13="","","Active")</f>
        <v/>
      </c>
      <c r="B416" s="18" t="str">
        <f>IF('Step 9 - CFO'!B13="","",'Step 9 - CFO'!B13)</f>
        <v/>
      </c>
      <c r="C416" s="18" t="str">
        <f>IF('Step 9 - CFO'!B13="","",'Step 9 - CFO'!B13)</f>
        <v/>
      </c>
      <c r="D416" s="17" t="str">
        <f>IF('Step 9 - CFO'!B13="","",'Step 9 - CFO'!G13)</f>
        <v/>
      </c>
      <c r="E416" s="17" t="str">
        <f>IF('Step 9 - CFO'!B13="","",'Step 9 - CFO'!H13)</f>
        <v/>
      </c>
      <c r="F416" s="18" t="str">
        <f>IF('Step 9 - CFO'!B13="","",IF('Step 9 - CFO'!C13="","","Fund Code"))</f>
        <v/>
      </c>
      <c r="G416" s="17" t="str">
        <f>IF('Step 9 - CFO'!B13="","",IF('Step 9 - CFO'!C13="","","Equals"))</f>
        <v/>
      </c>
      <c r="H416" s="18" t="str">
        <f>IF('Step 9 - CFO'!B13="","",IF('Step 9 - CFO'!C13="","",'Step 9 - CFO'!C13))</f>
        <v/>
      </c>
      <c r="I416" s="18" t="str">
        <f>IF('Step 9 - CFO'!B13="","","Organization Code")</f>
        <v/>
      </c>
      <c r="J416" s="17" t="str">
        <f>IF('Step 9 - CFO'!B13="","","Equals")</f>
        <v/>
      </c>
      <c r="K416" s="18" t="str">
        <f>IF('Step 9 - CFO'!B13="","",'Step 9 - CFO'!D13)</f>
        <v/>
      </c>
      <c r="L416" s="18" t="str">
        <f>IF('Step 9 - CFO'!B13="","","Other Criteria")</f>
        <v/>
      </c>
      <c r="M416" s="17" t="str">
        <f>IF('Step 9 - CFO'!B13="","","Equals")</f>
        <v/>
      </c>
      <c r="N416" s="18" t="str">
        <f>IF('Step 9 - CFO'!B13="","",'Step 9 - CFO'!E13)</f>
        <v/>
      </c>
      <c r="O416" s="18" t="str">
        <f>IF('Step 9 - CFO'!B13="","",IF('Step 9 - CFO'!F13="","","Total"))</f>
        <v/>
      </c>
      <c r="P416" s="17" t="str">
        <f>IF('Step 9 - CFO'!B13="","",IF('Step 9 - CFO'!F13="","","&gt;="))</f>
        <v/>
      </c>
      <c r="Q416" s="18" t="str">
        <f>IF('Step 9 - CFO'!B13="","",IF('Step 9 - CFO'!F13="","",'Step 9 - CFO'!F13))</f>
        <v/>
      </c>
      <c r="R416" s="18" t="str">
        <f>""</f>
        <v/>
      </c>
      <c r="S416" s="18" t="str">
        <f>""</f>
        <v/>
      </c>
      <c r="T416" s="18" t="str">
        <f>""</f>
        <v/>
      </c>
      <c r="U416" s="18" t="str">
        <f>IF('Step 9 - CFO'!B13="","",'Step 9 - CFO'!I13)</f>
        <v/>
      </c>
      <c r="V416" s="17" t="str">
        <f>IF('Step 9 - CFO'!B13="","",'Step 9 - CFO'!K13)</f>
        <v/>
      </c>
      <c r="W416" s="18" t="str">
        <f>IF('Step 9 - CFO'!B13="","",'Step 9 - CFO'!L13)</f>
        <v/>
      </c>
      <c r="X416" s="17" t="str">
        <f>IF('Step 9 - CFO'!B13="","",'Step 9 - CFO'!N13)</f>
        <v/>
      </c>
      <c r="Y416" s="18" t="str">
        <f>""</f>
        <v/>
      </c>
      <c r="Z416" s="18" t="str">
        <f>""</f>
        <v/>
      </c>
      <c r="AA416" s="18" t="str">
        <f>""</f>
        <v/>
      </c>
      <c r="AB416" s="18" t="str">
        <f>""</f>
        <v/>
      </c>
      <c r="AC416" s="18" t="str">
        <f>""</f>
        <v/>
      </c>
      <c r="AD416" s="18" t="str">
        <f>""</f>
        <v/>
      </c>
      <c r="AE416" s="18" t="str">
        <f>""</f>
        <v/>
      </c>
      <c r="AF416" s="18" t="str">
        <f>""</f>
        <v/>
      </c>
      <c r="AG416" s="18" t="str">
        <f>""</f>
        <v/>
      </c>
      <c r="AH416" s="18" t="str">
        <f>""</f>
        <v/>
      </c>
      <c r="AI416" s="18" t="str">
        <f>""</f>
        <v/>
      </c>
      <c r="AJ416" s="18" t="str">
        <f>""</f>
        <v/>
      </c>
      <c r="AK416" s="18" t="str">
        <f>""</f>
        <v/>
      </c>
      <c r="AL416" s="18" t="str">
        <f>""</f>
        <v/>
      </c>
      <c r="AM416" s="18" t="str">
        <f>""</f>
        <v/>
      </c>
    </row>
    <row r="417" spans="1:39" ht="15.75" customHeight="1" x14ac:dyDescent="0.25">
      <c r="A417" s="19" t="str">
        <f>IF('Step 9 - CFO'!B14="","","Active")</f>
        <v/>
      </c>
      <c r="B417" s="20" t="str">
        <f>IF('Step 9 - CFO'!B14="","",'Step 9 - CFO'!B14)</f>
        <v/>
      </c>
      <c r="C417" s="20" t="str">
        <f>IF('Step 9 - CFO'!B14="","",'Step 9 - CFO'!B14)</f>
        <v/>
      </c>
      <c r="D417" s="19" t="str">
        <f>IF('Step 9 - CFO'!B14="","",'Step 9 - CFO'!G14)</f>
        <v/>
      </c>
      <c r="E417" s="19" t="str">
        <f>IF('Step 9 - CFO'!B14="","",'Step 9 - CFO'!H14)</f>
        <v/>
      </c>
      <c r="F417" s="20" t="str">
        <f>IF('Step 9 - CFO'!B14="","",IF('Step 9 - CFO'!C14="","","Fund Code"))</f>
        <v/>
      </c>
      <c r="G417" s="19" t="str">
        <f>IF('Step 9 - CFO'!B14="","",IF('Step 9 - CFO'!C14="","","Equals"))</f>
        <v/>
      </c>
      <c r="H417" s="20" t="str">
        <f>IF('Step 9 - CFO'!B14="","",IF('Step 9 - CFO'!C14="","",'Step 9 - CFO'!C14))</f>
        <v/>
      </c>
      <c r="I417" s="20" t="str">
        <f>IF('Step 9 - CFO'!B14="","","Organization Code")</f>
        <v/>
      </c>
      <c r="J417" s="19" t="str">
        <f>IF('Step 9 - CFO'!B14="","","Equals")</f>
        <v/>
      </c>
      <c r="K417" s="20" t="str">
        <f>IF('Step 9 - CFO'!B14="","",'Step 9 - CFO'!D14)</f>
        <v/>
      </c>
      <c r="L417" s="20" t="str">
        <f>IF('Step 9 - CFO'!B14="","","Other Criteria")</f>
        <v/>
      </c>
      <c r="M417" s="19" t="str">
        <f>IF('Step 9 - CFO'!B14="","","Equals")</f>
        <v/>
      </c>
      <c r="N417" s="20" t="str">
        <f>IF('Step 9 - CFO'!B14="","",'Step 9 - CFO'!E14)</f>
        <v/>
      </c>
      <c r="O417" s="20" t="str">
        <f>IF('Step 9 - CFO'!B14="","",IF('Step 9 - CFO'!F14="","","Total"))</f>
        <v/>
      </c>
      <c r="P417" s="19" t="str">
        <f>IF('Step 9 - CFO'!B14="","",IF('Step 9 - CFO'!F14="","","&gt;="))</f>
        <v/>
      </c>
      <c r="Q417" s="20" t="str">
        <f>IF('Step 9 - CFO'!B14="","",IF('Step 9 - CFO'!F14="","",'Step 9 - CFO'!F14))</f>
        <v/>
      </c>
      <c r="R417" s="20" t="str">
        <f>""</f>
        <v/>
      </c>
      <c r="S417" s="20" t="str">
        <f>""</f>
        <v/>
      </c>
      <c r="T417" s="20" t="str">
        <f>""</f>
        <v/>
      </c>
      <c r="U417" s="20" t="str">
        <f>IF('Step 9 - CFO'!B14="","",'Step 9 - CFO'!I14)</f>
        <v/>
      </c>
      <c r="V417" s="19" t="str">
        <f>IF('Step 9 - CFO'!B14="","",'Step 9 - CFO'!K14)</f>
        <v/>
      </c>
      <c r="W417" s="20" t="str">
        <f>IF('Step 9 - CFO'!B14="","",'Step 9 - CFO'!L14)</f>
        <v/>
      </c>
      <c r="X417" s="19" t="str">
        <f>IF('Step 9 - CFO'!B14="","",'Step 9 - CFO'!N14)</f>
        <v/>
      </c>
      <c r="Y417" s="20" t="str">
        <f>""</f>
        <v/>
      </c>
      <c r="Z417" s="20" t="str">
        <f>""</f>
        <v/>
      </c>
      <c r="AA417" s="20" t="str">
        <f>""</f>
        <v/>
      </c>
      <c r="AB417" s="20" t="str">
        <f>""</f>
        <v/>
      </c>
      <c r="AC417" s="20" t="str">
        <f>""</f>
        <v/>
      </c>
      <c r="AD417" s="20" t="str">
        <f>""</f>
        <v/>
      </c>
      <c r="AE417" s="20" t="str">
        <f>""</f>
        <v/>
      </c>
      <c r="AF417" s="20" t="str">
        <f>""</f>
        <v/>
      </c>
      <c r="AG417" s="20" t="str">
        <f>""</f>
        <v/>
      </c>
      <c r="AH417" s="20" t="str">
        <f>""</f>
        <v/>
      </c>
      <c r="AI417" s="20" t="str">
        <f>""</f>
        <v/>
      </c>
      <c r="AJ417" s="20" t="str">
        <f>""</f>
        <v/>
      </c>
      <c r="AK417" s="20" t="str">
        <f>""</f>
        <v/>
      </c>
      <c r="AL417" s="20" t="str">
        <f>""</f>
        <v/>
      </c>
      <c r="AM417" s="20" t="str">
        <f>""</f>
        <v/>
      </c>
    </row>
    <row r="418" spans="1:39" ht="15.75" customHeight="1" x14ac:dyDescent="0.25">
      <c r="A418" s="17" t="str">
        <f>IF('Step 9 - CFO'!B15="","","Active")</f>
        <v/>
      </c>
      <c r="B418" s="18" t="str">
        <f>IF('Step 9 - CFO'!B15="","",'Step 9 - CFO'!B15)</f>
        <v/>
      </c>
      <c r="C418" s="18" t="str">
        <f>IF('Step 9 - CFO'!B15="","",'Step 9 - CFO'!B15)</f>
        <v/>
      </c>
      <c r="D418" s="17" t="str">
        <f>IF('Step 9 - CFO'!B15="","",'Step 9 - CFO'!G15)</f>
        <v/>
      </c>
      <c r="E418" s="17" t="str">
        <f>IF('Step 9 - CFO'!B15="","",'Step 9 - CFO'!H15)</f>
        <v/>
      </c>
      <c r="F418" s="18" t="str">
        <f>IF('Step 9 - CFO'!B15="","",IF('Step 9 - CFO'!C15="","","Fund Code"))</f>
        <v/>
      </c>
      <c r="G418" s="17" t="str">
        <f>IF('Step 9 - CFO'!B15="","",IF('Step 9 - CFO'!C15="","","Equals"))</f>
        <v/>
      </c>
      <c r="H418" s="18" t="str">
        <f>IF('Step 9 - CFO'!B15="","",IF('Step 9 - CFO'!C15="","",'Step 9 - CFO'!C15))</f>
        <v/>
      </c>
      <c r="I418" s="18" t="str">
        <f>IF('Step 9 - CFO'!B15="","","Organization Code")</f>
        <v/>
      </c>
      <c r="J418" s="17" t="str">
        <f>IF('Step 9 - CFO'!B15="","","Equals")</f>
        <v/>
      </c>
      <c r="K418" s="18" t="str">
        <f>IF('Step 9 - CFO'!B15="","",'Step 9 - CFO'!D15)</f>
        <v/>
      </c>
      <c r="L418" s="18" t="str">
        <f>IF('Step 9 - CFO'!B15="","","Other Criteria")</f>
        <v/>
      </c>
      <c r="M418" s="17" t="str">
        <f>IF('Step 9 - CFO'!B15="","","Equals")</f>
        <v/>
      </c>
      <c r="N418" s="18" t="str">
        <f>IF('Step 9 - CFO'!B15="","",'Step 9 - CFO'!E15)</f>
        <v/>
      </c>
      <c r="O418" s="18" t="str">
        <f>IF('Step 9 - CFO'!B15="","",IF('Step 9 - CFO'!F15="","","Total"))</f>
        <v/>
      </c>
      <c r="P418" s="17" t="str">
        <f>IF('Step 9 - CFO'!B15="","",IF('Step 9 - CFO'!F15="","","&gt;="))</f>
        <v/>
      </c>
      <c r="Q418" s="18" t="str">
        <f>IF('Step 9 - CFO'!B15="","",IF('Step 9 - CFO'!F15="","",'Step 9 - CFO'!F15))</f>
        <v/>
      </c>
      <c r="R418" s="18" t="str">
        <f>""</f>
        <v/>
      </c>
      <c r="S418" s="18" t="str">
        <f>""</f>
        <v/>
      </c>
      <c r="T418" s="18" t="str">
        <f>""</f>
        <v/>
      </c>
      <c r="U418" s="18" t="str">
        <f>IF('Step 9 - CFO'!B15="","",'Step 9 - CFO'!I15)</f>
        <v/>
      </c>
      <c r="V418" s="17" t="str">
        <f>IF('Step 9 - CFO'!B15="","",'Step 9 - CFO'!K15)</f>
        <v/>
      </c>
      <c r="W418" s="18" t="str">
        <f>IF('Step 9 - CFO'!B15="","",'Step 9 - CFO'!L15)</f>
        <v/>
      </c>
      <c r="X418" s="17" t="str">
        <f>IF('Step 9 - CFO'!B15="","",'Step 9 - CFO'!N15)</f>
        <v/>
      </c>
      <c r="Y418" s="18" t="str">
        <f>""</f>
        <v/>
      </c>
      <c r="Z418" s="18" t="str">
        <f>""</f>
        <v/>
      </c>
      <c r="AA418" s="18" t="str">
        <f>""</f>
        <v/>
      </c>
      <c r="AB418" s="18" t="str">
        <f>""</f>
        <v/>
      </c>
      <c r="AC418" s="18" t="str">
        <f>""</f>
        <v/>
      </c>
      <c r="AD418" s="18" t="str">
        <f>""</f>
        <v/>
      </c>
      <c r="AE418" s="18" t="str">
        <f>""</f>
        <v/>
      </c>
      <c r="AF418" s="18" t="str">
        <f>""</f>
        <v/>
      </c>
      <c r="AG418" s="18" t="str">
        <f>""</f>
        <v/>
      </c>
      <c r="AH418" s="18" t="str">
        <f>""</f>
        <v/>
      </c>
      <c r="AI418" s="18" t="str">
        <f>""</f>
        <v/>
      </c>
      <c r="AJ418" s="18" t="str">
        <f>""</f>
        <v/>
      </c>
      <c r="AK418" s="18" t="str">
        <f>""</f>
        <v/>
      </c>
      <c r="AL418" s="18" t="str">
        <f>""</f>
        <v/>
      </c>
      <c r="AM418" s="18" t="str">
        <f>""</f>
        <v/>
      </c>
    </row>
    <row r="419" spans="1:39" ht="15.75" customHeight="1" x14ac:dyDescent="0.25">
      <c r="A419" s="19" t="str">
        <f>IF('Step 9 - CFO'!B16="","","Active")</f>
        <v/>
      </c>
      <c r="B419" s="20" t="str">
        <f>IF('Step 9 - CFO'!B16="","",'Step 9 - CFO'!B16)</f>
        <v/>
      </c>
      <c r="C419" s="20" t="str">
        <f>IF('Step 9 - CFO'!B16="","",'Step 9 - CFO'!B16)</f>
        <v/>
      </c>
      <c r="D419" s="19" t="str">
        <f>IF('Step 9 - CFO'!B16="","",'Step 9 - CFO'!G16)</f>
        <v/>
      </c>
      <c r="E419" s="19" t="str">
        <f>IF('Step 9 - CFO'!B16="","",'Step 9 - CFO'!H16)</f>
        <v/>
      </c>
      <c r="F419" s="20" t="str">
        <f>IF('Step 9 - CFO'!B16="","",IF('Step 9 - CFO'!C16="","","Fund Code"))</f>
        <v/>
      </c>
      <c r="G419" s="19" t="str">
        <f>IF('Step 9 - CFO'!B16="","",IF('Step 9 - CFO'!C16="","","Equals"))</f>
        <v/>
      </c>
      <c r="H419" s="20" t="str">
        <f>IF('Step 9 - CFO'!B16="","",IF('Step 9 - CFO'!C16="","",'Step 9 - CFO'!C16))</f>
        <v/>
      </c>
      <c r="I419" s="20" t="str">
        <f>IF('Step 9 - CFO'!B16="","","Organization Code")</f>
        <v/>
      </c>
      <c r="J419" s="19" t="str">
        <f>IF('Step 9 - CFO'!B16="","","Equals")</f>
        <v/>
      </c>
      <c r="K419" s="20" t="str">
        <f>IF('Step 9 - CFO'!B16="","",'Step 9 - CFO'!D16)</f>
        <v/>
      </c>
      <c r="L419" s="20" t="str">
        <f>IF('Step 9 - CFO'!B16="","","Other Criteria")</f>
        <v/>
      </c>
      <c r="M419" s="19" t="str">
        <f>IF('Step 9 - CFO'!B16="","","Equals")</f>
        <v/>
      </c>
      <c r="N419" s="20" t="str">
        <f>IF('Step 9 - CFO'!B16="","",'Step 9 - CFO'!E16)</f>
        <v/>
      </c>
      <c r="O419" s="20" t="str">
        <f>IF('Step 9 - CFO'!B16="","",IF('Step 9 - CFO'!F16="","","Total"))</f>
        <v/>
      </c>
      <c r="P419" s="19" t="str">
        <f>IF('Step 9 - CFO'!B16="","",IF('Step 9 - CFO'!F16="","","&gt;="))</f>
        <v/>
      </c>
      <c r="Q419" s="20" t="str">
        <f>IF('Step 9 - CFO'!B16="","",IF('Step 9 - CFO'!F16="","",'Step 9 - CFO'!F16))</f>
        <v/>
      </c>
      <c r="R419" s="20" t="str">
        <f>""</f>
        <v/>
      </c>
      <c r="S419" s="20" t="str">
        <f>""</f>
        <v/>
      </c>
      <c r="T419" s="20" t="str">
        <f>""</f>
        <v/>
      </c>
      <c r="U419" s="20" t="str">
        <f>IF('Step 9 - CFO'!B16="","",'Step 9 - CFO'!I16)</f>
        <v/>
      </c>
      <c r="V419" s="19" t="str">
        <f>IF('Step 9 - CFO'!B16="","",'Step 9 - CFO'!K16)</f>
        <v/>
      </c>
      <c r="W419" s="20" t="str">
        <f>IF('Step 9 - CFO'!B16="","",'Step 9 - CFO'!L16)</f>
        <v/>
      </c>
      <c r="X419" s="19" t="str">
        <f>IF('Step 9 - CFO'!B16="","",'Step 9 - CFO'!N16)</f>
        <v/>
      </c>
      <c r="Y419" s="20" t="str">
        <f>""</f>
        <v/>
      </c>
      <c r="Z419" s="20" t="str">
        <f>""</f>
        <v/>
      </c>
      <c r="AA419" s="20" t="str">
        <f>""</f>
        <v/>
      </c>
      <c r="AB419" s="20" t="str">
        <f>""</f>
        <v/>
      </c>
      <c r="AC419" s="20" t="str">
        <f>""</f>
        <v/>
      </c>
      <c r="AD419" s="20" t="str">
        <f>""</f>
        <v/>
      </c>
      <c r="AE419" s="20" t="str">
        <f>""</f>
        <v/>
      </c>
      <c r="AF419" s="20" t="str">
        <f>""</f>
        <v/>
      </c>
      <c r="AG419" s="20" t="str">
        <f>""</f>
        <v/>
      </c>
      <c r="AH419" s="20" t="str">
        <f>""</f>
        <v/>
      </c>
      <c r="AI419" s="20" t="str">
        <f>""</f>
        <v/>
      </c>
      <c r="AJ419" s="20" t="str">
        <f>""</f>
        <v/>
      </c>
      <c r="AK419" s="20" t="str">
        <f>""</f>
        <v/>
      </c>
      <c r="AL419" s="20" t="str">
        <f>""</f>
        <v/>
      </c>
      <c r="AM419" s="20" t="str">
        <f>""</f>
        <v/>
      </c>
    </row>
    <row r="420" spans="1:39" ht="15.75" customHeight="1" x14ac:dyDescent="0.25">
      <c r="A420" s="17" t="str">
        <f>IF('Step 9 - CFO'!B17="","","Active")</f>
        <v/>
      </c>
      <c r="B420" s="18" t="str">
        <f>IF('Step 9 - CFO'!B17="","",'Step 9 - CFO'!B17)</f>
        <v/>
      </c>
      <c r="C420" s="18" t="str">
        <f>IF('Step 9 - CFO'!B17="","",'Step 9 - CFO'!B17)</f>
        <v/>
      </c>
      <c r="D420" s="17" t="str">
        <f>IF('Step 9 - CFO'!B17="","",'Step 9 - CFO'!G17)</f>
        <v/>
      </c>
      <c r="E420" s="17" t="str">
        <f>IF('Step 9 - CFO'!B17="","",'Step 9 - CFO'!H17)</f>
        <v/>
      </c>
      <c r="F420" s="18" t="str">
        <f>IF('Step 9 - CFO'!B17="","",IF('Step 9 - CFO'!C17="","","Fund Code"))</f>
        <v/>
      </c>
      <c r="G420" s="17" t="str">
        <f>IF('Step 9 - CFO'!B17="","",IF('Step 9 - CFO'!C17="","","Equals"))</f>
        <v/>
      </c>
      <c r="H420" s="18" t="str">
        <f>IF('Step 9 - CFO'!B17="","",IF('Step 9 - CFO'!C17="","",'Step 9 - CFO'!C17))</f>
        <v/>
      </c>
      <c r="I420" s="18" t="str">
        <f>IF('Step 9 - CFO'!B17="","","Organization Code")</f>
        <v/>
      </c>
      <c r="J420" s="17" t="str">
        <f>IF('Step 9 - CFO'!B17="","","Equals")</f>
        <v/>
      </c>
      <c r="K420" s="18" t="str">
        <f>IF('Step 9 - CFO'!B17="","",'Step 9 - CFO'!D17)</f>
        <v/>
      </c>
      <c r="L420" s="18" t="str">
        <f>IF('Step 9 - CFO'!B17="","","Other Criteria")</f>
        <v/>
      </c>
      <c r="M420" s="17" t="str">
        <f>IF('Step 9 - CFO'!B17="","","Equals")</f>
        <v/>
      </c>
      <c r="N420" s="18" t="str">
        <f>IF('Step 9 - CFO'!B17="","",'Step 9 - CFO'!E17)</f>
        <v/>
      </c>
      <c r="O420" s="18" t="str">
        <f>IF('Step 9 - CFO'!B17="","",IF('Step 9 - CFO'!F17="","","Total"))</f>
        <v/>
      </c>
      <c r="P420" s="17" t="str">
        <f>IF('Step 9 - CFO'!B17="","",IF('Step 9 - CFO'!F17="","","&gt;="))</f>
        <v/>
      </c>
      <c r="Q420" s="18" t="str">
        <f>IF('Step 9 - CFO'!B17="","",IF('Step 9 - CFO'!F17="","",'Step 9 - CFO'!F17))</f>
        <v/>
      </c>
      <c r="R420" s="18" t="str">
        <f>""</f>
        <v/>
      </c>
      <c r="S420" s="18" t="str">
        <f>""</f>
        <v/>
      </c>
      <c r="T420" s="18" t="str">
        <f>""</f>
        <v/>
      </c>
      <c r="U420" s="18" t="str">
        <f>IF('Step 9 - CFO'!B17="","",'Step 9 - CFO'!I17)</f>
        <v/>
      </c>
      <c r="V420" s="17" t="str">
        <f>IF('Step 9 - CFO'!B17="","",'Step 9 - CFO'!K17)</f>
        <v/>
      </c>
      <c r="W420" s="18" t="str">
        <f>IF('Step 9 - CFO'!B17="","",'Step 9 - CFO'!L17)</f>
        <v/>
      </c>
      <c r="X420" s="17" t="str">
        <f>IF('Step 9 - CFO'!B17="","",'Step 9 - CFO'!N17)</f>
        <v/>
      </c>
      <c r="Y420" s="18" t="str">
        <f>""</f>
        <v/>
      </c>
      <c r="Z420" s="18" t="str">
        <f>""</f>
        <v/>
      </c>
      <c r="AA420" s="18" t="str">
        <f>""</f>
        <v/>
      </c>
      <c r="AB420" s="18" t="str">
        <f>""</f>
        <v/>
      </c>
      <c r="AC420" s="18" t="str">
        <f>""</f>
        <v/>
      </c>
      <c r="AD420" s="18" t="str">
        <f>""</f>
        <v/>
      </c>
      <c r="AE420" s="18" t="str">
        <f>""</f>
        <v/>
      </c>
      <c r="AF420" s="18" t="str">
        <f>""</f>
        <v/>
      </c>
      <c r="AG420" s="18" t="str">
        <f>""</f>
        <v/>
      </c>
      <c r="AH420" s="18" t="str">
        <f>""</f>
        <v/>
      </c>
      <c r="AI420" s="18" t="str">
        <f>""</f>
        <v/>
      </c>
      <c r="AJ420" s="18" t="str">
        <f>""</f>
        <v/>
      </c>
      <c r="AK420" s="18" t="str">
        <f>""</f>
        <v/>
      </c>
      <c r="AL420" s="18" t="str">
        <f>""</f>
        <v/>
      </c>
      <c r="AM420" s="18" t="str">
        <f>""</f>
        <v/>
      </c>
    </row>
    <row r="421" spans="1:39" ht="15.75" customHeight="1" x14ac:dyDescent="0.25">
      <c r="A421" s="19" t="str">
        <f>IF('Step 9 - CFO'!B18="","","Active")</f>
        <v/>
      </c>
      <c r="B421" s="20" t="str">
        <f>IF('Step 9 - CFO'!B18="","",'Step 9 - CFO'!B18)</f>
        <v/>
      </c>
      <c r="C421" s="20" t="str">
        <f>IF('Step 9 - CFO'!B18="","",'Step 9 - CFO'!B18)</f>
        <v/>
      </c>
      <c r="D421" s="19" t="str">
        <f>IF('Step 9 - CFO'!B18="","",'Step 9 - CFO'!G18)</f>
        <v/>
      </c>
      <c r="E421" s="19" t="str">
        <f>IF('Step 9 - CFO'!B18="","",'Step 9 - CFO'!H18)</f>
        <v/>
      </c>
      <c r="F421" s="20" t="str">
        <f>IF('Step 9 - CFO'!B18="","",IF('Step 9 - CFO'!C18="","","Fund Code"))</f>
        <v/>
      </c>
      <c r="G421" s="19" t="str">
        <f>IF('Step 9 - CFO'!B18="","",IF('Step 9 - CFO'!C18="","","Equals"))</f>
        <v/>
      </c>
      <c r="H421" s="20" t="str">
        <f>IF('Step 9 - CFO'!B18="","",IF('Step 9 - CFO'!C18="","",'Step 9 - CFO'!C18))</f>
        <v/>
      </c>
      <c r="I421" s="20" t="str">
        <f>IF('Step 9 - CFO'!B18="","","Organization Code")</f>
        <v/>
      </c>
      <c r="J421" s="19" t="str">
        <f>IF('Step 9 - CFO'!B18="","","Equals")</f>
        <v/>
      </c>
      <c r="K421" s="20" t="str">
        <f>IF('Step 9 - CFO'!B18="","",'Step 9 - CFO'!D18)</f>
        <v/>
      </c>
      <c r="L421" s="20" t="str">
        <f>IF('Step 9 - CFO'!B18="","","Other Criteria")</f>
        <v/>
      </c>
      <c r="M421" s="19" t="str">
        <f>IF('Step 9 - CFO'!B18="","","Equals")</f>
        <v/>
      </c>
      <c r="N421" s="20" t="str">
        <f>IF('Step 9 - CFO'!B18="","",'Step 9 - CFO'!E18)</f>
        <v/>
      </c>
      <c r="O421" s="20" t="str">
        <f>IF('Step 9 - CFO'!B18="","",IF('Step 9 - CFO'!F18="","","Total"))</f>
        <v/>
      </c>
      <c r="P421" s="19" t="str">
        <f>IF('Step 9 - CFO'!B18="","",IF('Step 9 - CFO'!F18="","","&gt;="))</f>
        <v/>
      </c>
      <c r="Q421" s="20" t="str">
        <f>IF('Step 9 - CFO'!B18="","",IF('Step 9 - CFO'!F18="","",'Step 9 - CFO'!F18))</f>
        <v/>
      </c>
      <c r="R421" s="20" t="str">
        <f>""</f>
        <v/>
      </c>
      <c r="S421" s="20" t="str">
        <f>""</f>
        <v/>
      </c>
      <c r="T421" s="20" t="str">
        <f>""</f>
        <v/>
      </c>
      <c r="U421" s="20" t="str">
        <f>IF('Step 9 - CFO'!B18="","",'Step 9 - CFO'!I18)</f>
        <v/>
      </c>
      <c r="V421" s="19" t="str">
        <f>IF('Step 9 - CFO'!B18="","",'Step 9 - CFO'!K18)</f>
        <v/>
      </c>
      <c r="W421" s="20" t="str">
        <f>IF('Step 9 - CFO'!B18="","",'Step 9 - CFO'!L18)</f>
        <v/>
      </c>
      <c r="X421" s="19" t="str">
        <f>IF('Step 9 - CFO'!B18="","",'Step 9 - CFO'!N18)</f>
        <v/>
      </c>
      <c r="Y421" s="20" t="str">
        <f>""</f>
        <v/>
      </c>
      <c r="Z421" s="20" t="str">
        <f>""</f>
        <v/>
      </c>
      <c r="AA421" s="20" t="str">
        <f>""</f>
        <v/>
      </c>
      <c r="AB421" s="20" t="str">
        <f>""</f>
        <v/>
      </c>
      <c r="AC421" s="20" t="str">
        <f>""</f>
        <v/>
      </c>
      <c r="AD421" s="20" t="str">
        <f>""</f>
        <v/>
      </c>
      <c r="AE421" s="20" t="str">
        <f>""</f>
        <v/>
      </c>
      <c r="AF421" s="20" t="str">
        <f>""</f>
        <v/>
      </c>
      <c r="AG421" s="20" t="str">
        <f>""</f>
        <v/>
      </c>
      <c r="AH421" s="20" t="str">
        <f>""</f>
        <v/>
      </c>
      <c r="AI421" s="20" t="str">
        <f>""</f>
        <v/>
      </c>
      <c r="AJ421" s="20" t="str">
        <f>""</f>
        <v/>
      </c>
      <c r="AK421" s="20" t="str">
        <f>""</f>
        <v/>
      </c>
      <c r="AL421" s="20" t="str">
        <f>""</f>
        <v/>
      </c>
      <c r="AM421" s="20" t="str">
        <f>""</f>
        <v/>
      </c>
    </row>
    <row r="422" spans="1:39" ht="15.75" customHeight="1" x14ac:dyDescent="0.25">
      <c r="A422" s="17" t="str">
        <f>IF('Step 9 - CFO'!B19="","","Active")</f>
        <v/>
      </c>
      <c r="B422" s="18" t="str">
        <f>IF('Step 9 - CFO'!B19="","",'Step 9 - CFO'!B19)</f>
        <v/>
      </c>
      <c r="C422" s="18" t="str">
        <f>IF('Step 9 - CFO'!B19="","",'Step 9 - CFO'!B19)</f>
        <v/>
      </c>
      <c r="D422" s="17" t="str">
        <f>IF('Step 9 - CFO'!B19="","",'Step 9 - CFO'!G19)</f>
        <v/>
      </c>
      <c r="E422" s="17" t="str">
        <f>IF('Step 9 - CFO'!B19="","",'Step 9 - CFO'!H19)</f>
        <v/>
      </c>
      <c r="F422" s="18" t="str">
        <f>IF('Step 9 - CFO'!B19="","",IF('Step 9 - CFO'!C19="","","Fund Code"))</f>
        <v/>
      </c>
      <c r="G422" s="17" t="str">
        <f>IF('Step 9 - CFO'!B19="","",IF('Step 9 - CFO'!C19="","","Equals"))</f>
        <v/>
      </c>
      <c r="H422" s="18" t="str">
        <f>IF('Step 9 - CFO'!B19="","",IF('Step 9 - CFO'!C19="","",'Step 9 - CFO'!C19))</f>
        <v/>
      </c>
      <c r="I422" s="18" t="str">
        <f>IF('Step 9 - CFO'!B19="","","Organization Code")</f>
        <v/>
      </c>
      <c r="J422" s="17" t="str">
        <f>IF('Step 9 - CFO'!B19="","","Equals")</f>
        <v/>
      </c>
      <c r="K422" s="18" t="str">
        <f>IF('Step 9 - CFO'!B19="","",'Step 9 - CFO'!D19)</f>
        <v/>
      </c>
      <c r="L422" s="18" t="str">
        <f>IF('Step 9 - CFO'!B19="","","Other Criteria")</f>
        <v/>
      </c>
      <c r="M422" s="17" t="str">
        <f>IF('Step 9 - CFO'!B19="","","Equals")</f>
        <v/>
      </c>
      <c r="N422" s="18" t="str">
        <f>IF('Step 9 - CFO'!B19="","",'Step 9 - CFO'!E19)</f>
        <v/>
      </c>
      <c r="O422" s="18" t="str">
        <f>IF('Step 9 - CFO'!B19="","",IF('Step 9 - CFO'!F19="","","Total"))</f>
        <v/>
      </c>
      <c r="P422" s="17" t="str">
        <f>IF('Step 9 - CFO'!B19="","",IF('Step 9 - CFO'!F19="","","&gt;="))</f>
        <v/>
      </c>
      <c r="Q422" s="18" t="str">
        <f>IF('Step 9 - CFO'!B19="","",IF('Step 9 - CFO'!F19="","",'Step 9 - CFO'!F19))</f>
        <v/>
      </c>
      <c r="R422" s="18" t="str">
        <f>""</f>
        <v/>
      </c>
      <c r="S422" s="18" t="str">
        <f>""</f>
        <v/>
      </c>
      <c r="T422" s="18" t="str">
        <f>""</f>
        <v/>
      </c>
      <c r="U422" s="18" t="str">
        <f>IF('Step 9 - CFO'!B19="","",'Step 9 - CFO'!I19)</f>
        <v/>
      </c>
      <c r="V422" s="17" t="str">
        <f>IF('Step 9 - CFO'!B19="","",'Step 9 - CFO'!K19)</f>
        <v/>
      </c>
      <c r="W422" s="18" t="str">
        <f>IF('Step 9 - CFO'!B19="","",'Step 9 - CFO'!L19)</f>
        <v/>
      </c>
      <c r="X422" s="17" t="str">
        <f>IF('Step 9 - CFO'!B19="","",'Step 9 - CFO'!N19)</f>
        <v/>
      </c>
      <c r="Y422" s="18" t="str">
        <f>""</f>
        <v/>
      </c>
      <c r="Z422" s="18" t="str">
        <f>""</f>
        <v/>
      </c>
      <c r="AA422" s="18" t="str">
        <f>""</f>
        <v/>
      </c>
      <c r="AB422" s="18" t="str">
        <f>""</f>
        <v/>
      </c>
      <c r="AC422" s="18" t="str">
        <f>""</f>
        <v/>
      </c>
      <c r="AD422" s="18" t="str">
        <f>""</f>
        <v/>
      </c>
      <c r="AE422" s="18" t="str">
        <f>""</f>
        <v/>
      </c>
      <c r="AF422" s="18" t="str">
        <f>""</f>
        <v/>
      </c>
      <c r="AG422" s="18" t="str">
        <f>""</f>
        <v/>
      </c>
      <c r="AH422" s="18" t="str">
        <f>""</f>
        <v/>
      </c>
      <c r="AI422" s="18" t="str">
        <f>""</f>
        <v/>
      </c>
      <c r="AJ422" s="18" t="str">
        <f>""</f>
        <v/>
      </c>
      <c r="AK422" s="18" t="str">
        <f>""</f>
        <v/>
      </c>
      <c r="AL422" s="18" t="str">
        <f>""</f>
        <v/>
      </c>
      <c r="AM422" s="18" t="str">
        <f>""</f>
        <v/>
      </c>
    </row>
    <row r="423" spans="1:39" ht="15.75" customHeight="1" x14ac:dyDescent="0.25">
      <c r="A423" s="19" t="str">
        <f>IF('Step 9 - CFO'!B20="","","Active")</f>
        <v/>
      </c>
      <c r="B423" s="20" t="str">
        <f>IF('Step 9 - CFO'!B20="","",'Step 9 - CFO'!B20)</f>
        <v/>
      </c>
      <c r="C423" s="20" t="str">
        <f>IF('Step 9 - CFO'!B20="","",'Step 9 - CFO'!B20)</f>
        <v/>
      </c>
      <c r="D423" s="19" t="str">
        <f>IF('Step 9 - CFO'!B20="","",'Step 9 - CFO'!G20)</f>
        <v/>
      </c>
      <c r="E423" s="19" t="str">
        <f>IF('Step 9 - CFO'!B20="","",'Step 9 - CFO'!H20)</f>
        <v/>
      </c>
      <c r="F423" s="20" t="str">
        <f>IF('Step 9 - CFO'!B20="","",IF('Step 9 - CFO'!C20="","","Fund Code"))</f>
        <v/>
      </c>
      <c r="G423" s="19" t="str">
        <f>IF('Step 9 - CFO'!B20="","",IF('Step 9 - CFO'!C20="","","Equals"))</f>
        <v/>
      </c>
      <c r="H423" s="20" t="str">
        <f>IF('Step 9 - CFO'!B20="","",IF('Step 9 - CFO'!C20="","",'Step 9 - CFO'!C20))</f>
        <v/>
      </c>
      <c r="I423" s="20" t="str">
        <f>IF('Step 9 - CFO'!B20="","","Organization Code")</f>
        <v/>
      </c>
      <c r="J423" s="19" t="str">
        <f>IF('Step 9 - CFO'!B20="","","Equals")</f>
        <v/>
      </c>
      <c r="K423" s="20" t="str">
        <f>IF('Step 9 - CFO'!B20="","",'Step 9 - CFO'!D20)</f>
        <v/>
      </c>
      <c r="L423" s="20" t="str">
        <f>IF('Step 9 - CFO'!B20="","","Other Criteria")</f>
        <v/>
      </c>
      <c r="M423" s="19" t="str">
        <f>IF('Step 9 - CFO'!B20="","","Equals")</f>
        <v/>
      </c>
      <c r="N423" s="20" t="str">
        <f>IF('Step 9 - CFO'!B20="","",'Step 9 - CFO'!E20)</f>
        <v/>
      </c>
      <c r="O423" s="20" t="str">
        <f>IF('Step 9 - CFO'!B20="","",IF('Step 9 - CFO'!F20="","","Total"))</f>
        <v/>
      </c>
      <c r="P423" s="19" t="str">
        <f>IF('Step 9 - CFO'!B20="","",IF('Step 9 - CFO'!F20="","","&gt;="))</f>
        <v/>
      </c>
      <c r="Q423" s="20" t="str">
        <f>IF('Step 9 - CFO'!B20="","",IF('Step 9 - CFO'!F20="","",'Step 9 - CFO'!F20))</f>
        <v/>
      </c>
      <c r="R423" s="20" t="str">
        <f>""</f>
        <v/>
      </c>
      <c r="S423" s="20" t="str">
        <f>""</f>
        <v/>
      </c>
      <c r="T423" s="20" t="str">
        <f>""</f>
        <v/>
      </c>
      <c r="U423" s="20" t="str">
        <f>IF('Step 9 - CFO'!B20="","",'Step 9 - CFO'!I20)</f>
        <v/>
      </c>
      <c r="V423" s="19" t="str">
        <f>IF('Step 9 - CFO'!B20="","",'Step 9 - CFO'!K20)</f>
        <v/>
      </c>
      <c r="W423" s="20" t="str">
        <f>IF('Step 9 - CFO'!B20="","",'Step 9 - CFO'!L20)</f>
        <v/>
      </c>
      <c r="X423" s="19" t="str">
        <f>IF('Step 9 - CFO'!B20="","",'Step 9 - CFO'!N20)</f>
        <v/>
      </c>
      <c r="Y423" s="20" t="str">
        <f>""</f>
        <v/>
      </c>
      <c r="Z423" s="20" t="str">
        <f>""</f>
        <v/>
      </c>
      <c r="AA423" s="20" t="str">
        <f>""</f>
        <v/>
      </c>
      <c r="AB423" s="20" t="str">
        <f>""</f>
        <v/>
      </c>
      <c r="AC423" s="20" t="str">
        <f>""</f>
        <v/>
      </c>
      <c r="AD423" s="20" t="str">
        <f>""</f>
        <v/>
      </c>
      <c r="AE423" s="20" t="str">
        <f>""</f>
        <v/>
      </c>
      <c r="AF423" s="20" t="str">
        <f>""</f>
        <v/>
      </c>
      <c r="AG423" s="20" t="str">
        <f>""</f>
        <v/>
      </c>
      <c r="AH423" s="20" t="str">
        <f>""</f>
        <v/>
      </c>
      <c r="AI423" s="20" t="str">
        <f>""</f>
        <v/>
      </c>
      <c r="AJ423" s="20" t="str">
        <f>""</f>
        <v/>
      </c>
      <c r="AK423" s="20" t="str">
        <f>""</f>
        <v/>
      </c>
      <c r="AL423" s="20" t="str">
        <f>""</f>
        <v/>
      </c>
      <c r="AM423" s="20" t="str">
        <f>""</f>
        <v/>
      </c>
    </row>
    <row r="424" spans="1:39" ht="15.75" customHeight="1" x14ac:dyDescent="0.25">
      <c r="A424" s="17" t="str">
        <f>IF('Step 9 - CFO'!B21="","","Active")</f>
        <v/>
      </c>
      <c r="B424" s="18" t="str">
        <f>IF('Step 9 - CFO'!B21="","",'Step 9 - CFO'!B21)</f>
        <v/>
      </c>
      <c r="C424" s="18" t="str">
        <f>IF('Step 9 - CFO'!B21="","",'Step 9 - CFO'!B21)</f>
        <v/>
      </c>
      <c r="D424" s="17" t="str">
        <f>IF('Step 9 - CFO'!B21="","",'Step 9 - CFO'!G21)</f>
        <v/>
      </c>
      <c r="E424" s="17" t="str">
        <f>IF('Step 9 - CFO'!B21="","",'Step 9 - CFO'!H21)</f>
        <v/>
      </c>
      <c r="F424" s="18" t="str">
        <f>IF('Step 9 - CFO'!B21="","",IF('Step 9 - CFO'!C21="","","Fund Code"))</f>
        <v/>
      </c>
      <c r="G424" s="17" t="str">
        <f>IF('Step 9 - CFO'!B21="","",IF('Step 9 - CFO'!C21="","","Equals"))</f>
        <v/>
      </c>
      <c r="H424" s="18" t="str">
        <f>IF('Step 9 - CFO'!B21="","",IF('Step 9 - CFO'!C21="","",'Step 9 - CFO'!C21))</f>
        <v/>
      </c>
      <c r="I424" s="18" t="str">
        <f>IF('Step 9 - CFO'!B21="","","Organization Code")</f>
        <v/>
      </c>
      <c r="J424" s="17" t="str">
        <f>IF('Step 9 - CFO'!B21="","","Equals")</f>
        <v/>
      </c>
      <c r="K424" s="18" t="str">
        <f>IF('Step 9 - CFO'!B21="","",'Step 9 - CFO'!D21)</f>
        <v/>
      </c>
      <c r="L424" s="18" t="str">
        <f>IF('Step 9 - CFO'!B21="","","Other Criteria")</f>
        <v/>
      </c>
      <c r="M424" s="17" t="str">
        <f>IF('Step 9 - CFO'!B21="","","Equals")</f>
        <v/>
      </c>
      <c r="N424" s="18" t="str">
        <f>IF('Step 9 - CFO'!B21="","",'Step 9 - CFO'!E21)</f>
        <v/>
      </c>
      <c r="O424" s="18" t="str">
        <f>IF('Step 9 - CFO'!B21="","",IF('Step 9 - CFO'!F21="","","Total"))</f>
        <v/>
      </c>
      <c r="P424" s="17" t="str">
        <f>IF('Step 9 - CFO'!B21="","",IF('Step 9 - CFO'!F21="","","&gt;="))</f>
        <v/>
      </c>
      <c r="Q424" s="18" t="str">
        <f>IF('Step 9 - CFO'!B21="","",IF('Step 9 - CFO'!F21="","",'Step 9 - CFO'!F21))</f>
        <v/>
      </c>
      <c r="R424" s="18" t="str">
        <f>""</f>
        <v/>
      </c>
      <c r="S424" s="18" t="str">
        <f>""</f>
        <v/>
      </c>
      <c r="T424" s="18" t="str">
        <f>""</f>
        <v/>
      </c>
      <c r="U424" s="18" t="str">
        <f>IF('Step 9 - CFO'!B21="","",'Step 9 - CFO'!I21)</f>
        <v/>
      </c>
      <c r="V424" s="17" t="str">
        <f>IF('Step 9 - CFO'!B21="","",'Step 9 - CFO'!K21)</f>
        <v/>
      </c>
      <c r="W424" s="18" t="str">
        <f>IF('Step 9 - CFO'!B21="","",'Step 9 - CFO'!L21)</f>
        <v/>
      </c>
      <c r="X424" s="17" t="str">
        <f>IF('Step 9 - CFO'!B21="","",'Step 9 - CFO'!N21)</f>
        <v/>
      </c>
      <c r="Y424" s="18" t="str">
        <f>""</f>
        <v/>
      </c>
      <c r="Z424" s="18" t="str">
        <f>""</f>
        <v/>
      </c>
      <c r="AA424" s="18" t="str">
        <f>""</f>
        <v/>
      </c>
      <c r="AB424" s="18" t="str">
        <f>""</f>
        <v/>
      </c>
      <c r="AC424" s="18" t="str">
        <f>""</f>
        <v/>
      </c>
      <c r="AD424" s="18" t="str">
        <f>""</f>
        <v/>
      </c>
      <c r="AE424" s="18" t="str">
        <f>""</f>
        <v/>
      </c>
      <c r="AF424" s="18" t="str">
        <f>""</f>
        <v/>
      </c>
      <c r="AG424" s="18" t="str">
        <f>""</f>
        <v/>
      </c>
      <c r="AH424" s="18" t="str">
        <f>""</f>
        <v/>
      </c>
      <c r="AI424" s="18" t="str">
        <f>""</f>
        <v/>
      </c>
      <c r="AJ424" s="18" t="str">
        <f>""</f>
        <v/>
      </c>
      <c r="AK424" s="18" t="str">
        <f>""</f>
        <v/>
      </c>
      <c r="AL424" s="18" t="str">
        <f>""</f>
        <v/>
      </c>
      <c r="AM424" s="18" t="str">
        <f>""</f>
        <v/>
      </c>
    </row>
    <row r="425" spans="1:39" ht="15.75" customHeight="1" x14ac:dyDescent="0.25">
      <c r="A425" s="19" t="str">
        <f>IF('Step 9 - CFO'!B22="","","Active")</f>
        <v/>
      </c>
      <c r="B425" s="20" t="str">
        <f>IF('Step 9 - CFO'!B22="","",'Step 9 - CFO'!B22)</f>
        <v/>
      </c>
      <c r="C425" s="20" t="str">
        <f>IF('Step 9 - CFO'!B22="","",'Step 9 - CFO'!B22)</f>
        <v/>
      </c>
      <c r="D425" s="19" t="str">
        <f>IF('Step 9 - CFO'!B22="","",'Step 9 - CFO'!G22)</f>
        <v/>
      </c>
      <c r="E425" s="19" t="str">
        <f>IF('Step 9 - CFO'!B22="","",'Step 9 - CFO'!H22)</f>
        <v/>
      </c>
      <c r="F425" s="20" t="str">
        <f>IF('Step 9 - CFO'!B22="","",IF('Step 9 - CFO'!C22="","","Fund Code"))</f>
        <v/>
      </c>
      <c r="G425" s="19" t="str">
        <f>IF('Step 9 - CFO'!B22="","",IF('Step 9 - CFO'!C22="","","Equals"))</f>
        <v/>
      </c>
      <c r="H425" s="20" t="str">
        <f>IF('Step 9 - CFO'!B22="","",IF('Step 9 - CFO'!C22="","",'Step 9 - CFO'!C22))</f>
        <v/>
      </c>
      <c r="I425" s="20" t="str">
        <f>IF('Step 9 - CFO'!B22="","","Organization Code")</f>
        <v/>
      </c>
      <c r="J425" s="19" t="str">
        <f>IF('Step 9 - CFO'!B22="","","Equals")</f>
        <v/>
      </c>
      <c r="K425" s="20" t="str">
        <f>IF('Step 9 - CFO'!B22="","",'Step 9 - CFO'!D22)</f>
        <v/>
      </c>
      <c r="L425" s="20" t="str">
        <f>IF('Step 9 - CFO'!B22="","","Other Criteria")</f>
        <v/>
      </c>
      <c r="M425" s="19" t="str">
        <f>IF('Step 9 - CFO'!B22="","","Equals")</f>
        <v/>
      </c>
      <c r="N425" s="20" t="str">
        <f>IF('Step 9 - CFO'!B22="","",'Step 9 - CFO'!E22)</f>
        <v/>
      </c>
      <c r="O425" s="20" t="str">
        <f>IF('Step 9 - CFO'!B22="","",IF('Step 9 - CFO'!F22="","","Total"))</f>
        <v/>
      </c>
      <c r="P425" s="19" t="str">
        <f>IF('Step 9 - CFO'!B22="","",IF('Step 9 - CFO'!F22="","","&gt;="))</f>
        <v/>
      </c>
      <c r="Q425" s="20" t="str">
        <f>IF('Step 9 - CFO'!B22="","",IF('Step 9 - CFO'!F22="","",'Step 9 - CFO'!F22))</f>
        <v/>
      </c>
      <c r="R425" s="20" t="str">
        <f>""</f>
        <v/>
      </c>
      <c r="S425" s="20" t="str">
        <f>""</f>
        <v/>
      </c>
      <c r="T425" s="20" t="str">
        <f>""</f>
        <v/>
      </c>
      <c r="U425" s="20" t="str">
        <f>IF('Step 9 - CFO'!B22="","",'Step 9 - CFO'!I22)</f>
        <v/>
      </c>
      <c r="V425" s="19" t="str">
        <f>IF('Step 9 - CFO'!B22="","",'Step 9 - CFO'!K22)</f>
        <v/>
      </c>
      <c r="W425" s="20" t="str">
        <f>IF('Step 9 - CFO'!B22="","",'Step 9 - CFO'!L22)</f>
        <v/>
      </c>
      <c r="X425" s="19" t="str">
        <f>IF('Step 9 - CFO'!B22="","",'Step 9 - CFO'!N22)</f>
        <v/>
      </c>
      <c r="Y425" s="20" t="str">
        <f>""</f>
        <v/>
      </c>
      <c r="Z425" s="20" t="str">
        <f>""</f>
        <v/>
      </c>
      <c r="AA425" s="20" t="str">
        <f>""</f>
        <v/>
      </c>
      <c r="AB425" s="20" t="str">
        <f>""</f>
        <v/>
      </c>
      <c r="AC425" s="20" t="str">
        <f>""</f>
        <v/>
      </c>
      <c r="AD425" s="20" t="str">
        <f>""</f>
        <v/>
      </c>
      <c r="AE425" s="20" t="str">
        <f>""</f>
        <v/>
      </c>
      <c r="AF425" s="20" t="str">
        <f>""</f>
        <v/>
      </c>
      <c r="AG425" s="20" t="str">
        <f>""</f>
        <v/>
      </c>
      <c r="AH425" s="20" t="str">
        <f>""</f>
        <v/>
      </c>
      <c r="AI425" s="20" t="str">
        <f>""</f>
        <v/>
      </c>
      <c r="AJ425" s="20" t="str">
        <f>""</f>
        <v/>
      </c>
      <c r="AK425" s="20" t="str">
        <f>""</f>
        <v/>
      </c>
      <c r="AL425" s="20" t="str">
        <f>""</f>
        <v/>
      </c>
      <c r="AM425" s="20" t="str">
        <f>""</f>
        <v/>
      </c>
    </row>
    <row r="426" spans="1:39" ht="15.75" customHeight="1" x14ac:dyDescent="0.25">
      <c r="A426" s="17" t="str">
        <f>IF('Step 9 - CFO'!B23="","","Active")</f>
        <v/>
      </c>
      <c r="B426" s="18" t="str">
        <f>IF('Step 9 - CFO'!B23="","",'Step 9 - CFO'!B23)</f>
        <v/>
      </c>
      <c r="C426" s="18" t="str">
        <f>IF('Step 9 - CFO'!B23="","",'Step 9 - CFO'!B23)</f>
        <v/>
      </c>
      <c r="D426" s="17" t="str">
        <f>IF('Step 9 - CFO'!B23="","",'Step 9 - CFO'!G23)</f>
        <v/>
      </c>
      <c r="E426" s="17" t="str">
        <f>IF('Step 9 - CFO'!B23="","",'Step 9 - CFO'!H23)</f>
        <v/>
      </c>
      <c r="F426" s="18" t="str">
        <f>IF('Step 9 - CFO'!B23="","",IF('Step 9 - CFO'!C23="","","Fund Code"))</f>
        <v/>
      </c>
      <c r="G426" s="17" t="str">
        <f>IF('Step 9 - CFO'!B23="","",IF('Step 9 - CFO'!C23="","","Equals"))</f>
        <v/>
      </c>
      <c r="H426" s="18" t="str">
        <f>IF('Step 9 - CFO'!B23="","",IF('Step 9 - CFO'!C23="","",'Step 9 - CFO'!C23))</f>
        <v/>
      </c>
      <c r="I426" s="18" t="str">
        <f>IF('Step 9 - CFO'!B23="","","Organization Code")</f>
        <v/>
      </c>
      <c r="J426" s="17" t="str">
        <f>IF('Step 9 - CFO'!B23="","","Equals")</f>
        <v/>
      </c>
      <c r="K426" s="18" t="str">
        <f>IF('Step 9 - CFO'!B23="","",'Step 9 - CFO'!D23)</f>
        <v/>
      </c>
      <c r="L426" s="18" t="str">
        <f>IF('Step 9 - CFO'!B23="","","Other Criteria")</f>
        <v/>
      </c>
      <c r="M426" s="17" t="str">
        <f>IF('Step 9 - CFO'!B23="","","Equals")</f>
        <v/>
      </c>
      <c r="N426" s="18" t="str">
        <f>IF('Step 9 - CFO'!B23="","",'Step 9 - CFO'!E23)</f>
        <v/>
      </c>
      <c r="O426" s="18" t="str">
        <f>IF('Step 9 - CFO'!B23="","",IF('Step 9 - CFO'!F23="","","Total"))</f>
        <v/>
      </c>
      <c r="P426" s="17" t="str">
        <f>IF('Step 9 - CFO'!B23="","",IF('Step 9 - CFO'!F23="","","&gt;="))</f>
        <v/>
      </c>
      <c r="Q426" s="18" t="str">
        <f>IF('Step 9 - CFO'!B23="","",IF('Step 9 - CFO'!F23="","",'Step 9 - CFO'!F23))</f>
        <v/>
      </c>
      <c r="R426" s="18" t="str">
        <f>""</f>
        <v/>
      </c>
      <c r="S426" s="18" t="str">
        <f>""</f>
        <v/>
      </c>
      <c r="T426" s="18" t="str">
        <f>""</f>
        <v/>
      </c>
      <c r="U426" s="18" t="str">
        <f>IF('Step 9 - CFO'!B23="","",'Step 9 - CFO'!I23)</f>
        <v/>
      </c>
      <c r="V426" s="17" t="str">
        <f>IF('Step 9 - CFO'!B23="","",'Step 9 - CFO'!K23)</f>
        <v/>
      </c>
      <c r="W426" s="18" t="str">
        <f>IF('Step 9 - CFO'!B23="","",'Step 9 - CFO'!L23)</f>
        <v/>
      </c>
      <c r="X426" s="17" t="str">
        <f>IF('Step 9 - CFO'!B23="","",'Step 9 - CFO'!N23)</f>
        <v/>
      </c>
      <c r="Y426" s="18" t="str">
        <f>""</f>
        <v/>
      </c>
      <c r="Z426" s="18" t="str">
        <f>""</f>
        <v/>
      </c>
      <c r="AA426" s="18" t="str">
        <f>""</f>
        <v/>
      </c>
      <c r="AB426" s="18" t="str">
        <f>""</f>
        <v/>
      </c>
      <c r="AC426" s="18" t="str">
        <f>""</f>
        <v/>
      </c>
      <c r="AD426" s="18" t="str">
        <f>""</f>
        <v/>
      </c>
      <c r="AE426" s="18" t="str">
        <f>""</f>
        <v/>
      </c>
      <c r="AF426" s="18" t="str">
        <f>""</f>
        <v/>
      </c>
      <c r="AG426" s="18" t="str">
        <f>""</f>
        <v/>
      </c>
      <c r="AH426" s="18" t="str">
        <f>""</f>
        <v/>
      </c>
      <c r="AI426" s="18" t="str">
        <f>""</f>
        <v/>
      </c>
      <c r="AJ426" s="18" t="str">
        <f>""</f>
        <v/>
      </c>
      <c r="AK426" s="18" t="str">
        <f>""</f>
        <v/>
      </c>
      <c r="AL426" s="18" t="str">
        <f>""</f>
        <v/>
      </c>
      <c r="AM426" s="18" t="str">
        <f>""</f>
        <v/>
      </c>
    </row>
    <row r="427" spans="1:39" ht="15.75" customHeight="1" x14ac:dyDescent="0.25">
      <c r="A427" s="19" t="str">
        <f>IF('Step 9 - CFO'!B24="","","Active")</f>
        <v/>
      </c>
      <c r="B427" s="20" t="str">
        <f>IF('Step 9 - CFO'!B24="","",'Step 9 - CFO'!B24)</f>
        <v/>
      </c>
      <c r="C427" s="20" t="str">
        <f>IF('Step 9 - CFO'!B24="","",'Step 9 - CFO'!B24)</f>
        <v/>
      </c>
      <c r="D427" s="19" t="str">
        <f>IF('Step 9 - CFO'!B24="","",'Step 9 - CFO'!G24)</f>
        <v/>
      </c>
      <c r="E427" s="19" t="str">
        <f>IF('Step 9 - CFO'!B24="","",'Step 9 - CFO'!H24)</f>
        <v/>
      </c>
      <c r="F427" s="20" t="str">
        <f>IF('Step 9 - CFO'!B24="","",IF('Step 9 - CFO'!C24="","","Fund Code"))</f>
        <v/>
      </c>
      <c r="G427" s="19" t="str">
        <f>IF('Step 9 - CFO'!B24="","",IF('Step 9 - CFO'!C24="","","Equals"))</f>
        <v/>
      </c>
      <c r="H427" s="20" t="str">
        <f>IF('Step 9 - CFO'!B24="","",IF('Step 9 - CFO'!C24="","",'Step 9 - CFO'!C24))</f>
        <v/>
      </c>
      <c r="I427" s="20" t="str">
        <f>IF('Step 9 - CFO'!B24="","","Organization Code")</f>
        <v/>
      </c>
      <c r="J427" s="19" t="str">
        <f>IF('Step 9 - CFO'!B24="","","Equals")</f>
        <v/>
      </c>
      <c r="K427" s="20" t="str">
        <f>IF('Step 9 - CFO'!B24="","",'Step 9 - CFO'!D24)</f>
        <v/>
      </c>
      <c r="L427" s="20" t="str">
        <f>IF('Step 9 - CFO'!B24="","","Other Criteria")</f>
        <v/>
      </c>
      <c r="M427" s="19" t="str">
        <f>IF('Step 9 - CFO'!B24="","","Equals")</f>
        <v/>
      </c>
      <c r="N427" s="20" t="str">
        <f>IF('Step 9 - CFO'!B24="","",'Step 9 - CFO'!E24)</f>
        <v/>
      </c>
      <c r="O427" s="20" t="str">
        <f>IF('Step 9 - CFO'!B24="","",IF('Step 9 - CFO'!F24="","","Total"))</f>
        <v/>
      </c>
      <c r="P427" s="19" t="str">
        <f>IF('Step 9 - CFO'!B24="","",IF('Step 9 - CFO'!F24="","","&gt;="))</f>
        <v/>
      </c>
      <c r="Q427" s="20" t="str">
        <f>IF('Step 9 - CFO'!B24="","",IF('Step 9 - CFO'!F24="","",'Step 9 - CFO'!F24))</f>
        <v/>
      </c>
      <c r="R427" s="20" t="str">
        <f>""</f>
        <v/>
      </c>
      <c r="S427" s="20" t="str">
        <f>""</f>
        <v/>
      </c>
      <c r="T427" s="20" t="str">
        <f>""</f>
        <v/>
      </c>
      <c r="U427" s="20" t="str">
        <f>IF('Step 9 - CFO'!B24="","",'Step 9 - CFO'!I24)</f>
        <v/>
      </c>
      <c r="V427" s="19" t="str">
        <f>IF('Step 9 - CFO'!B24="","",'Step 9 - CFO'!K24)</f>
        <v/>
      </c>
      <c r="W427" s="20" t="str">
        <f>IF('Step 9 - CFO'!B24="","",'Step 9 - CFO'!L24)</f>
        <v/>
      </c>
      <c r="X427" s="19" t="str">
        <f>IF('Step 9 - CFO'!B24="","",'Step 9 - CFO'!N24)</f>
        <v/>
      </c>
      <c r="Y427" s="20" t="str">
        <f>""</f>
        <v/>
      </c>
      <c r="Z427" s="20" t="str">
        <f>""</f>
        <v/>
      </c>
      <c r="AA427" s="20" t="str">
        <f>""</f>
        <v/>
      </c>
      <c r="AB427" s="20" t="str">
        <f>""</f>
        <v/>
      </c>
      <c r="AC427" s="20" t="str">
        <f>""</f>
        <v/>
      </c>
      <c r="AD427" s="20" t="str">
        <f>""</f>
        <v/>
      </c>
      <c r="AE427" s="20" t="str">
        <f>""</f>
        <v/>
      </c>
      <c r="AF427" s="20" t="str">
        <f>""</f>
        <v/>
      </c>
      <c r="AG427" s="20" t="str">
        <f>""</f>
        <v/>
      </c>
      <c r="AH427" s="20" t="str">
        <f>""</f>
        <v/>
      </c>
      <c r="AI427" s="20" t="str">
        <f>""</f>
        <v/>
      </c>
      <c r="AJ427" s="20" t="str">
        <f>""</f>
        <v/>
      </c>
      <c r="AK427" s="20" t="str">
        <f>""</f>
        <v/>
      </c>
      <c r="AL427" s="20" t="str">
        <f>""</f>
        <v/>
      </c>
      <c r="AM427" s="20" t="str">
        <f>""</f>
        <v/>
      </c>
    </row>
    <row r="428" spans="1:39" ht="15.75" customHeight="1" x14ac:dyDescent="0.25">
      <c r="A428" s="17" t="str">
        <f>IF('Step 9 - CFO'!B25="","","Active")</f>
        <v/>
      </c>
      <c r="B428" s="18" t="str">
        <f>IF('Step 9 - CFO'!B25="","",'Step 9 - CFO'!B25)</f>
        <v/>
      </c>
      <c r="C428" s="18" t="str">
        <f>IF('Step 9 - CFO'!B25="","",'Step 9 - CFO'!B25)</f>
        <v/>
      </c>
      <c r="D428" s="17" t="str">
        <f>IF('Step 9 - CFO'!B25="","",'Step 9 - CFO'!G25)</f>
        <v/>
      </c>
      <c r="E428" s="17" t="str">
        <f>IF('Step 9 - CFO'!B25="","",'Step 9 - CFO'!H25)</f>
        <v/>
      </c>
      <c r="F428" s="18" t="str">
        <f>IF('Step 9 - CFO'!B25="","",IF('Step 9 - CFO'!C25="","","Fund Code"))</f>
        <v/>
      </c>
      <c r="G428" s="17" t="str">
        <f>IF('Step 9 - CFO'!B25="","",IF('Step 9 - CFO'!C25="","","Equals"))</f>
        <v/>
      </c>
      <c r="H428" s="18" t="str">
        <f>IF('Step 9 - CFO'!B25="","",IF('Step 9 - CFO'!C25="","",'Step 9 - CFO'!C25))</f>
        <v/>
      </c>
      <c r="I428" s="18" t="str">
        <f>IF('Step 9 - CFO'!B25="","","Organization Code")</f>
        <v/>
      </c>
      <c r="J428" s="17" t="str">
        <f>IF('Step 9 - CFO'!B25="","","Equals")</f>
        <v/>
      </c>
      <c r="K428" s="18" t="str">
        <f>IF('Step 9 - CFO'!B25="","",'Step 9 - CFO'!D25)</f>
        <v/>
      </c>
      <c r="L428" s="18" t="str">
        <f>IF('Step 9 - CFO'!B25="","","Other Criteria")</f>
        <v/>
      </c>
      <c r="M428" s="17" t="str">
        <f>IF('Step 9 - CFO'!B25="","","Equals")</f>
        <v/>
      </c>
      <c r="N428" s="18" t="str">
        <f>IF('Step 9 - CFO'!B25="","",'Step 9 - CFO'!E25)</f>
        <v/>
      </c>
      <c r="O428" s="18" t="str">
        <f>IF('Step 9 - CFO'!B25="","",IF('Step 9 - CFO'!F25="","","Total"))</f>
        <v/>
      </c>
      <c r="P428" s="17" t="str">
        <f>IF('Step 9 - CFO'!B25="","",IF('Step 9 - CFO'!F25="","","&gt;="))</f>
        <v/>
      </c>
      <c r="Q428" s="18" t="str">
        <f>IF('Step 9 - CFO'!B25="","",IF('Step 9 - CFO'!F25="","",'Step 9 - CFO'!F25))</f>
        <v/>
      </c>
      <c r="R428" s="18" t="str">
        <f>""</f>
        <v/>
      </c>
      <c r="S428" s="18" t="str">
        <f>""</f>
        <v/>
      </c>
      <c r="T428" s="18" t="str">
        <f>""</f>
        <v/>
      </c>
      <c r="U428" s="18" t="str">
        <f>IF('Step 9 - CFO'!B25="","",'Step 9 - CFO'!I25)</f>
        <v/>
      </c>
      <c r="V428" s="17" t="str">
        <f>IF('Step 9 - CFO'!B25="","",'Step 9 - CFO'!K25)</f>
        <v/>
      </c>
      <c r="W428" s="18" t="str">
        <f>IF('Step 9 - CFO'!B25="","",'Step 9 - CFO'!L25)</f>
        <v/>
      </c>
      <c r="X428" s="17" t="str">
        <f>IF('Step 9 - CFO'!B25="","",'Step 9 - CFO'!N25)</f>
        <v/>
      </c>
      <c r="Y428" s="18" t="str">
        <f>""</f>
        <v/>
      </c>
      <c r="Z428" s="18" t="str">
        <f>""</f>
        <v/>
      </c>
      <c r="AA428" s="18" t="str">
        <f>""</f>
        <v/>
      </c>
      <c r="AB428" s="18" t="str">
        <f>""</f>
        <v/>
      </c>
      <c r="AC428" s="18" t="str">
        <f>""</f>
        <v/>
      </c>
      <c r="AD428" s="18" t="str">
        <f>""</f>
        <v/>
      </c>
      <c r="AE428" s="18" t="str">
        <f>""</f>
        <v/>
      </c>
      <c r="AF428" s="18" t="str">
        <f>""</f>
        <v/>
      </c>
      <c r="AG428" s="18" t="str">
        <f>""</f>
        <v/>
      </c>
      <c r="AH428" s="18" t="str">
        <f>""</f>
        <v/>
      </c>
      <c r="AI428" s="18" t="str">
        <f>""</f>
        <v/>
      </c>
      <c r="AJ428" s="18" t="str">
        <f>""</f>
        <v/>
      </c>
      <c r="AK428" s="18" t="str">
        <f>""</f>
        <v/>
      </c>
      <c r="AL428" s="18" t="str">
        <f>""</f>
        <v/>
      </c>
      <c r="AM428" s="18" t="str">
        <f>""</f>
        <v/>
      </c>
    </row>
    <row r="429" spans="1:39" ht="15.75" customHeight="1" x14ac:dyDescent="0.25">
      <c r="A429" s="19" t="str">
        <f>IF('Step 9 - CFO'!B26="","","Active")</f>
        <v/>
      </c>
      <c r="B429" s="20" t="str">
        <f>IF('Step 9 - CFO'!B26="","",'Step 9 - CFO'!B26)</f>
        <v/>
      </c>
      <c r="C429" s="20" t="str">
        <f>IF('Step 9 - CFO'!B26="","",'Step 9 - CFO'!B26)</f>
        <v/>
      </c>
      <c r="D429" s="19" t="str">
        <f>IF('Step 9 - CFO'!B26="","",'Step 9 - CFO'!G26)</f>
        <v/>
      </c>
      <c r="E429" s="19" t="str">
        <f>IF('Step 9 - CFO'!B26="","",'Step 9 - CFO'!H26)</f>
        <v/>
      </c>
      <c r="F429" s="20" t="str">
        <f>IF('Step 9 - CFO'!B26="","",IF('Step 9 - CFO'!C26="","","Fund Code"))</f>
        <v/>
      </c>
      <c r="G429" s="19" t="str">
        <f>IF('Step 9 - CFO'!B26="","",IF('Step 9 - CFO'!C26="","","Equals"))</f>
        <v/>
      </c>
      <c r="H429" s="20" t="str">
        <f>IF('Step 9 - CFO'!B26="","",IF('Step 9 - CFO'!C26="","",'Step 9 - CFO'!C26))</f>
        <v/>
      </c>
      <c r="I429" s="20" t="str">
        <f>IF('Step 9 - CFO'!B26="","","Organization Code")</f>
        <v/>
      </c>
      <c r="J429" s="19" t="str">
        <f>IF('Step 9 - CFO'!B26="","","Equals")</f>
        <v/>
      </c>
      <c r="K429" s="20" t="str">
        <f>IF('Step 9 - CFO'!B26="","",'Step 9 - CFO'!D26)</f>
        <v/>
      </c>
      <c r="L429" s="20" t="str">
        <f>IF('Step 9 - CFO'!B26="","","Other Criteria")</f>
        <v/>
      </c>
      <c r="M429" s="19" t="str">
        <f>IF('Step 9 - CFO'!B26="","","Equals")</f>
        <v/>
      </c>
      <c r="N429" s="20" t="str">
        <f>IF('Step 9 - CFO'!B26="","",'Step 9 - CFO'!E26)</f>
        <v/>
      </c>
      <c r="O429" s="20" t="str">
        <f>IF('Step 9 - CFO'!B26="","",IF('Step 9 - CFO'!F26="","","Total"))</f>
        <v/>
      </c>
      <c r="P429" s="19" t="str">
        <f>IF('Step 9 - CFO'!B26="","",IF('Step 9 - CFO'!F26="","","&gt;="))</f>
        <v/>
      </c>
      <c r="Q429" s="20" t="str">
        <f>IF('Step 9 - CFO'!B26="","",IF('Step 9 - CFO'!F26="","",'Step 9 - CFO'!F26))</f>
        <v/>
      </c>
      <c r="R429" s="20" t="str">
        <f>""</f>
        <v/>
      </c>
      <c r="S429" s="20" t="str">
        <f>""</f>
        <v/>
      </c>
      <c r="T429" s="20" t="str">
        <f>""</f>
        <v/>
      </c>
      <c r="U429" s="20" t="str">
        <f>IF('Step 9 - CFO'!B26="","",'Step 9 - CFO'!I26)</f>
        <v/>
      </c>
      <c r="V429" s="19" t="str">
        <f>IF('Step 9 - CFO'!B26="","",'Step 9 - CFO'!K26)</f>
        <v/>
      </c>
      <c r="W429" s="20" t="str">
        <f>IF('Step 9 - CFO'!B26="","",'Step 9 - CFO'!L26)</f>
        <v/>
      </c>
      <c r="X429" s="19" t="str">
        <f>IF('Step 9 - CFO'!B26="","",'Step 9 - CFO'!N26)</f>
        <v/>
      </c>
      <c r="Y429" s="20" t="str">
        <f>""</f>
        <v/>
      </c>
      <c r="Z429" s="20" t="str">
        <f>""</f>
        <v/>
      </c>
      <c r="AA429" s="20" t="str">
        <f>""</f>
        <v/>
      </c>
      <c r="AB429" s="20" t="str">
        <f>""</f>
        <v/>
      </c>
      <c r="AC429" s="20" t="str">
        <f>""</f>
        <v/>
      </c>
      <c r="AD429" s="20" t="str">
        <f>""</f>
        <v/>
      </c>
      <c r="AE429" s="20" t="str">
        <f>""</f>
        <v/>
      </c>
      <c r="AF429" s="20" t="str">
        <f>""</f>
        <v/>
      </c>
      <c r="AG429" s="20" t="str">
        <f>""</f>
        <v/>
      </c>
      <c r="AH429" s="20" t="str">
        <f>""</f>
        <v/>
      </c>
      <c r="AI429" s="20" t="str">
        <f>""</f>
        <v/>
      </c>
      <c r="AJ429" s="20" t="str">
        <f>""</f>
        <v/>
      </c>
      <c r="AK429" s="20" t="str">
        <f>""</f>
        <v/>
      </c>
      <c r="AL429" s="20" t="str">
        <f>""</f>
        <v/>
      </c>
      <c r="AM429" s="20" t="str">
        <f>""</f>
        <v/>
      </c>
    </row>
    <row r="430" spans="1:39" ht="15.75" customHeight="1" x14ac:dyDescent="0.25">
      <c r="A430" s="17" t="str">
        <f>IF('Step 9 - CFO'!B27="","","Active")</f>
        <v/>
      </c>
      <c r="B430" s="18" t="str">
        <f>IF('Step 9 - CFO'!B27="","",'Step 9 - CFO'!B27)</f>
        <v/>
      </c>
      <c r="C430" s="18" t="str">
        <f>IF('Step 9 - CFO'!B27="","",'Step 9 - CFO'!B27)</f>
        <v/>
      </c>
      <c r="D430" s="17" t="str">
        <f>IF('Step 9 - CFO'!B27="","",'Step 9 - CFO'!G27)</f>
        <v/>
      </c>
      <c r="E430" s="17" t="str">
        <f>IF('Step 9 - CFO'!B27="","",'Step 9 - CFO'!H27)</f>
        <v/>
      </c>
      <c r="F430" s="18" t="str">
        <f>IF('Step 9 - CFO'!B27="","",IF('Step 9 - CFO'!C27="","","Fund Code"))</f>
        <v/>
      </c>
      <c r="G430" s="17" t="str">
        <f>IF('Step 9 - CFO'!B27="","",IF('Step 9 - CFO'!C27="","","Equals"))</f>
        <v/>
      </c>
      <c r="H430" s="18" t="str">
        <f>IF('Step 9 - CFO'!B27="","",IF('Step 9 - CFO'!C27="","",'Step 9 - CFO'!C27))</f>
        <v/>
      </c>
      <c r="I430" s="18" t="str">
        <f>IF('Step 9 - CFO'!B27="","","Organization Code")</f>
        <v/>
      </c>
      <c r="J430" s="17" t="str">
        <f>IF('Step 9 - CFO'!B27="","","Equals")</f>
        <v/>
      </c>
      <c r="K430" s="18" t="str">
        <f>IF('Step 9 - CFO'!B27="","",'Step 9 - CFO'!D27)</f>
        <v/>
      </c>
      <c r="L430" s="18" t="str">
        <f>IF('Step 9 - CFO'!B27="","","Other Criteria")</f>
        <v/>
      </c>
      <c r="M430" s="17" t="str">
        <f>IF('Step 9 - CFO'!B27="","","Equals")</f>
        <v/>
      </c>
      <c r="N430" s="18" t="str">
        <f>IF('Step 9 - CFO'!B27="","",'Step 9 - CFO'!E27)</f>
        <v/>
      </c>
      <c r="O430" s="18" t="str">
        <f>IF('Step 9 - CFO'!B27="","",IF('Step 9 - CFO'!F27="","","Total"))</f>
        <v/>
      </c>
      <c r="P430" s="17" t="str">
        <f>IF('Step 9 - CFO'!B27="","",IF('Step 9 - CFO'!F27="","","&gt;="))</f>
        <v/>
      </c>
      <c r="Q430" s="18" t="str">
        <f>IF('Step 9 - CFO'!B27="","",IF('Step 9 - CFO'!F27="","",'Step 9 - CFO'!F27))</f>
        <v/>
      </c>
      <c r="R430" s="18" t="str">
        <f>""</f>
        <v/>
      </c>
      <c r="S430" s="18" t="str">
        <f>""</f>
        <v/>
      </c>
      <c r="T430" s="18" t="str">
        <f>""</f>
        <v/>
      </c>
      <c r="U430" s="18" t="str">
        <f>IF('Step 9 - CFO'!B27="","",'Step 9 - CFO'!I27)</f>
        <v/>
      </c>
      <c r="V430" s="17" t="str">
        <f>IF('Step 9 - CFO'!B27="","",'Step 9 - CFO'!K27)</f>
        <v/>
      </c>
      <c r="W430" s="18" t="str">
        <f>IF('Step 9 - CFO'!B27="","",'Step 9 - CFO'!L27)</f>
        <v/>
      </c>
      <c r="X430" s="17" t="str">
        <f>IF('Step 9 - CFO'!B27="","",'Step 9 - CFO'!N27)</f>
        <v/>
      </c>
      <c r="Y430" s="18" t="str">
        <f>""</f>
        <v/>
      </c>
      <c r="Z430" s="18" t="str">
        <f>""</f>
        <v/>
      </c>
      <c r="AA430" s="18" t="str">
        <f>""</f>
        <v/>
      </c>
      <c r="AB430" s="18" t="str">
        <f>""</f>
        <v/>
      </c>
      <c r="AC430" s="18" t="str">
        <f>""</f>
        <v/>
      </c>
      <c r="AD430" s="18" t="str">
        <f>""</f>
        <v/>
      </c>
      <c r="AE430" s="18" t="str">
        <f>""</f>
        <v/>
      </c>
      <c r="AF430" s="18" t="str">
        <f>""</f>
        <v/>
      </c>
      <c r="AG430" s="18" t="str">
        <f>""</f>
        <v/>
      </c>
      <c r="AH430" s="18" t="str">
        <f>""</f>
        <v/>
      </c>
      <c r="AI430" s="18" t="str">
        <f>""</f>
        <v/>
      </c>
      <c r="AJ430" s="18" t="str">
        <f>""</f>
        <v/>
      </c>
      <c r="AK430" s="18" t="str">
        <f>""</f>
        <v/>
      </c>
      <c r="AL430" s="18" t="str">
        <f>""</f>
        <v/>
      </c>
      <c r="AM430" s="18" t="str">
        <f>""</f>
        <v/>
      </c>
    </row>
    <row r="431" spans="1:39" ht="15.75" customHeight="1" x14ac:dyDescent="0.25">
      <c r="A431" s="19" t="str">
        <f>IF('Step 9 - CFO'!B28="","","Active")</f>
        <v/>
      </c>
      <c r="B431" s="20" t="str">
        <f>IF('Step 9 - CFO'!B28="","",'Step 9 - CFO'!B28)</f>
        <v/>
      </c>
      <c r="C431" s="20" t="str">
        <f>IF('Step 9 - CFO'!B28="","",'Step 9 - CFO'!B28)</f>
        <v/>
      </c>
      <c r="D431" s="19" t="str">
        <f>IF('Step 9 - CFO'!B28="","",'Step 9 - CFO'!G28)</f>
        <v/>
      </c>
      <c r="E431" s="19" t="str">
        <f>IF('Step 9 - CFO'!B28="","",'Step 9 - CFO'!H28)</f>
        <v/>
      </c>
      <c r="F431" s="20" t="str">
        <f>IF('Step 9 - CFO'!B28="","",IF('Step 9 - CFO'!C28="","","Fund Code"))</f>
        <v/>
      </c>
      <c r="G431" s="19" t="str">
        <f>IF('Step 9 - CFO'!B28="","",IF('Step 9 - CFO'!C28="","","Equals"))</f>
        <v/>
      </c>
      <c r="H431" s="20" t="str">
        <f>IF('Step 9 - CFO'!B28="","",IF('Step 9 - CFO'!C28="","",'Step 9 - CFO'!C28))</f>
        <v/>
      </c>
      <c r="I431" s="20" t="str">
        <f>IF('Step 9 - CFO'!B28="","","Organization Code")</f>
        <v/>
      </c>
      <c r="J431" s="19" t="str">
        <f>IF('Step 9 - CFO'!B28="","","Equals")</f>
        <v/>
      </c>
      <c r="K431" s="20" t="str">
        <f>IF('Step 9 - CFO'!B28="","",'Step 9 - CFO'!D28)</f>
        <v/>
      </c>
      <c r="L431" s="20" t="str">
        <f>IF('Step 9 - CFO'!B28="","","Other Criteria")</f>
        <v/>
      </c>
      <c r="M431" s="19" t="str">
        <f>IF('Step 9 - CFO'!B28="","","Equals")</f>
        <v/>
      </c>
      <c r="N431" s="20" t="str">
        <f>IF('Step 9 - CFO'!B28="","",'Step 9 - CFO'!E28)</f>
        <v/>
      </c>
      <c r="O431" s="20" t="str">
        <f>IF('Step 9 - CFO'!B28="","",IF('Step 9 - CFO'!F28="","","Total"))</f>
        <v/>
      </c>
      <c r="P431" s="19" t="str">
        <f>IF('Step 9 - CFO'!B28="","",IF('Step 9 - CFO'!F28="","","&gt;="))</f>
        <v/>
      </c>
      <c r="Q431" s="20" t="str">
        <f>IF('Step 9 - CFO'!B28="","",IF('Step 9 - CFO'!F28="","",'Step 9 - CFO'!F28))</f>
        <v/>
      </c>
      <c r="R431" s="20" t="str">
        <f>""</f>
        <v/>
      </c>
      <c r="S431" s="20" t="str">
        <f>""</f>
        <v/>
      </c>
      <c r="T431" s="20" t="str">
        <f>""</f>
        <v/>
      </c>
      <c r="U431" s="20" t="str">
        <f>IF('Step 9 - CFO'!B28="","",'Step 9 - CFO'!I28)</f>
        <v/>
      </c>
      <c r="V431" s="19" t="str">
        <f>IF('Step 9 - CFO'!B28="","",'Step 9 - CFO'!K28)</f>
        <v/>
      </c>
      <c r="W431" s="20" t="str">
        <f>IF('Step 9 - CFO'!B28="","",'Step 9 - CFO'!L28)</f>
        <v/>
      </c>
      <c r="X431" s="19" t="str">
        <f>IF('Step 9 - CFO'!B28="","",'Step 9 - CFO'!N28)</f>
        <v/>
      </c>
      <c r="Y431" s="20" t="str">
        <f>""</f>
        <v/>
      </c>
      <c r="Z431" s="20" t="str">
        <f>""</f>
        <v/>
      </c>
      <c r="AA431" s="20" t="str">
        <f>""</f>
        <v/>
      </c>
      <c r="AB431" s="20" t="str">
        <f>""</f>
        <v/>
      </c>
      <c r="AC431" s="20" t="str">
        <f>""</f>
        <v/>
      </c>
      <c r="AD431" s="20" t="str">
        <f>""</f>
        <v/>
      </c>
      <c r="AE431" s="20" t="str">
        <f>""</f>
        <v/>
      </c>
      <c r="AF431" s="20" t="str">
        <f>""</f>
        <v/>
      </c>
      <c r="AG431" s="20" t="str">
        <f>""</f>
        <v/>
      </c>
      <c r="AH431" s="20" t="str">
        <f>""</f>
        <v/>
      </c>
      <c r="AI431" s="20" t="str">
        <f>""</f>
        <v/>
      </c>
      <c r="AJ431" s="20" t="str">
        <f>""</f>
        <v/>
      </c>
      <c r="AK431" s="20" t="str">
        <f>""</f>
        <v/>
      </c>
      <c r="AL431" s="20" t="str">
        <f>""</f>
        <v/>
      </c>
      <c r="AM431" s="20" t="str">
        <f>""</f>
        <v/>
      </c>
    </row>
    <row r="432" spans="1:39" ht="15.75" customHeight="1" x14ac:dyDescent="0.25">
      <c r="A432" s="17" t="str">
        <f>IF('Step 9 - CFO'!B29="","","Active")</f>
        <v/>
      </c>
      <c r="B432" s="18" t="str">
        <f>IF('Step 9 - CFO'!B29="","",'Step 9 - CFO'!B29)</f>
        <v/>
      </c>
      <c r="C432" s="18" t="str">
        <f>IF('Step 9 - CFO'!B29="","",'Step 9 - CFO'!B29)</f>
        <v/>
      </c>
      <c r="D432" s="17" t="str">
        <f>IF('Step 9 - CFO'!B29="","",'Step 9 - CFO'!G29)</f>
        <v/>
      </c>
      <c r="E432" s="17" t="str">
        <f>IF('Step 9 - CFO'!B29="","",'Step 9 - CFO'!H29)</f>
        <v/>
      </c>
      <c r="F432" s="18" t="str">
        <f>IF('Step 9 - CFO'!B29="","",IF('Step 9 - CFO'!C29="","","Fund Code"))</f>
        <v/>
      </c>
      <c r="G432" s="17" t="str">
        <f>IF('Step 9 - CFO'!B29="","",IF('Step 9 - CFO'!C29="","","Equals"))</f>
        <v/>
      </c>
      <c r="H432" s="18" t="str">
        <f>IF('Step 9 - CFO'!B29="","",IF('Step 9 - CFO'!C29="","",'Step 9 - CFO'!C29))</f>
        <v/>
      </c>
      <c r="I432" s="18" t="str">
        <f>IF('Step 9 - CFO'!B29="","","Organization Code")</f>
        <v/>
      </c>
      <c r="J432" s="17" t="str">
        <f>IF('Step 9 - CFO'!B29="","","Equals")</f>
        <v/>
      </c>
      <c r="K432" s="18" t="str">
        <f>IF('Step 9 - CFO'!B29="","",'Step 9 - CFO'!D29)</f>
        <v/>
      </c>
      <c r="L432" s="18" t="str">
        <f>IF('Step 9 - CFO'!B29="","","Other Criteria")</f>
        <v/>
      </c>
      <c r="M432" s="17" t="str">
        <f>IF('Step 9 - CFO'!B29="","","Equals")</f>
        <v/>
      </c>
      <c r="N432" s="18" t="str">
        <f>IF('Step 9 - CFO'!B29="","",'Step 9 - CFO'!E29)</f>
        <v/>
      </c>
      <c r="O432" s="18" t="str">
        <f>IF('Step 9 - CFO'!B29="","",IF('Step 9 - CFO'!F29="","","Total"))</f>
        <v/>
      </c>
      <c r="P432" s="17" t="str">
        <f>IF('Step 9 - CFO'!B29="","",IF('Step 9 - CFO'!F29="","","&gt;="))</f>
        <v/>
      </c>
      <c r="Q432" s="18" t="str">
        <f>IF('Step 9 - CFO'!B29="","",IF('Step 9 - CFO'!F29="","",'Step 9 - CFO'!F29))</f>
        <v/>
      </c>
      <c r="R432" s="18" t="str">
        <f>""</f>
        <v/>
      </c>
      <c r="S432" s="18" t="str">
        <f>""</f>
        <v/>
      </c>
      <c r="T432" s="18" t="str">
        <f>""</f>
        <v/>
      </c>
      <c r="U432" s="18" t="str">
        <f>IF('Step 9 - CFO'!B29="","",'Step 9 - CFO'!I29)</f>
        <v/>
      </c>
      <c r="V432" s="17" t="str">
        <f>IF('Step 9 - CFO'!B29="","",'Step 9 - CFO'!K29)</f>
        <v/>
      </c>
      <c r="W432" s="18" t="str">
        <f>IF('Step 9 - CFO'!B29="","",'Step 9 - CFO'!L29)</f>
        <v/>
      </c>
      <c r="X432" s="17" t="str">
        <f>IF('Step 9 - CFO'!B29="","",'Step 9 - CFO'!N29)</f>
        <v/>
      </c>
      <c r="Y432" s="18" t="str">
        <f>""</f>
        <v/>
      </c>
      <c r="Z432" s="18" t="str">
        <f>""</f>
        <v/>
      </c>
      <c r="AA432" s="18" t="str">
        <f>""</f>
        <v/>
      </c>
      <c r="AB432" s="18" t="str">
        <f>""</f>
        <v/>
      </c>
      <c r="AC432" s="18" t="str">
        <f>""</f>
        <v/>
      </c>
      <c r="AD432" s="18" t="str">
        <f>""</f>
        <v/>
      </c>
      <c r="AE432" s="18" t="str">
        <f>""</f>
        <v/>
      </c>
      <c r="AF432" s="18" t="str">
        <f>""</f>
        <v/>
      </c>
      <c r="AG432" s="18" t="str">
        <f>""</f>
        <v/>
      </c>
      <c r="AH432" s="18" t="str">
        <f>""</f>
        <v/>
      </c>
      <c r="AI432" s="18" t="str">
        <f>""</f>
        <v/>
      </c>
      <c r="AJ432" s="18" t="str">
        <f>""</f>
        <v/>
      </c>
      <c r="AK432" s="18" t="str">
        <f>""</f>
        <v/>
      </c>
      <c r="AL432" s="18" t="str">
        <f>""</f>
        <v/>
      </c>
      <c r="AM432" s="18" t="str">
        <f>""</f>
        <v/>
      </c>
    </row>
    <row r="433" spans="1:39" ht="15.75" customHeight="1" x14ac:dyDescent="0.25">
      <c r="A433" s="19" t="str">
        <f>IF('Step 9 - CFO'!B30="","","Active")</f>
        <v/>
      </c>
      <c r="B433" s="20" t="str">
        <f>IF('Step 9 - CFO'!B30="","",'Step 9 - CFO'!B30)</f>
        <v/>
      </c>
      <c r="C433" s="20" t="str">
        <f>IF('Step 9 - CFO'!B30="","",'Step 9 - CFO'!B30)</f>
        <v/>
      </c>
      <c r="D433" s="19" t="str">
        <f>IF('Step 9 - CFO'!B30="","",'Step 9 - CFO'!G30)</f>
        <v/>
      </c>
      <c r="E433" s="19" t="str">
        <f>IF('Step 9 - CFO'!B30="","",'Step 9 - CFO'!H30)</f>
        <v/>
      </c>
      <c r="F433" s="20" t="str">
        <f>IF('Step 9 - CFO'!B30="","",IF('Step 9 - CFO'!C30="","","Fund Code"))</f>
        <v/>
      </c>
      <c r="G433" s="19" t="str">
        <f>IF('Step 9 - CFO'!B30="","",IF('Step 9 - CFO'!C30="","","Equals"))</f>
        <v/>
      </c>
      <c r="H433" s="20" t="str">
        <f>IF('Step 9 - CFO'!B30="","",IF('Step 9 - CFO'!C30="","",'Step 9 - CFO'!C30))</f>
        <v/>
      </c>
      <c r="I433" s="20" t="str">
        <f>IF('Step 9 - CFO'!B30="","","Organization Code")</f>
        <v/>
      </c>
      <c r="J433" s="19" t="str">
        <f>IF('Step 9 - CFO'!B30="","","Equals")</f>
        <v/>
      </c>
      <c r="K433" s="20" t="str">
        <f>IF('Step 9 - CFO'!B30="","",'Step 9 - CFO'!D30)</f>
        <v/>
      </c>
      <c r="L433" s="20" t="str">
        <f>IF('Step 9 - CFO'!B30="","","Other Criteria")</f>
        <v/>
      </c>
      <c r="M433" s="19" t="str">
        <f>IF('Step 9 - CFO'!B30="","","Equals")</f>
        <v/>
      </c>
      <c r="N433" s="20" t="str">
        <f>IF('Step 9 - CFO'!B30="","",'Step 9 - CFO'!E30)</f>
        <v/>
      </c>
      <c r="O433" s="20" t="str">
        <f>IF('Step 9 - CFO'!B30="","",IF('Step 9 - CFO'!F30="","","Total"))</f>
        <v/>
      </c>
      <c r="P433" s="19" t="str">
        <f>IF('Step 9 - CFO'!B30="","",IF('Step 9 - CFO'!F30="","","&gt;="))</f>
        <v/>
      </c>
      <c r="Q433" s="20" t="str">
        <f>IF('Step 9 - CFO'!B30="","",IF('Step 9 - CFO'!F30="","",'Step 9 - CFO'!F30))</f>
        <v/>
      </c>
      <c r="R433" s="20" t="str">
        <f>""</f>
        <v/>
      </c>
      <c r="S433" s="20" t="str">
        <f>""</f>
        <v/>
      </c>
      <c r="T433" s="20" t="str">
        <f>""</f>
        <v/>
      </c>
      <c r="U433" s="20" t="str">
        <f>IF('Step 9 - CFO'!B30="","",'Step 9 - CFO'!I30)</f>
        <v/>
      </c>
      <c r="V433" s="19" t="str">
        <f>IF('Step 9 - CFO'!B30="","",'Step 9 - CFO'!K30)</f>
        <v/>
      </c>
      <c r="W433" s="20" t="str">
        <f>IF('Step 9 - CFO'!B30="","",'Step 9 - CFO'!L30)</f>
        <v/>
      </c>
      <c r="X433" s="19" t="str">
        <f>IF('Step 9 - CFO'!B30="","",'Step 9 - CFO'!N30)</f>
        <v/>
      </c>
      <c r="Y433" s="20" t="str">
        <f>""</f>
        <v/>
      </c>
      <c r="Z433" s="20" t="str">
        <f>""</f>
        <v/>
      </c>
      <c r="AA433" s="20" t="str">
        <f>""</f>
        <v/>
      </c>
      <c r="AB433" s="20" t="str">
        <f>""</f>
        <v/>
      </c>
      <c r="AC433" s="20" t="str">
        <f>""</f>
        <v/>
      </c>
      <c r="AD433" s="20" t="str">
        <f>""</f>
        <v/>
      </c>
      <c r="AE433" s="20" t="str">
        <f>""</f>
        <v/>
      </c>
      <c r="AF433" s="20" t="str">
        <f>""</f>
        <v/>
      </c>
      <c r="AG433" s="20" t="str">
        <f>""</f>
        <v/>
      </c>
      <c r="AH433" s="20" t="str">
        <f>""</f>
        <v/>
      </c>
      <c r="AI433" s="20" t="str">
        <f>""</f>
        <v/>
      </c>
      <c r="AJ433" s="20" t="str">
        <f>""</f>
        <v/>
      </c>
      <c r="AK433" s="20" t="str">
        <f>""</f>
        <v/>
      </c>
      <c r="AL433" s="20" t="str">
        <f>""</f>
        <v/>
      </c>
      <c r="AM433" s="20" t="str">
        <f>""</f>
        <v/>
      </c>
    </row>
    <row r="434" spans="1:39" ht="15.75" customHeight="1" x14ac:dyDescent="0.25">
      <c r="A434" s="17" t="str">
        <f>IF('Step 9 - CFO'!B31="","","Active")</f>
        <v/>
      </c>
      <c r="B434" s="18" t="str">
        <f>IF('Step 9 - CFO'!B31="","",'Step 9 - CFO'!B31)</f>
        <v/>
      </c>
      <c r="C434" s="18" t="str">
        <f>IF('Step 9 - CFO'!B31="","",'Step 9 - CFO'!B31)</f>
        <v/>
      </c>
      <c r="D434" s="17" t="str">
        <f>IF('Step 9 - CFO'!B31="","",'Step 9 - CFO'!G31)</f>
        <v/>
      </c>
      <c r="E434" s="17" t="str">
        <f>IF('Step 9 - CFO'!B31="","",'Step 9 - CFO'!H31)</f>
        <v/>
      </c>
      <c r="F434" s="18" t="str">
        <f>IF('Step 9 - CFO'!B31="","",IF('Step 9 - CFO'!C31="","","Fund Code"))</f>
        <v/>
      </c>
      <c r="G434" s="17" t="str">
        <f>IF('Step 9 - CFO'!B31="","",IF('Step 9 - CFO'!C31="","","Equals"))</f>
        <v/>
      </c>
      <c r="H434" s="18" t="str">
        <f>IF('Step 9 - CFO'!B31="","",IF('Step 9 - CFO'!C31="","",'Step 9 - CFO'!C31))</f>
        <v/>
      </c>
      <c r="I434" s="18" t="str">
        <f>IF('Step 9 - CFO'!B31="","","Organization Code")</f>
        <v/>
      </c>
      <c r="J434" s="17" t="str">
        <f>IF('Step 9 - CFO'!B31="","","Equals")</f>
        <v/>
      </c>
      <c r="K434" s="18" t="str">
        <f>IF('Step 9 - CFO'!B31="","",'Step 9 - CFO'!D31)</f>
        <v/>
      </c>
      <c r="L434" s="18" t="str">
        <f>IF('Step 9 - CFO'!B31="","","Other Criteria")</f>
        <v/>
      </c>
      <c r="M434" s="17" t="str">
        <f>IF('Step 9 - CFO'!B31="","","Equals")</f>
        <v/>
      </c>
      <c r="N434" s="18" t="str">
        <f>IF('Step 9 - CFO'!B31="","",'Step 9 - CFO'!E31)</f>
        <v/>
      </c>
      <c r="O434" s="18" t="str">
        <f>IF('Step 9 - CFO'!B31="","",IF('Step 9 - CFO'!F31="","","Total"))</f>
        <v/>
      </c>
      <c r="P434" s="17" t="str">
        <f>IF('Step 9 - CFO'!B31="","",IF('Step 9 - CFO'!F31="","","&gt;="))</f>
        <v/>
      </c>
      <c r="Q434" s="18" t="str">
        <f>IF('Step 9 - CFO'!B31="","",IF('Step 9 - CFO'!F31="","",'Step 9 - CFO'!F31))</f>
        <v/>
      </c>
      <c r="R434" s="18" t="str">
        <f>""</f>
        <v/>
      </c>
      <c r="S434" s="18" t="str">
        <f>""</f>
        <v/>
      </c>
      <c r="T434" s="18" t="str">
        <f>""</f>
        <v/>
      </c>
      <c r="U434" s="18" t="str">
        <f>IF('Step 9 - CFO'!B31="","",'Step 9 - CFO'!I31)</f>
        <v/>
      </c>
      <c r="V434" s="17" t="str">
        <f>IF('Step 9 - CFO'!B31="","",'Step 9 - CFO'!K31)</f>
        <v/>
      </c>
      <c r="W434" s="18" t="str">
        <f>IF('Step 9 - CFO'!B31="","",'Step 9 - CFO'!L31)</f>
        <v/>
      </c>
      <c r="X434" s="17" t="str">
        <f>IF('Step 9 - CFO'!B31="","",'Step 9 - CFO'!N31)</f>
        <v/>
      </c>
      <c r="Y434" s="18" t="str">
        <f>""</f>
        <v/>
      </c>
      <c r="Z434" s="18" t="str">
        <f>""</f>
        <v/>
      </c>
      <c r="AA434" s="18" t="str">
        <f>""</f>
        <v/>
      </c>
      <c r="AB434" s="18" t="str">
        <f>""</f>
        <v/>
      </c>
      <c r="AC434" s="18" t="str">
        <f>""</f>
        <v/>
      </c>
      <c r="AD434" s="18" t="str">
        <f>""</f>
        <v/>
      </c>
      <c r="AE434" s="18" t="str">
        <f>""</f>
        <v/>
      </c>
      <c r="AF434" s="18" t="str">
        <f>""</f>
        <v/>
      </c>
      <c r="AG434" s="18" t="str">
        <f>""</f>
        <v/>
      </c>
      <c r="AH434" s="18" t="str">
        <f>""</f>
        <v/>
      </c>
      <c r="AI434" s="18" t="str">
        <f>""</f>
        <v/>
      </c>
      <c r="AJ434" s="18" t="str">
        <f>""</f>
        <v/>
      </c>
      <c r="AK434" s="18" t="str">
        <f>""</f>
        <v/>
      </c>
      <c r="AL434" s="18" t="str">
        <f>""</f>
        <v/>
      </c>
      <c r="AM434" s="18" t="str">
        <f>""</f>
        <v/>
      </c>
    </row>
    <row r="435" spans="1:39" ht="15.75" customHeight="1" x14ac:dyDescent="0.25">
      <c r="A435" s="19" t="str">
        <f>IF('Step 9 - CFO'!B32="","","Active")</f>
        <v/>
      </c>
      <c r="B435" s="20" t="str">
        <f>IF('Step 9 - CFO'!B32="","",'Step 9 - CFO'!B32)</f>
        <v/>
      </c>
      <c r="C435" s="20" t="str">
        <f>IF('Step 9 - CFO'!B32="","",'Step 9 - CFO'!B32)</f>
        <v/>
      </c>
      <c r="D435" s="19" t="str">
        <f>IF('Step 9 - CFO'!B32="","",'Step 9 - CFO'!G32)</f>
        <v/>
      </c>
      <c r="E435" s="19" t="str">
        <f>IF('Step 9 - CFO'!B32="","",'Step 9 - CFO'!H32)</f>
        <v/>
      </c>
      <c r="F435" s="20" t="str">
        <f>IF('Step 9 - CFO'!B32="","",IF('Step 9 - CFO'!C32="","","Fund Code"))</f>
        <v/>
      </c>
      <c r="G435" s="19" t="str">
        <f>IF('Step 9 - CFO'!B32="","",IF('Step 9 - CFO'!C32="","","Equals"))</f>
        <v/>
      </c>
      <c r="H435" s="20" t="str">
        <f>IF('Step 9 - CFO'!B32="","",IF('Step 9 - CFO'!C32="","",'Step 9 - CFO'!C32))</f>
        <v/>
      </c>
      <c r="I435" s="20" t="str">
        <f>IF('Step 9 - CFO'!B32="","","Organization Code")</f>
        <v/>
      </c>
      <c r="J435" s="19" t="str">
        <f>IF('Step 9 - CFO'!B32="","","Equals")</f>
        <v/>
      </c>
      <c r="K435" s="20" t="str">
        <f>IF('Step 9 - CFO'!B32="","",'Step 9 - CFO'!D32)</f>
        <v/>
      </c>
      <c r="L435" s="20" t="str">
        <f>IF('Step 9 - CFO'!B32="","","Other Criteria")</f>
        <v/>
      </c>
      <c r="M435" s="19" t="str">
        <f>IF('Step 9 - CFO'!B32="","","Equals")</f>
        <v/>
      </c>
      <c r="N435" s="20" t="str">
        <f>IF('Step 9 - CFO'!B32="","",'Step 9 - CFO'!E32)</f>
        <v/>
      </c>
      <c r="O435" s="20" t="str">
        <f>IF('Step 9 - CFO'!B32="","",IF('Step 9 - CFO'!F32="","","Total"))</f>
        <v/>
      </c>
      <c r="P435" s="19" t="str">
        <f>IF('Step 9 - CFO'!B32="","",IF('Step 9 - CFO'!F32="","","&gt;="))</f>
        <v/>
      </c>
      <c r="Q435" s="20" t="str">
        <f>IF('Step 9 - CFO'!B32="","",IF('Step 9 - CFO'!F32="","",'Step 9 - CFO'!F32))</f>
        <v/>
      </c>
      <c r="R435" s="20" t="str">
        <f>""</f>
        <v/>
      </c>
      <c r="S435" s="20" t="str">
        <f>""</f>
        <v/>
      </c>
      <c r="T435" s="20" t="str">
        <f>""</f>
        <v/>
      </c>
      <c r="U435" s="20" t="str">
        <f>IF('Step 9 - CFO'!B32="","",'Step 9 - CFO'!I32)</f>
        <v/>
      </c>
      <c r="V435" s="19" t="str">
        <f>IF('Step 9 - CFO'!B32="","",'Step 9 - CFO'!K32)</f>
        <v/>
      </c>
      <c r="W435" s="20" t="str">
        <f>IF('Step 9 - CFO'!B32="","",'Step 9 - CFO'!L32)</f>
        <v/>
      </c>
      <c r="X435" s="19" t="str">
        <f>IF('Step 9 - CFO'!B32="","",'Step 9 - CFO'!N32)</f>
        <v/>
      </c>
      <c r="Y435" s="20" t="str">
        <f>""</f>
        <v/>
      </c>
      <c r="Z435" s="20" t="str">
        <f>""</f>
        <v/>
      </c>
      <c r="AA435" s="20" t="str">
        <f>""</f>
        <v/>
      </c>
      <c r="AB435" s="20" t="str">
        <f>""</f>
        <v/>
      </c>
      <c r="AC435" s="20" t="str">
        <f>""</f>
        <v/>
      </c>
      <c r="AD435" s="20" t="str">
        <f>""</f>
        <v/>
      </c>
      <c r="AE435" s="20" t="str">
        <f>""</f>
        <v/>
      </c>
      <c r="AF435" s="20" t="str">
        <f>""</f>
        <v/>
      </c>
      <c r="AG435" s="20" t="str">
        <f>""</f>
        <v/>
      </c>
      <c r="AH435" s="20" t="str">
        <f>""</f>
        <v/>
      </c>
      <c r="AI435" s="20" t="str">
        <f>""</f>
        <v/>
      </c>
      <c r="AJ435" s="20" t="str">
        <f>""</f>
        <v/>
      </c>
      <c r="AK435" s="20" t="str">
        <f>""</f>
        <v/>
      </c>
      <c r="AL435" s="20" t="str">
        <f>""</f>
        <v/>
      </c>
      <c r="AM435" s="20" t="str">
        <f>""</f>
        <v/>
      </c>
    </row>
    <row r="436" spans="1:39" ht="15.75" customHeight="1" x14ac:dyDescent="0.25">
      <c r="A436" s="17" t="str">
        <f>IF('Step 9 - CFO'!B33="","","Active")</f>
        <v/>
      </c>
      <c r="B436" s="18" t="str">
        <f>IF('Step 9 - CFO'!B33="","",'Step 9 - CFO'!B33)</f>
        <v/>
      </c>
      <c r="C436" s="18" t="str">
        <f>IF('Step 9 - CFO'!B33="","",'Step 9 - CFO'!B33)</f>
        <v/>
      </c>
      <c r="D436" s="17" t="str">
        <f>IF('Step 9 - CFO'!B33="","",'Step 9 - CFO'!G33)</f>
        <v/>
      </c>
      <c r="E436" s="17" t="str">
        <f>IF('Step 9 - CFO'!B33="","",'Step 9 - CFO'!H33)</f>
        <v/>
      </c>
      <c r="F436" s="18" t="str">
        <f>IF('Step 9 - CFO'!B33="","",IF('Step 9 - CFO'!C33="","","Fund Code"))</f>
        <v/>
      </c>
      <c r="G436" s="17" t="str">
        <f>IF('Step 9 - CFO'!B33="","",IF('Step 9 - CFO'!C33="","","Equals"))</f>
        <v/>
      </c>
      <c r="H436" s="18" t="str">
        <f>IF('Step 9 - CFO'!B33="","",IF('Step 9 - CFO'!C33="","",'Step 9 - CFO'!C33))</f>
        <v/>
      </c>
      <c r="I436" s="18" t="str">
        <f>IF('Step 9 - CFO'!B33="","","Organization Code")</f>
        <v/>
      </c>
      <c r="J436" s="17" t="str">
        <f>IF('Step 9 - CFO'!B33="","","Equals")</f>
        <v/>
      </c>
      <c r="K436" s="18" t="str">
        <f>IF('Step 9 - CFO'!B33="","",'Step 9 - CFO'!D33)</f>
        <v/>
      </c>
      <c r="L436" s="18" t="str">
        <f>IF('Step 9 - CFO'!B33="","","Other Criteria")</f>
        <v/>
      </c>
      <c r="M436" s="17" t="str">
        <f>IF('Step 9 - CFO'!B33="","","Equals")</f>
        <v/>
      </c>
      <c r="N436" s="18" t="str">
        <f>IF('Step 9 - CFO'!B33="","",'Step 9 - CFO'!E33)</f>
        <v/>
      </c>
      <c r="O436" s="18" t="str">
        <f>IF('Step 9 - CFO'!B33="","",IF('Step 9 - CFO'!F33="","","Total"))</f>
        <v/>
      </c>
      <c r="P436" s="17" t="str">
        <f>IF('Step 9 - CFO'!B33="","",IF('Step 9 - CFO'!F33="","","&gt;="))</f>
        <v/>
      </c>
      <c r="Q436" s="18" t="str">
        <f>IF('Step 9 - CFO'!B33="","",IF('Step 9 - CFO'!F33="","",'Step 9 - CFO'!F33))</f>
        <v/>
      </c>
      <c r="R436" s="18" t="str">
        <f>""</f>
        <v/>
      </c>
      <c r="S436" s="18" t="str">
        <f>""</f>
        <v/>
      </c>
      <c r="T436" s="18" t="str">
        <f>""</f>
        <v/>
      </c>
      <c r="U436" s="18" t="str">
        <f>IF('Step 9 - CFO'!B33="","",'Step 9 - CFO'!I33)</f>
        <v/>
      </c>
      <c r="V436" s="17" t="str">
        <f>IF('Step 9 - CFO'!B33="","",'Step 9 - CFO'!K33)</f>
        <v/>
      </c>
      <c r="W436" s="18" t="str">
        <f>IF('Step 9 - CFO'!B33="","",'Step 9 - CFO'!L33)</f>
        <v/>
      </c>
      <c r="X436" s="17" t="str">
        <f>IF('Step 9 - CFO'!B33="","",'Step 9 - CFO'!N33)</f>
        <v/>
      </c>
      <c r="Y436" s="18" t="str">
        <f>""</f>
        <v/>
      </c>
      <c r="Z436" s="18" t="str">
        <f>""</f>
        <v/>
      </c>
      <c r="AA436" s="18" t="str">
        <f>""</f>
        <v/>
      </c>
      <c r="AB436" s="18" t="str">
        <f>""</f>
        <v/>
      </c>
      <c r="AC436" s="18" t="str">
        <f>""</f>
        <v/>
      </c>
      <c r="AD436" s="18" t="str">
        <f>""</f>
        <v/>
      </c>
      <c r="AE436" s="18" t="str">
        <f>""</f>
        <v/>
      </c>
      <c r="AF436" s="18" t="str">
        <f>""</f>
        <v/>
      </c>
      <c r="AG436" s="18" t="str">
        <f>""</f>
        <v/>
      </c>
      <c r="AH436" s="18" t="str">
        <f>""</f>
        <v/>
      </c>
      <c r="AI436" s="18" t="str">
        <f>""</f>
        <v/>
      </c>
      <c r="AJ436" s="18" t="str">
        <f>""</f>
        <v/>
      </c>
      <c r="AK436" s="18" t="str">
        <f>""</f>
        <v/>
      </c>
      <c r="AL436" s="18" t="str">
        <f>""</f>
        <v/>
      </c>
      <c r="AM436" s="18" t="str">
        <f>""</f>
        <v/>
      </c>
    </row>
    <row r="437" spans="1:39" ht="15.75" customHeight="1" x14ac:dyDescent="0.25">
      <c r="A437" s="19" t="str">
        <f>IF('Step 9 - CFO'!B34="","","Active")</f>
        <v/>
      </c>
      <c r="B437" s="20" t="str">
        <f>IF('Step 9 - CFO'!B34="","",'Step 9 - CFO'!B34)</f>
        <v/>
      </c>
      <c r="C437" s="20" t="str">
        <f>IF('Step 9 - CFO'!B34="","",'Step 9 - CFO'!B34)</f>
        <v/>
      </c>
      <c r="D437" s="19" t="str">
        <f>IF('Step 9 - CFO'!B34="","",'Step 9 - CFO'!G34)</f>
        <v/>
      </c>
      <c r="E437" s="19" t="str">
        <f>IF('Step 9 - CFO'!B34="","",'Step 9 - CFO'!H34)</f>
        <v/>
      </c>
      <c r="F437" s="20" t="str">
        <f>IF('Step 9 - CFO'!B34="","",IF('Step 9 - CFO'!C34="","","Fund Code"))</f>
        <v/>
      </c>
      <c r="G437" s="19" t="str">
        <f>IF('Step 9 - CFO'!B34="","",IF('Step 9 - CFO'!C34="","","Equals"))</f>
        <v/>
      </c>
      <c r="H437" s="20" t="str">
        <f>IF('Step 9 - CFO'!B34="","",IF('Step 9 - CFO'!C34="","",'Step 9 - CFO'!C34))</f>
        <v/>
      </c>
      <c r="I437" s="20" t="str">
        <f>IF('Step 9 - CFO'!B34="","","Organization Code")</f>
        <v/>
      </c>
      <c r="J437" s="19" t="str">
        <f>IF('Step 9 - CFO'!B34="","","Equals")</f>
        <v/>
      </c>
      <c r="K437" s="20" t="str">
        <f>IF('Step 9 - CFO'!B34="","",'Step 9 - CFO'!D34)</f>
        <v/>
      </c>
      <c r="L437" s="20" t="str">
        <f>IF('Step 9 - CFO'!B34="","","Other Criteria")</f>
        <v/>
      </c>
      <c r="M437" s="19" t="str">
        <f>IF('Step 9 - CFO'!B34="","","Equals")</f>
        <v/>
      </c>
      <c r="N437" s="20" t="str">
        <f>IF('Step 9 - CFO'!B34="","",'Step 9 - CFO'!E34)</f>
        <v/>
      </c>
      <c r="O437" s="20" t="str">
        <f>IF('Step 9 - CFO'!B34="","",IF('Step 9 - CFO'!F34="","","Total"))</f>
        <v/>
      </c>
      <c r="P437" s="19" t="str">
        <f>IF('Step 9 - CFO'!B34="","",IF('Step 9 - CFO'!F34="","","&gt;="))</f>
        <v/>
      </c>
      <c r="Q437" s="20" t="str">
        <f>IF('Step 9 - CFO'!B34="","",IF('Step 9 - CFO'!F34="","",'Step 9 - CFO'!F34))</f>
        <v/>
      </c>
      <c r="R437" s="20" t="str">
        <f>""</f>
        <v/>
      </c>
      <c r="S437" s="20" t="str">
        <f>""</f>
        <v/>
      </c>
      <c r="T437" s="20" t="str">
        <f>""</f>
        <v/>
      </c>
      <c r="U437" s="20" t="str">
        <f>IF('Step 9 - CFO'!B34="","",'Step 9 - CFO'!I34)</f>
        <v/>
      </c>
      <c r="V437" s="19" t="str">
        <f>IF('Step 9 - CFO'!B34="","",'Step 9 - CFO'!K34)</f>
        <v/>
      </c>
      <c r="W437" s="20" t="str">
        <f>IF('Step 9 - CFO'!B34="","",'Step 9 - CFO'!L34)</f>
        <v/>
      </c>
      <c r="X437" s="19" t="str">
        <f>IF('Step 9 - CFO'!B34="","",'Step 9 - CFO'!N34)</f>
        <v/>
      </c>
      <c r="Y437" s="20" t="str">
        <f>""</f>
        <v/>
      </c>
      <c r="Z437" s="20" t="str">
        <f>""</f>
        <v/>
      </c>
      <c r="AA437" s="20" t="str">
        <f>""</f>
        <v/>
      </c>
      <c r="AB437" s="20" t="str">
        <f>""</f>
        <v/>
      </c>
      <c r="AC437" s="20" t="str">
        <f>""</f>
        <v/>
      </c>
      <c r="AD437" s="20" t="str">
        <f>""</f>
        <v/>
      </c>
      <c r="AE437" s="20" t="str">
        <f>""</f>
        <v/>
      </c>
      <c r="AF437" s="20" t="str">
        <f>""</f>
        <v/>
      </c>
      <c r="AG437" s="20" t="str">
        <f>""</f>
        <v/>
      </c>
      <c r="AH437" s="20" t="str">
        <f>""</f>
        <v/>
      </c>
      <c r="AI437" s="20" t="str">
        <f>""</f>
        <v/>
      </c>
      <c r="AJ437" s="20" t="str">
        <f>""</f>
        <v/>
      </c>
      <c r="AK437" s="20" t="str">
        <f>""</f>
        <v/>
      </c>
      <c r="AL437" s="20" t="str">
        <f>""</f>
        <v/>
      </c>
      <c r="AM437" s="20" t="str">
        <f>""</f>
        <v/>
      </c>
    </row>
    <row r="438" spans="1:39" ht="15.75" customHeight="1" x14ac:dyDescent="0.25">
      <c r="A438" s="17" t="str">
        <f>IF('Step 9 - CFO'!B35="","","Active")</f>
        <v/>
      </c>
      <c r="B438" s="18" t="str">
        <f>IF('Step 9 - CFO'!B35="","",'Step 9 - CFO'!B35)</f>
        <v/>
      </c>
      <c r="C438" s="18" t="str">
        <f>IF('Step 9 - CFO'!B35="","",'Step 9 - CFO'!B35)</f>
        <v/>
      </c>
      <c r="D438" s="17" t="str">
        <f>IF('Step 9 - CFO'!B35="","",'Step 9 - CFO'!G35)</f>
        <v/>
      </c>
      <c r="E438" s="17" t="str">
        <f>IF('Step 9 - CFO'!B35="","",'Step 9 - CFO'!H35)</f>
        <v/>
      </c>
      <c r="F438" s="18" t="str">
        <f>IF('Step 9 - CFO'!B35="","",IF('Step 9 - CFO'!C35="","","Fund Code"))</f>
        <v/>
      </c>
      <c r="G438" s="17" t="str">
        <f>IF('Step 9 - CFO'!B35="","",IF('Step 9 - CFO'!C35="","","Equals"))</f>
        <v/>
      </c>
      <c r="H438" s="18" t="str">
        <f>IF('Step 9 - CFO'!B35="","",IF('Step 9 - CFO'!C35="","",'Step 9 - CFO'!C35))</f>
        <v/>
      </c>
      <c r="I438" s="18" t="str">
        <f>IF('Step 9 - CFO'!B35="","","Organization Code")</f>
        <v/>
      </c>
      <c r="J438" s="17" t="str">
        <f>IF('Step 9 - CFO'!B35="","","Equals")</f>
        <v/>
      </c>
      <c r="K438" s="18" t="str">
        <f>IF('Step 9 - CFO'!B35="","",'Step 9 - CFO'!D35)</f>
        <v/>
      </c>
      <c r="L438" s="18" t="str">
        <f>IF('Step 9 - CFO'!B35="","","Other Criteria")</f>
        <v/>
      </c>
      <c r="M438" s="17" t="str">
        <f>IF('Step 9 - CFO'!B35="","","Equals")</f>
        <v/>
      </c>
      <c r="N438" s="18" t="str">
        <f>IF('Step 9 - CFO'!B35="","",'Step 9 - CFO'!E35)</f>
        <v/>
      </c>
      <c r="O438" s="18" t="str">
        <f>IF('Step 9 - CFO'!B35="","",IF('Step 9 - CFO'!F35="","","Total"))</f>
        <v/>
      </c>
      <c r="P438" s="17" t="str">
        <f>IF('Step 9 - CFO'!B35="","",IF('Step 9 - CFO'!F35="","","&gt;="))</f>
        <v/>
      </c>
      <c r="Q438" s="18" t="str">
        <f>IF('Step 9 - CFO'!B35="","",IF('Step 9 - CFO'!F35="","",'Step 9 - CFO'!F35))</f>
        <v/>
      </c>
      <c r="R438" s="18" t="str">
        <f>""</f>
        <v/>
      </c>
      <c r="S438" s="18" t="str">
        <f>""</f>
        <v/>
      </c>
      <c r="T438" s="18" t="str">
        <f>""</f>
        <v/>
      </c>
      <c r="U438" s="18" t="str">
        <f>IF('Step 9 - CFO'!B35="","",'Step 9 - CFO'!I35)</f>
        <v/>
      </c>
      <c r="V438" s="17" t="str">
        <f>IF('Step 9 - CFO'!B35="","",'Step 9 - CFO'!K35)</f>
        <v/>
      </c>
      <c r="W438" s="18" t="str">
        <f>IF('Step 9 - CFO'!B35="","",'Step 9 - CFO'!L35)</f>
        <v/>
      </c>
      <c r="X438" s="17" t="str">
        <f>IF('Step 9 - CFO'!B35="","",'Step 9 - CFO'!N35)</f>
        <v/>
      </c>
      <c r="Y438" s="18" t="str">
        <f>""</f>
        <v/>
      </c>
      <c r="Z438" s="18" t="str">
        <f>""</f>
        <v/>
      </c>
      <c r="AA438" s="18" t="str">
        <f>""</f>
        <v/>
      </c>
      <c r="AB438" s="18" t="str">
        <f>""</f>
        <v/>
      </c>
      <c r="AC438" s="18" t="str">
        <f>""</f>
        <v/>
      </c>
      <c r="AD438" s="18" t="str">
        <f>""</f>
        <v/>
      </c>
      <c r="AE438" s="18" t="str">
        <f>""</f>
        <v/>
      </c>
      <c r="AF438" s="18" t="str">
        <f>""</f>
        <v/>
      </c>
      <c r="AG438" s="18" t="str">
        <f>""</f>
        <v/>
      </c>
      <c r="AH438" s="18" t="str">
        <f>""</f>
        <v/>
      </c>
      <c r="AI438" s="18" t="str">
        <f>""</f>
        <v/>
      </c>
      <c r="AJ438" s="18" t="str">
        <f>""</f>
        <v/>
      </c>
      <c r="AK438" s="18" t="str">
        <f>""</f>
        <v/>
      </c>
      <c r="AL438" s="18" t="str">
        <f>""</f>
        <v/>
      </c>
      <c r="AM438" s="18" t="str">
        <f>""</f>
        <v/>
      </c>
    </row>
    <row r="439" spans="1:39" ht="15.75" customHeight="1" x14ac:dyDescent="0.25">
      <c r="A439" s="19" t="str">
        <f>IF('Step 9 - CFO'!B36="","","Active")</f>
        <v/>
      </c>
      <c r="B439" s="20" t="str">
        <f>IF('Step 9 - CFO'!B36="","",'Step 9 - CFO'!B36)</f>
        <v/>
      </c>
      <c r="C439" s="20" t="str">
        <f>IF('Step 9 - CFO'!B36="","",'Step 9 - CFO'!B36)</f>
        <v/>
      </c>
      <c r="D439" s="19" t="str">
        <f>IF('Step 9 - CFO'!B36="","",'Step 9 - CFO'!G36)</f>
        <v/>
      </c>
      <c r="E439" s="19" t="str">
        <f>IF('Step 9 - CFO'!B36="","",'Step 9 - CFO'!H36)</f>
        <v/>
      </c>
      <c r="F439" s="20" t="str">
        <f>IF('Step 9 - CFO'!B36="","",IF('Step 9 - CFO'!C36="","","Fund Code"))</f>
        <v/>
      </c>
      <c r="G439" s="19" t="str">
        <f>IF('Step 9 - CFO'!B36="","",IF('Step 9 - CFO'!C36="","","Equals"))</f>
        <v/>
      </c>
      <c r="H439" s="20" t="str">
        <f>IF('Step 9 - CFO'!B36="","",IF('Step 9 - CFO'!C36="","",'Step 9 - CFO'!C36))</f>
        <v/>
      </c>
      <c r="I439" s="20" t="str">
        <f>IF('Step 9 - CFO'!B36="","","Organization Code")</f>
        <v/>
      </c>
      <c r="J439" s="19" t="str">
        <f>IF('Step 9 - CFO'!B36="","","Equals")</f>
        <v/>
      </c>
      <c r="K439" s="20" t="str">
        <f>IF('Step 9 - CFO'!B36="","",'Step 9 - CFO'!D36)</f>
        <v/>
      </c>
      <c r="L439" s="20" t="str">
        <f>IF('Step 9 - CFO'!B36="","","Other Criteria")</f>
        <v/>
      </c>
      <c r="M439" s="19" t="str">
        <f>IF('Step 9 - CFO'!B36="","","Equals")</f>
        <v/>
      </c>
      <c r="N439" s="20" t="str">
        <f>IF('Step 9 - CFO'!B36="","",'Step 9 - CFO'!E36)</f>
        <v/>
      </c>
      <c r="O439" s="20" t="str">
        <f>IF('Step 9 - CFO'!B36="","",IF('Step 9 - CFO'!F36="","","Total"))</f>
        <v/>
      </c>
      <c r="P439" s="19" t="str">
        <f>IF('Step 9 - CFO'!B36="","",IF('Step 9 - CFO'!F36="","","&gt;="))</f>
        <v/>
      </c>
      <c r="Q439" s="20" t="str">
        <f>IF('Step 9 - CFO'!B36="","",IF('Step 9 - CFO'!F36="","",'Step 9 - CFO'!F36))</f>
        <v/>
      </c>
      <c r="R439" s="20" t="str">
        <f>""</f>
        <v/>
      </c>
      <c r="S439" s="20" t="str">
        <f>""</f>
        <v/>
      </c>
      <c r="T439" s="20" t="str">
        <f>""</f>
        <v/>
      </c>
      <c r="U439" s="20" t="str">
        <f>IF('Step 9 - CFO'!B36="","",'Step 9 - CFO'!I36)</f>
        <v/>
      </c>
      <c r="V439" s="19" t="str">
        <f>IF('Step 9 - CFO'!B36="","",'Step 9 - CFO'!K36)</f>
        <v/>
      </c>
      <c r="W439" s="20" t="str">
        <f>IF('Step 9 - CFO'!B36="","",'Step 9 - CFO'!L36)</f>
        <v/>
      </c>
      <c r="X439" s="19" t="str">
        <f>IF('Step 9 - CFO'!B36="","",'Step 9 - CFO'!N36)</f>
        <v/>
      </c>
      <c r="Y439" s="20" t="str">
        <f>""</f>
        <v/>
      </c>
      <c r="Z439" s="20" t="str">
        <f>""</f>
        <v/>
      </c>
      <c r="AA439" s="20" t="str">
        <f>""</f>
        <v/>
      </c>
      <c r="AB439" s="20" t="str">
        <f>""</f>
        <v/>
      </c>
      <c r="AC439" s="20" t="str">
        <f>""</f>
        <v/>
      </c>
      <c r="AD439" s="20" t="str">
        <f>""</f>
        <v/>
      </c>
      <c r="AE439" s="20" t="str">
        <f>""</f>
        <v/>
      </c>
      <c r="AF439" s="20" t="str">
        <f>""</f>
        <v/>
      </c>
      <c r="AG439" s="20" t="str">
        <f>""</f>
        <v/>
      </c>
      <c r="AH439" s="20" t="str">
        <f>""</f>
        <v/>
      </c>
      <c r="AI439" s="20" t="str">
        <f>""</f>
        <v/>
      </c>
      <c r="AJ439" s="20" t="str">
        <f>""</f>
        <v/>
      </c>
      <c r="AK439" s="20" t="str">
        <f>""</f>
        <v/>
      </c>
      <c r="AL439" s="20" t="str">
        <f>""</f>
        <v/>
      </c>
      <c r="AM439" s="20" t="str">
        <f>""</f>
        <v/>
      </c>
    </row>
    <row r="440" spans="1:39" ht="15.75" customHeight="1" x14ac:dyDescent="0.25">
      <c r="A440" s="17" t="str">
        <f>IF('Step 9 - CFO'!B37="","","Active")</f>
        <v/>
      </c>
      <c r="B440" s="18" t="str">
        <f>IF('Step 9 - CFO'!B37="","",'Step 9 - CFO'!B37)</f>
        <v/>
      </c>
      <c r="C440" s="18" t="str">
        <f>IF('Step 9 - CFO'!B37="","",'Step 9 - CFO'!B37)</f>
        <v/>
      </c>
      <c r="D440" s="17" t="str">
        <f>IF('Step 9 - CFO'!B37="","",'Step 9 - CFO'!G37)</f>
        <v/>
      </c>
      <c r="E440" s="17" t="str">
        <f>IF('Step 9 - CFO'!B37="","",'Step 9 - CFO'!H37)</f>
        <v/>
      </c>
      <c r="F440" s="18" t="str">
        <f>IF('Step 9 - CFO'!B37="","",IF('Step 9 - CFO'!C37="","","Fund Code"))</f>
        <v/>
      </c>
      <c r="G440" s="17" t="str">
        <f>IF('Step 9 - CFO'!B37="","",IF('Step 9 - CFO'!C37="","","Equals"))</f>
        <v/>
      </c>
      <c r="H440" s="18" t="str">
        <f>IF('Step 9 - CFO'!B37="","",IF('Step 9 - CFO'!C37="","",'Step 9 - CFO'!C37))</f>
        <v/>
      </c>
      <c r="I440" s="18" t="str">
        <f>IF('Step 9 - CFO'!B37="","","Organization Code")</f>
        <v/>
      </c>
      <c r="J440" s="17" t="str">
        <f>IF('Step 9 - CFO'!B37="","","Equals")</f>
        <v/>
      </c>
      <c r="K440" s="18" t="str">
        <f>IF('Step 9 - CFO'!B37="","",'Step 9 - CFO'!D37)</f>
        <v/>
      </c>
      <c r="L440" s="18" t="str">
        <f>IF('Step 9 - CFO'!B37="","","Other Criteria")</f>
        <v/>
      </c>
      <c r="M440" s="17" t="str">
        <f>IF('Step 9 - CFO'!B37="","","Equals")</f>
        <v/>
      </c>
      <c r="N440" s="18" t="str">
        <f>IF('Step 9 - CFO'!B37="","",'Step 9 - CFO'!E37)</f>
        <v/>
      </c>
      <c r="O440" s="18" t="str">
        <f>IF('Step 9 - CFO'!B37="","",IF('Step 9 - CFO'!F37="","","Total"))</f>
        <v/>
      </c>
      <c r="P440" s="17" t="str">
        <f>IF('Step 9 - CFO'!B37="","",IF('Step 9 - CFO'!F37="","","&gt;="))</f>
        <v/>
      </c>
      <c r="Q440" s="18" t="str">
        <f>IF('Step 9 - CFO'!B37="","",IF('Step 9 - CFO'!F37="","",'Step 9 - CFO'!F37))</f>
        <v/>
      </c>
      <c r="R440" s="18" t="str">
        <f>""</f>
        <v/>
      </c>
      <c r="S440" s="18" t="str">
        <f>""</f>
        <v/>
      </c>
      <c r="T440" s="18" t="str">
        <f>""</f>
        <v/>
      </c>
      <c r="U440" s="18" t="str">
        <f>IF('Step 9 - CFO'!B37="","",'Step 9 - CFO'!I37)</f>
        <v/>
      </c>
      <c r="V440" s="17" t="str">
        <f>IF('Step 9 - CFO'!B37="","",'Step 9 - CFO'!K37)</f>
        <v/>
      </c>
      <c r="W440" s="18" t="str">
        <f>IF('Step 9 - CFO'!B37="","",'Step 9 - CFO'!L37)</f>
        <v/>
      </c>
      <c r="X440" s="17" t="str">
        <f>IF('Step 9 - CFO'!B37="","",'Step 9 - CFO'!N37)</f>
        <v/>
      </c>
      <c r="Y440" s="18" t="str">
        <f>""</f>
        <v/>
      </c>
      <c r="Z440" s="18" t="str">
        <f>""</f>
        <v/>
      </c>
      <c r="AA440" s="18" t="str">
        <f>""</f>
        <v/>
      </c>
      <c r="AB440" s="18" t="str">
        <f>""</f>
        <v/>
      </c>
      <c r="AC440" s="18" t="str">
        <f>""</f>
        <v/>
      </c>
      <c r="AD440" s="18" t="str">
        <f>""</f>
        <v/>
      </c>
      <c r="AE440" s="18" t="str">
        <f>""</f>
        <v/>
      </c>
      <c r="AF440" s="18" t="str">
        <f>""</f>
        <v/>
      </c>
      <c r="AG440" s="18" t="str">
        <f>""</f>
        <v/>
      </c>
      <c r="AH440" s="18" t="str">
        <f>""</f>
        <v/>
      </c>
      <c r="AI440" s="18" t="str">
        <f>""</f>
        <v/>
      </c>
      <c r="AJ440" s="18" t="str">
        <f>""</f>
        <v/>
      </c>
      <c r="AK440" s="18" t="str">
        <f>""</f>
        <v/>
      </c>
      <c r="AL440" s="18" t="str">
        <f>""</f>
        <v/>
      </c>
      <c r="AM440" s="18" t="str">
        <f>""</f>
        <v/>
      </c>
    </row>
    <row r="441" spans="1:39" ht="15.75" customHeight="1" x14ac:dyDescent="0.25">
      <c r="A441" s="19" t="str">
        <f>IF('Step 9 - CFO'!B38="","","Active")</f>
        <v/>
      </c>
      <c r="B441" s="20" t="str">
        <f>IF('Step 9 - CFO'!B38="","",'Step 9 - CFO'!B38)</f>
        <v/>
      </c>
      <c r="C441" s="20" t="str">
        <f>IF('Step 9 - CFO'!B38="","",'Step 9 - CFO'!B38)</f>
        <v/>
      </c>
      <c r="D441" s="19" t="str">
        <f>IF('Step 9 - CFO'!B38="","",'Step 9 - CFO'!G38)</f>
        <v/>
      </c>
      <c r="E441" s="19" t="str">
        <f>IF('Step 9 - CFO'!B38="","",'Step 9 - CFO'!H38)</f>
        <v/>
      </c>
      <c r="F441" s="20" t="str">
        <f>IF('Step 9 - CFO'!B38="","",IF('Step 9 - CFO'!C38="","","Fund Code"))</f>
        <v/>
      </c>
      <c r="G441" s="19" t="str">
        <f>IF('Step 9 - CFO'!B38="","",IF('Step 9 - CFO'!C38="","","Equals"))</f>
        <v/>
      </c>
      <c r="H441" s="20" t="str">
        <f>IF('Step 9 - CFO'!B38="","",IF('Step 9 - CFO'!C38="","",'Step 9 - CFO'!C38))</f>
        <v/>
      </c>
      <c r="I441" s="20" t="str">
        <f>IF('Step 9 - CFO'!B38="","","Organization Code")</f>
        <v/>
      </c>
      <c r="J441" s="19" t="str">
        <f>IF('Step 9 - CFO'!B38="","","Equals")</f>
        <v/>
      </c>
      <c r="K441" s="20" t="str">
        <f>IF('Step 9 - CFO'!B38="","",'Step 9 - CFO'!D38)</f>
        <v/>
      </c>
      <c r="L441" s="20" t="str">
        <f>IF('Step 9 - CFO'!B38="","","Other Criteria")</f>
        <v/>
      </c>
      <c r="M441" s="19" t="str">
        <f>IF('Step 9 - CFO'!B38="","","Equals")</f>
        <v/>
      </c>
      <c r="N441" s="20" t="str">
        <f>IF('Step 9 - CFO'!B38="","",'Step 9 - CFO'!E38)</f>
        <v/>
      </c>
      <c r="O441" s="20" t="str">
        <f>IF('Step 9 - CFO'!B38="","",IF('Step 9 - CFO'!F38="","","Total"))</f>
        <v/>
      </c>
      <c r="P441" s="19" t="str">
        <f>IF('Step 9 - CFO'!B38="","",IF('Step 9 - CFO'!F38="","","&gt;="))</f>
        <v/>
      </c>
      <c r="Q441" s="20" t="str">
        <f>IF('Step 9 - CFO'!B38="","",IF('Step 9 - CFO'!F38="","",'Step 9 - CFO'!F38))</f>
        <v/>
      </c>
      <c r="R441" s="20" t="str">
        <f>""</f>
        <v/>
      </c>
      <c r="S441" s="20" t="str">
        <f>""</f>
        <v/>
      </c>
      <c r="T441" s="20" t="str">
        <f>""</f>
        <v/>
      </c>
      <c r="U441" s="20" t="str">
        <f>IF('Step 9 - CFO'!B38="","",'Step 9 - CFO'!I38)</f>
        <v/>
      </c>
      <c r="V441" s="19" t="str">
        <f>IF('Step 9 - CFO'!B38="","",'Step 9 - CFO'!K38)</f>
        <v/>
      </c>
      <c r="W441" s="20" t="str">
        <f>IF('Step 9 - CFO'!B38="","",'Step 9 - CFO'!L38)</f>
        <v/>
      </c>
      <c r="X441" s="19" t="str">
        <f>IF('Step 9 - CFO'!B38="","",'Step 9 - CFO'!N38)</f>
        <v/>
      </c>
      <c r="Y441" s="20" t="str">
        <f>""</f>
        <v/>
      </c>
      <c r="Z441" s="20" t="str">
        <f>""</f>
        <v/>
      </c>
      <c r="AA441" s="20" t="str">
        <f>""</f>
        <v/>
      </c>
      <c r="AB441" s="20" t="str">
        <f>""</f>
        <v/>
      </c>
      <c r="AC441" s="20" t="str">
        <f>""</f>
        <v/>
      </c>
      <c r="AD441" s="20" t="str">
        <f>""</f>
        <v/>
      </c>
      <c r="AE441" s="20" t="str">
        <f>""</f>
        <v/>
      </c>
      <c r="AF441" s="20" t="str">
        <f>""</f>
        <v/>
      </c>
      <c r="AG441" s="20" t="str">
        <f>""</f>
        <v/>
      </c>
      <c r="AH441" s="20" t="str">
        <f>""</f>
        <v/>
      </c>
      <c r="AI441" s="20" t="str">
        <f>""</f>
        <v/>
      </c>
      <c r="AJ441" s="20" t="str">
        <f>""</f>
        <v/>
      </c>
      <c r="AK441" s="20" t="str">
        <f>""</f>
        <v/>
      </c>
      <c r="AL441" s="20" t="str">
        <f>""</f>
        <v/>
      </c>
      <c r="AM441" s="20" t="str">
        <f>""</f>
        <v/>
      </c>
    </row>
    <row r="442" spans="1:39" ht="15.75" customHeight="1" x14ac:dyDescent="0.25">
      <c r="A442" s="17" t="str">
        <f>IF('Step 9 - CFO'!B39="","","Active")</f>
        <v/>
      </c>
      <c r="B442" s="18" t="str">
        <f>IF('Step 9 - CFO'!B39="","",'Step 9 - CFO'!B39)</f>
        <v/>
      </c>
      <c r="C442" s="18" t="str">
        <f>IF('Step 9 - CFO'!B39="","",'Step 9 - CFO'!B39)</f>
        <v/>
      </c>
      <c r="D442" s="17" t="str">
        <f>IF('Step 9 - CFO'!B39="","",'Step 9 - CFO'!G39)</f>
        <v/>
      </c>
      <c r="E442" s="17" t="str">
        <f>IF('Step 9 - CFO'!B39="","",'Step 9 - CFO'!H39)</f>
        <v/>
      </c>
      <c r="F442" s="18" t="str">
        <f>IF('Step 9 - CFO'!B39="","",IF('Step 9 - CFO'!C39="","","Fund Code"))</f>
        <v/>
      </c>
      <c r="G442" s="17" t="str">
        <f>IF('Step 9 - CFO'!B39="","",IF('Step 9 - CFO'!C39="","","Equals"))</f>
        <v/>
      </c>
      <c r="H442" s="18" t="str">
        <f>IF('Step 9 - CFO'!B39="","",IF('Step 9 - CFO'!C39="","",'Step 9 - CFO'!C39))</f>
        <v/>
      </c>
      <c r="I442" s="18" t="str">
        <f>IF('Step 9 - CFO'!B39="","","Organization Code")</f>
        <v/>
      </c>
      <c r="J442" s="17" t="str">
        <f>IF('Step 9 - CFO'!B39="","","Equals")</f>
        <v/>
      </c>
      <c r="K442" s="18" t="str">
        <f>IF('Step 9 - CFO'!B39="","",'Step 9 - CFO'!D39)</f>
        <v/>
      </c>
      <c r="L442" s="18" t="str">
        <f>IF('Step 9 - CFO'!B39="","","Other Criteria")</f>
        <v/>
      </c>
      <c r="M442" s="17" t="str">
        <f>IF('Step 9 - CFO'!B39="","","Equals")</f>
        <v/>
      </c>
      <c r="N442" s="18" t="str">
        <f>IF('Step 9 - CFO'!B39="","",'Step 9 - CFO'!E39)</f>
        <v/>
      </c>
      <c r="O442" s="18" t="str">
        <f>IF('Step 9 - CFO'!B39="","",IF('Step 9 - CFO'!F39="","","Total"))</f>
        <v/>
      </c>
      <c r="P442" s="17" t="str">
        <f>IF('Step 9 - CFO'!B39="","",IF('Step 9 - CFO'!F39="","","&gt;="))</f>
        <v/>
      </c>
      <c r="Q442" s="18" t="str">
        <f>IF('Step 9 - CFO'!B39="","",IF('Step 9 - CFO'!F39="","",'Step 9 - CFO'!F39))</f>
        <v/>
      </c>
      <c r="R442" s="18" t="str">
        <f>""</f>
        <v/>
      </c>
      <c r="S442" s="18" t="str">
        <f>""</f>
        <v/>
      </c>
      <c r="T442" s="18" t="str">
        <f>""</f>
        <v/>
      </c>
      <c r="U442" s="18" t="str">
        <f>IF('Step 9 - CFO'!B39="","",'Step 9 - CFO'!I39)</f>
        <v/>
      </c>
      <c r="V442" s="17" t="str">
        <f>IF('Step 9 - CFO'!B39="","",'Step 9 - CFO'!K39)</f>
        <v/>
      </c>
      <c r="W442" s="18" t="str">
        <f>IF('Step 9 - CFO'!B39="","",'Step 9 - CFO'!L39)</f>
        <v/>
      </c>
      <c r="X442" s="17" t="str">
        <f>IF('Step 9 - CFO'!B39="","",'Step 9 - CFO'!N39)</f>
        <v/>
      </c>
      <c r="Y442" s="18" t="str">
        <f>""</f>
        <v/>
      </c>
      <c r="Z442" s="18" t="str">
        <f>""</f>
        <v/>
      </c>
      <c r="AA442" s="18" t="str">
        <f>""</f>
        <v/>
      </c>
      <c r="AB442" s="18" t="str">
        <f>""</f>
        <v/>
      </c>
      <c r="AC442" s="18" t="str">
        <f>""</f>
        <v/>
      </c>
      <c r="AD442" s="18" t="str">
        <f>""</f>
        <v/>
      </c>
      <c r="AE442" s="18" t="str">
        <f>""</f>
        <v/>
      </c>
      <c r="AF442" s="18" t="str">
        <f>""</f>
        <v/>
      </c>
      <c r="AG442" s="18" t="str">
        <f>""</f>
        <v/>
      </c>
      <c r="AH442" s="18" t="str">
        <f>""</f>
        <v/>
      </c>
      <c r="AI442" s="18" t="str">
        <f>""</f>
        <v/>
      </c>
      <c r="AJ442" s="18" t="str">
        <f>""</f>
        <v/>
      </c>
      <c r="AK442" s="18" t="str">
        <f>""</f>
        <v/>
      </c>
      <c r="AL442" s="18" t="str">
        <f>""</f>
        <v/>
      </c>
      <c r="AM442" s="18" t="str">
        <f>""</f>
        <v/>
      </c>
    </row>
    <row r="443" spans="1:39" ht="15.75" customHeight="1" x14ac:dyDescent="0.25">
      <c r="A443" s="19" t="str">
        <f>IF('Step 9 - CFO'!B40="","","Active")</f>
        <v/>
      </c>
      <c r="B443" s="20" t="str">
        <f>IF('Step 9 - CFO'!B40="","",'Step 9 - CFO'!B40)</f>
        <v/>
      </c>
      <c r="C443" s="20" t="str">
        <f>IF('Step 9 - CFO'!B40="","",'Step 9 - CFO'!B40)</f>
        <v/>
      </c>
      <c r="D443" s="19" t="str">
        <f>IF('Step 9 - CFO'!B40="","",'Step 9 - CFO'!G40)</f>
        <v/>
      </c>
      <c r="E443" s="19" t="str">
        <f>IF('Step 9 - CFO'!B40="","",'Step 9 - CFO'!H40)</f>
        <v/>
      </c>
      <c r="F443" s="20" t="str">
        <f>IF('Step 9 - CFO'!B40="","",IF('Step 9 - CFO'!C40="","","Fund Code"))</f>
        <v/>
      </c>
      <c r="G443" s="19" t="str">
        <f>IF('Step 9 - CFO'!B40="","",IF('Step 9 - CFO'!C40="","","Equals"))</f>
        <v/>
      </c>
      <c r="H443" s="20" t="str">
        <f>IF('Step 9 - CFO'!B40="","",IF('Step 9 - CFO'!C40="","",'Step 9 - CFO'!C40))</f>
        <v/>
      </c>
      <c r="I443" s="20" t="str">
        <f>IF('Step 9 - CFO'!B40="","","Organization Code")</f>
        <v/>
      </c>
      <c r="J443" s="19" t="str">
        <f>IF('Step 9 - CFO'!B40="","","Equals")</f>
        <v/>
      </c>
      <c r="K443" s="20" t="str">
        <f>IF('Step 9 - CFO'!B40="","",'Step 9 - CFO'!D40)</f>
        <v/>
      </c>
      <c r="L443" s="20" t="str">
        <f>IF('Step 9 - CFO'!B40="","","Other Criteria")</f>
        <v/>
      </c>
      <c r="M443" s="19" t="str">
        <f>IF('Step 9 - CFO'!B40="","","Equals")</f>
        <v/>
      </c>
      <c r="N443" s="20" t="str">
        <f>IF('Step 9 - CFO'!B40="","",'Step 9 - CFO'!E40)</f>
        <v/>
      </c>
      <c r="O443" s="20" t="str">
        <f>IF('Step 9 - CFO'!B40="","",IF('Step 9 - CFO'!F40="","","Total"))</f>
        <v/>
      </c>
      <c r="P443" s="19" t="str">
        <f>IF('Step 9 - CFO'!B40="","",IF('Step 9 - CFO'!F40="","","&gt;="))</f>
        <v/>
      </c>
      <c r="Q443" s="20" t="str">
        <f>IF('Step 9 - CFO'!B40="","",IF('Step 9 - CFO'!F40="","",'Step 9 - CFO'!F40))</f>
        <v/>
      </c>
      <c r="R443" s="20" t="str">
        <f>""</f>
        <v/>
      </c>
      <c r="S443" s="20" t="str">
        <f>""</f>
        <v/>
      </c>
      <c r="T443" s="20" t="str">
        <f>""</f>
        <v/>
      </c>
      <c r="U443" s="20" t="str">
        <f>IF('Step 9 - CFO'!B40="","",'Step 9 - CFO'!I40)</f>
        <v/>
      </c>
      <c r="V443" s="19" t="str">
        <f>IF('Step 9 - CFO'!B40="","",'Step 9 - CFO'!K40)</f>
        <v/>
      </c>
      <c r="W443" s="20" t="str">
        <f>IF('Step 9 - CFO'!B40="","",'Step 9 - CFO'!L40)</f>
        <v/>
      </c>
      <c r="X443" s="19" t="str">
        <f>IF('Step 9 - CFO'!B40="","",'Step 9 - CFO'!N40)</f>
        <v/>
      </c>
      <c r="Y443" s="20" t="str">
        <f>""</f>
        <v/>
      </c>
      <c r="Z443" s="20" t="str">
        <f>""</f>
        <v/>
      </c>
      <c r="AA443" s="20" t="str">
        <f>""</f>
        <v/>
      </c>
      <c r="AB443" s="20" t="str">
        <f>""</f>
        <v/>
      </c>
      <c r="AC443" s="20" t="str">
        <f>""</f>
        <v/>
      </c>
      <c r="AD443" s="20" t="str">
        <f>""</f>
        <v/>
      </c>
      <c r="AE443" s="20" t="str">
        <f>""</f>
        <v/>
      </c>
      <c r="AF443" s="20" t="str">
        <f>""</f>
        <v/>
      </c>
      <c r="AG443" s="20" t="str">
        <f>""</f>
        <v/>
      </c>
      <c r="AH443" s="20" t="str">
        <f>""</f>
        <v/>
      </c>
      <c r="AI443" s="20" t="str">
        <f>""</f>
        <v/>
      </c>
      <c r="AJ443" s="20" t="str">
        <f>""</f>
        <v/>
      </c>
      <c r="AK443" s="20" t="str">
        <f>""</f>
        <v/>
      </c>
      <c r="AL443" s="20" t="str">
        <f>""</f>
        <v/>
      </c>
      <c r="AM443" s="20" t="str">
        <f>""</f>
        <v/>
      </c>
    </row>
    <row r="444" spans="1:39" ht="15.75" customHeight="1" x14ac:dyDescent="0.25">
      <c r="A444" s="17" t="str">
        <f>IF('Step 9 - CFO'!B41="","","Active")</f>
        <v/>
      </c>
      <c r="B444" s="18" t="str">
        <f>IF('Step 9 - CFO'!B41="","",'Step 9 - CFO'!B41)</f>
        <v/>
      </c>
      <c r="C444" s="18" t="str">
        <f>IF('Step 9 - CFO'!B41="","",'Step 9 - CFO'!B41)</f>
        <v/>
      </c>
      <c r="D444" s="17" t="str">
        <f>IF('Step 9 - CFO'!B41="","",'Step 9 - CFO'!G41)</f>
        <v/>
      </c>
      <c r="E444" s="17" t="str">
        <f>IF('Step 9 - CFO'!B41="","",'Step 9 - CFO'!H41)</f>
        <v/>
      </c>
      <c r="F444" s="18" t="str">
        <f>IF('Step 9 - CFO'!B41="","",IF('Step 9 - CFO'!C41="","","Fund Code"))</f>
        <v/>
      </c>
      <c r="G444" s="17" t="str">
        <f>IF('Step 9 - CFO'!B41="","",IF('Step 9 - CFO'!C41="","","Equals"))</f>
        <v/>
      </c>
      <c r="H444" s="18" t="str">
        <f>IF('Step 9 - CFO'!B41="","",IF('Step 9 - CFO'!C41="","",'Step 9 - CFO'!C41))</f>
        <v/>
      </c>
      <c r="I444" s="18" t="str">
        <f>IF('Step 9 - CFO'!B41="","","Organization Code")</f>
        <v/>
      </c>
      <c r="J444" s="17" t="str">
        <f>IF('Step 9 - CFO'!B41="","","Equals")</f>
        <v/>
      </c>
      <c r="K444" s="18" t="str">
        <f>IF('Step 9 - CFO'!B41="","",'Step 9 - CFO'!D41)</f>
        <v/>
      </c>
      <c r="L444" s="18" t="str">
        <f>IF('Step 9 - CFO'!B41="","","Other Criteria")</f>
        <v/>
      </c>
      <c r="M444" s="17" t="str">
        <f>IF('Step 9 - CFO'!B41="","","Equals")</f>
        <v/>
      </c>
      <c r="N444" s="18" t="str">
        <f>IF('Step 9 - CFO'!B41="","",'Step 9 - CFO'!E41)</f>
        <v/>
      </c>
      <c r="O444" s="18" t="str">
        <f>IF('Step 9 - CFO'!B41="","",IF('Step 9 - CFO'!F41="","","Total"))</f>
        <v/>
      </c>
      <c r="P444" s="17" t="str">
        <f>IF('Step 9 - CFO'!B41="","",IF('Step 9 - CFO'!F41="","","&gt;="))</f>
        <v/>
      </c>
      <c r="Q444" s="18" t="str">
        <f>IF('Step 9 - CFO'!B41="","",IF('Step 9 - CFO'!F41="","",'Step 9 - CFO'!F41))</f>
        <v/>
      </c>
      <c r="R444" s="18" t="str">
        <f>""</f>
        <v/>
      </c>
      <c r="S444" s="18" t="str">
        <f>""</f>
        <v/>
      </c>
      <c r="T444" s="18" t="str">
        <f>""</f>
        <v/>
      </c>
      <c r="U444" s="18" t="str">
        <f>IF('Step 9 - CFO'!B41="","",'Step 9 - CFO'!I41)</f>
        <v/>
      </c>
      <c r="V444" s="17" t="str">
        <f>IF('Step 9 - CFO'!B41="","",'Step 9 - CFO'!K41)</f>
        <v/>
      </c>
      <c r="W444" s="18" t="str">
        <f>IF('Step 9 - CFO'!B41="","",'Step 9 - CFO'!L41)</f>
        <v/>
      </c>
      <c r="X444" s="17" t="str">
        <f>IF('Step 9 - CFO'!B41="","",'Step 9 - CFO'!N41)</f>
        <v/>
      </c>
      <c r="Y444" s="18" t="str">
        <f>""</f>
        <v/>
      </c>
      <c r="Z444" s="18" t="str">
        <f>""</f>
        <v/>
      </c>
      <c r="AA444" s="18" t="str">
        <f>""</f>
        <v/>
      </c>
      <c r="AB444" s="18" t="str">
        <f>""</f>
        <v/>
      </c>
      <c r="AC444" s="18" t="str">
        <f>""</f>
        <v/>
      </c>
      <c r="AD444" s="18" t="str">
        <f>""</f>
        <v/>
      </c>
      <c r="AE444" s="18" t="str">
        <f>""</f>
        <v/>
      </c>
      <c r="AF444" s="18" t="str">
        <f>""</f>
        <v/>
      </c>
      <c r="AG444" s="18" t="str">
        <f>""</f>
        <v/>
      </c>
      <c r="AH444" s="18" t="str">
        <f>""</f>
        <v/>
      </c>
      <c r="AI444" s="18" t="str">
        <f>""</f>
        <v/>
      </c>
      <c r="AJ444" s="18" t="str">
        <f>""</f>
        <v/>
      </c>
      <c r="AK444" s="18" t="str">
        <f>""</f>
        <v/>
      </c>
      <c r="AL444" s="18" t="str">
        <f>""</f>
        <v/>
      </c>
      <c r="AM444" s="18" t="str">
        <f>""</f>
        <v/>
      </c>
    </row>
    <row r="445" spans="1:39" ht="15.75" customHeight="1" x14ac:dyDescent="0.25">
      <c r="A445" s="19" t="str">
        <f>IF('Step 9 - CFO'!B42="","","Active")</f>
        <v/>
      </c>
      <c r="B445" s="20" t="str">
        <f>IF('Step 9 - CFO'!B42="","",'Step 9 - CFO'!B42)</f>
        <v/>
      </c>
      <c r="C445" s="20" t="str">
        <f>IF('Step 9 - CFO'!B42="","",'Step 9 - CFO'!B42)</f>
        <v/>
      </c>
      <c r="D445" s="19" t="str">
        <f>IF('Step 9 - CFO'!B42="","",'Step 9 - CFO'!G42)</f>
        <v/>
      </c>
      <c r="E445" s="19" t="str">
        <f>IF('Step 9 - CFO'!B42="","",'Step 9 - CFO'!H42)</f>
        <v/>
      </c>
      <c r="F445" s="20" t="str">
        <f>IF('Step 9 - CFO'!B42="","",IF('Step 9 - CFO'!C42="","","Fund Code"))</f>
        <v/>
      </c>
      <c r="G445" s="19" t="str">
        <f>IF('Step 9 - CFO'!B42="","",IF('Step 9 - CFO'!C42="","","Equals"))</f>
        <v/>
      </c>
      <c r="H445" s="20" t="str">
        <f>IF('Step 9 - CFO'!B42="","",IF('Step 9 - CFO'!C42="","",'Step 9 - CFO'!C42))</f>
        <v/>
      </c>
      <c r="I445" s="20" t="str">
        <f>IF('Step 9 - CFO'!B42="","","Organization Code")</f>
        <v/>
      </c>
      <c r="J445" s="19" t="str">
        <f>IF('Step 9 - CFO'!B42="","","Equals")</f>
        <v/>
      </c>
      <c r="K445" s="20" t="str">
        <f>IF('Step 9 - CFO'!B42="","",'Step 9 - CFO'!D42)</f>
        <v/>
      </c>
      <c r="L445" s="20" t="str">
        <f>IF('Step 9 - CFO'!B42="","","Other Criteria")</f>
        <v/>
      </c>
      <c r="M445" s="19" t="str">
        <f>IF('Step 9 - CFO'!B42="","","Equals")</f>
        <v/>
      </c>
      <c r="N445" s="20" t="str">
        <f>IF('Step 9 - CFO'!B42="","",'Step 9 - CFO'!E42)</f>
        <v/>
      </c>
      <c r="O445" s="20" t="str">
        <f>IF('Step 9 - CFO'!B42="","",IF('Step 9 - CFO'!F42="","","Total"))</f>
        <v/>
      </c>
      <c r="P445" s="19" t="str">
        <f>IF('Step 9 - CFO'!B42="","",IF('Step 9 - CFO'!F42="","","&gt;="))</f>
        <v/>
      </c>
      <c r="Q445" s="20" t="str">
        <f>IF('Step 9 - CFO'!B42="","",IF('Step 9 - CFO'!F42="","",'Step 9 - CFO'!F42))</f>
        <v/>
      </c>
      <c r="R445" s="20" t="str">
        <f>""</f>
        <v/>
      </c>
      <c r="S445" s="20" t="str">
        <f>""</f>
        <v/>
      </c>
      <c r="T445" s="20" t="str">
        <f>""</f>
        <v/>
      </c>
      <c r="U445" s="20" t="str">
        <f>IF('Step 9 - CFO'!B42="","",'Step 9 - CFO'!I42)</f>
        <v/>
      </c>
      <c r="V445" s="19" t="str">
        <f>IF('Step 9 - CFO'!B42="","",'Step 9 - CFO'!K42)</f>
        <v/>
      </c>
      <c r="W445" s="20" t="str">
        <f>IF('Step 9 - CFO'!B42="","",'Step 9 - CFO'!L42)</f>
        <v/>
      </c>
      <c r="X445" s="19" t="str">
        <f>IF('Step 9 - CFO'!B42="","",'Step 9 - CFO'!N42)</f>
        <v/>
      </c>
      <c r="Y445" s="20" t="str">
        <f>""</f>
        <v/>
      </c>
      <c r="Z445" s="20" t="str">
        <f>""</f>
        <v/>
      </c>
      <c r="AA445" s="20" t="str">
        <f>""</f>
        <v/>
      </c>
      <c r="AB445" s="20" t="str">
        <f>""</f>
        <v/>
      </c>
      <c r="AC445" s="20" t="str">
        <f>""</f>
        <v/>
      </c>
      <c r="AD445" s="20" t="str">
        <f>""</f>
        <v/>
      </c>
      <c r="AE445" s="20" t="str">
        <f>""</f>
        <v/>
      </c>
      <c r="AF445" s="20" t="str">
        <f>""</f>
        <v/>
      </c>
      <c r="AG445" s="20" t="str">
        <f>""</f>
        <v/>
      </c>
      <c r="AH445" s="20" t="str">
        <f>""</f>
        <v/>
      </c>
      <c r="AI445" s="20" t="str">
        <f>""</f>
        <v/>
      </c>
      <c r="AJ445" s="20" t="str">
        <f>""</f>
        <v/>
      </c>
      <c r="AK445" s="20" t="str">
        <f>""</f>
        <v/>
      </c>
      <c r="AL445" s="20" t="str">
        <f>""</f>
        <v/>
      </c>
      <c r="AM445" s="20" t="str">
        <f>""</f>
        <v/>
      </c>
    </row>
    <row r="446" spans="1:39" ht="15.75" customHeight="1" x14ac:dyDescent="0.25">
      <c r="A446" s="17" t="str">
        <f>IF('Step 9 - CFO'!B43="","","Active")</f>
        <v/>
      </c>
      <c r="B446" s="18" t="str">
        <f>IF('Step 9 - CFO'!B43="","",'Step 9 - CFO'!B43)</f>
        <v/>
      </c>
      <c r="C446" s="18" t="str">
        <f>IF('Step 9 - CFO'!B43="","",'Step 9 - CFO'!B43)</f>
        <v/>
      </c>
      <c r="D446" s="17" t="str">
        <f>IF('Step 9 - CFO'!B43="","",'Step 9 - CFO'!G43)</f>
        <v/>
      </c>
      <c r="E446" s="17" t="str">
        <f>IF('Step 9 - CFO'!B43="","",'Step 9 - CFO'!H43)</f>
        <v/>
      </c>
      <c r="F446" s="18" t="str">
        <f>IF('Step 9 - CFO'!B43="","",IF('Step 9 - CFO'!C43="","","Fund Code"))</f>
        <v/>
      </c>
      <c r="G446" s="17" t="str">
        <f>IF('Step 9 - CFO'!B43="","",IF('Step 9 - CFO'!C43="","","Equals"))</f>
        <v/>
      </c>
      <c r="H446" s="18" t="str">
        <f>IF('Step 9 - CFO'!B43="","",IF('Step 9 - CFO'!C43="","",'Step 9 - CFO'!C43))</f>
        <v/>
      </c>
      <c r="I446" s="18" t="str">
        <f>IF('Step 9 - CFO'!B43="","","Organization Code")</f>
        <v/>
      </c>
      <c r="J446" s="17" t="str">
        <f>IF('Step 9 - CFO'!B43="","","Equals")</f>
        <v/>
      </c>
      <c r="K446" s="18" t="str">
        <f>IF('Step 9 - CFO'!B43="","",'Step 9 - CFO'!D43)</f>
        <v/>
      </c>
      <c r="L446" s="18" t="str">
        <f>IF('Step 9 - CFO'!B43="","","Other Criteria")</f>
        <v/>
      </c>
      <c r="M446" s="17" t="str">
        <f>IF('Step 9 - CFO'!B43="","","Equals")</f>
        <v/>
      </c>
      <c r="N446" s="18" t="str">
        <f>IF('Step 9 - CFO'!B43="","",'Step 9 - CFO'!E43)</f>
        <v/>
      </c>
      <c r="O446" s="18" t="str">
        <f>IF('Step 9 - CFO'!B43="","",IF('Step 9 - CFO'!F43="","","Total"))</f>
        <v/>
      </c>
      <c r="P446" s="17" t="str">
        <f>IF('Step 9 - CFO'!B43="","",IF('Step 9 - CFO'!F43="","","&gt;="))</f>
        <v/>
      </c>
      <c r="Q446" s="18" t="str">
        <f>IF('Step 9 - CFO'!B43="","",IF('Step 9 - CFO'!F43="","",'Step 9 - CFO'!F43))</f>
        <v/>
      </c>
      <c r="R446" s="18" t="str">
        <f>""</f>
        <v/>
      </c>
      <c r="S446" s="18" t="str">
        <f>""</f>
        <v/>
      </c>
      <c r="T446" s="18" t="str">
        <f>""</f>
        <v/>
      </c>
      <c r="U446" s="18" t="str">
        <f>IF('Step 9 - CFO'!B43="","",'Step 9 - CFO'!I43)</f>
        <v/>
      </c>
      <c r="V446" s="17" t="str">
        <f>IF('Step 9 - CFO'!B43="","",'Step 9 - CFO'!K43)</f>
        <v/>
      </c>
      <c r="W446" s="18" t="str">
        <f>IF('Step 9 - CFO'!B43="","",'Step 9 - CFO'!L43)</f>
        <v/>
      </c>
      <c r="X446" s="17" t="str">
        <f>IF('Step 9 - CFO'!B43="","",'Step 9 - CFO'!N43)</f>
        <v/>
      </c>
      <c r="Y446" s="18" t="str">
        <f>""</f>
        <v/>
      </c>
      <c r="Z446" s="18" t="str">
        <f>""</f>
        <v/>
      </c>
      <c r="AA446" s="18" t="str">
        <f>""</f>
        <v/>
      </c>
      <c r="AB446" s="18" t="str">
        <f>""</f>
        <v/>
      </c>
      <c r="AC446" s="18" t="str">
        <f>""</f>
        <v/>
      </c>
      <c r="AD446" s="18" t="str">
        <f>""</f>
        <v/>
      </c>
      <c r="AE446" s="18" t="str">
        <f>""</f>
        <v/>
      </c>
      <c r="AF446" s="18" t="str">
        <f>""</f>
        <v/>
      </c>
      <c r="AG446" s="18" t="str">
        <f>""</f>
        <v/>
      </c>
      <c r="AH446" s="18" t="str">
        <f>""</f>
        <v/>
      </c>
      <c r="AI446" s="18" t="str">
        <f>""</f>
        <v/>
      </c>
      <c r="AJ446" s="18" t="str">
        <f>""</f>
        <v/>
      </c>
      <c r="AK446" s="18" t="str">
        <f>""</f>
        <v/>
      </c>
      <c r="AL446" s="18" t="str">
        <f>""</f>
        <v/>
      </c>
      <c r="AM446" s="18" t="str">
        <f>""</f>
        <v/>
      </c>
    </row>
    <row r="447" spans="1:39" ht="15.75" customHeight="1" x14ac:dyDescent="0.25">
      <c r="A447" s="19" t="str">
        <f>IF('Step 9 - CFO'!B44="","","Active")</f>
        <v/>
      </c>
      <c r="B447" s="20" t="str">
        <f>IF('Step 9 - CFO'!B44="","",'Step 9 - CFO'!B44)</f>
        <v/>
      </c>
      <c r="C447" s="20" t="str">
        <f>IF('Step 9 - CFO'!B44="","",'Step 9 - CFO'!B44)</f>
        <v/>
      </c>
      <c r="D447" s="19" t="str">
        <f>IF('Step 9 - CFO'!B44="","",'Step 9 - CFO'!G44)</f>
        <v/>
      </c>
      <c r="E447" s="19" t="str">
        <f>IF('Step 9 - CFO'!B44="","",'Step 9 - CFO'!H44)</f>
        <v/>
      </c>
      <c r="F447" s="20" t="str">
        <f>IF('Step 9 - CFO'!B44="","",IF('Step 9 - CFO'!C44="","","Fund Code"))</f>
        <v/>
      </c>
      <c r="G447" s="19" t="str">
        <f>IF('Step 9 - CFO'!B44="","",IF('Step 9 - CFO'!C44="","","Equals"))</f>
        <v/>
      </c>
      <c r="H447" s="20" t="str">
        <f>IF('Step 9 - CFO'!B44="","",IF('Step 9 - CFO'!C44="","",'Step 9 - CFO'!C44))</f>
        <v/>
      </c>
      <c r="I447" s="20" t="str">
        <f>IF('Step 9 - CFO'!B44="","","Organization Code")</f>
        <v/>
      </c>
      <c r="J447" s="19" t="str">
        <f>IF('Step 9 - CFO'!B44="","","Equals")</f>
        <v/>
      </c>
      <c r="K447" s="20" t="str">
        <f>IF('Step 9 - CFO'!B44="","",'Step 9 - CFO'!D44)</f>
        <v/>
      </c>
      <c r="L447" s="20" t="str">
        <f>IF('Step 9 - CFO'!B44="","","Other Criteria")</f>
        <v/>
      </c>
      <c r="M447" s="19" t="str">
        <f>IF('Step 9 - CFO'!B44="","","Equals")</f>
        <v/>
      </c>
      <c r="N447" s="20" t="str">
        <f>IF('Step 9 - CFO'!B44="","",'Step 9 - CFO'!E44)</f>
        <v/>
      </c>
      <c r="O447" s="20" t="str">
        <f>IF('Step 9 - CFO'!B44="","",IF('Step 9 - CFO'!F44="","","Total"))</f>
        <v/>
      </c>
      <c r="P447" s="19" t="str">
        <f>IF('Step 9 - CFO'!B44="","",IF('Step 9 - CFO'!F44="","","&gt;="))</f>
        <v/>
      </c>
      <c r="Q447" s="20" t="str">
        <f>IF('Step 9 - CFO'!B44="","",IF('Step 9 - CFO'!F44="","",'Step 9 - CFO'!F44))</f>
        <v/>
      </c>
      <c r="R447" s="20" t="str">
        <f>""</f>
        <v/>
      </c>
      <c r="S447" s="20" t="str">
        <f>""</f>
        <v/>
      </c>
      <c r="T447" s="20" t="str">
        <f>""</f>
        <v/>
      </c>
      <c r="U447" s="20" t="str">
        <f>IF('Step 9 - CFO'!B44="","",'Step 9 - CFO'!I44)</f>
        <v/>
      </c>
      <c r="V447" s="19" t="str">
        <f>IF('Step 9 - CFO'!B44="","",'Step 9 - CFO'!K44)</f>
        <v/>
      </c>
      <c r="W447" s="20" t="str">
        <f>IF('Step 9 - CFO'!B44="","",'Step 9 - CFO'!L44)</f>
        <v/>
      </c>
      <c r="X447" s="19" t="str">
        <f>IF('Step 9 - CFO'!B44="","",'Step 9 - CFO'!N44)</f>
        <v/>
      </c>
      <c r="Y447" s="20" t="str">
        <f>""</f>
        <v/>
      </c>
      <c r="Z447" s="20" t="str">
        <f>""</f>
        <v/>
      </c>
      <c r="AA447" s="20" t="str">
        <f>""</f>
        <v/>
      </c>
      <c r="AB447" s="20" t="str">
        <f>""</f>
        <v/>
      </c>
      <c r="AC447" s="20" t="str">
        <f>""</f>
        <v/>
      </c>
      <c r="AD447" s="20" t="str">
        <f>""</f>
        <v/>
      </c>
      <c r="AE447" s="20" t="str">
        <f>""</f>
        <v/>
      </c>
      <c r="AF447" s="20" t="str">
        <f>""</f>
        <v/>
      </c>
      <c r="AG447" s="20" t="str">
        <f>""</f>
        <v/>
      </c>
      <c r="AH447" s="20" t="str">
        <f>""</f>
        <v/>
      </c>
      <c r="AI447" s="20" t="str">
        <f>""</f>
        <v/>
      </c>
      <c r="AJ447" s="20" t="str">
        <f>""</f>
        <v/>
      </c>
      <c r="AK447" s="20" t="str">
        <f>""</f>
        <v/>
      </c>
      <c r="AL447" s="20" t="str">
        <f>""</f>
        <v/>
      </c>
      <c r="AM447" s="20" t="str">
        <f>""</f>
        <v/>
      </c>
    </row>
    <row r="448" spans="1:39" ht="15.75" customHeight="1" x14ac:dyDescent="0.25">
      <c r="A448" s="17" t="str">
        <f>IF('Step 9 - CFO'!B45="","","Active")</f>
        <v/>
      </c>
      <c r="B448" s="18" t="str">
        <f>IF('Step 9 - CFO'!B45="","",'Step 9 - CFO'!B45)</f>
        <v/>
      </c>
      <c r="C448" s="18" t="str">
        <f>IF('Step 9 - CFO'!B45="","",'Step 9 - CFO'!B45)</f>
        <v/>
      </c>
      <c r="D448" s="17" t="str">
        <f>IF('Step 9 - CFO'!B45="","",'Step 9 - CFO'!G45)</f>
        <v/>
      </c>
      <c r="E448" s="17" t="str">
        <f>IF('Step 9 - CFO'!B45="","",'Step 9 - CFO'!H45)</f>
        <v/>
      </c>
      <c r="F448" s="18" t="str">
        <f>IF('Step 9 - CFO'!B45="","",IF('Step 9 - CFO'!C45="","","Fund Code"))</f>
        <v/>
      </c>
      <c r="G448" s="17" t="str">
        <f>IF('Step 9 - CFO'!B45="","",IF('Step 9 - CFO'!C45="","","Equals"))</f>
        <v/>
      </c>
      <c r="H448" s="18" t="str">
        <f>IF('Step 9 - CFO'!B45="","",IF('Step 9 - CFO'!C45="","",'Step 9 - CFO'!C45))</f>
        <v/>
      </c>
      <c r="I448" s="18" t="str">
        <f>IF('Step 9 - CFO'!B45="","","Organization Code")</f>
        <v/>
      </c>
      <c r="J448" s="17" t="str">
        <f>IF('Step 9 - CFO'!B45="","","Equals")</f>
        <v/>
      </c>
      <c r="K448" s="18" t="str">
        <f>IF('Step 9 - CFO'!B45="","",'Step 9 - CFO'!D45)</f>
        <v/>
      </c>
      <c r="L448" s="18" t="str">
        <f>IF('Step 9 - CFO'!B45="","","Other Criteria")</f>
        <v/>
      </c>
      <c r="M448" s="17" t="str">
        <f>IF('Step 9 - CFO'!B45="","","Equals")</f>
        <v/>
      </c>
      <c r="N448" s="18" t="str">
        <f>IF('Step 9 - CFO'!B45="","",'Step 9 - CFO'!E45)</f>
        <v/>
      </c>
      <c r="O448" s="18" t="str">
        <f>IF('Step 9 - CFO'!B45="","",IF('Step 9 - CFO'!F45="","","Total"))</f>
        <v/>
      </c>
      <c r="P448" s="17" t="str">
        <f>IF('Step 9 - CFO'!B45="","",IF('Step 9 - CFO'!F45="","","&gt;="))</f>
        <v/>
      </c>
      <c r="Q448" s="18" t="str">
        <f>IF('Step 9 - CFO'!B45="","",IF('Step 9 - CFO'!F45="","",'Step 9 - CFO'!F45))</f>
        <v/>
      </c>
      <c r="R448" s="18" t="str">
        <f>""</f>
        <v/>
      </c>
      <c r="S448" s="18" t="str">
        <f>""</f>
        <v/>
      </c>
      <c r="T448" s="18" t="str">
        <f>""</f>
        <v/>
      </c>
      <c r="U448" s="18" t="str">
        <f>IF('Step 9 - CFO'!B45="","",'Step 9 - CFO'!I45)</f>
        <v/>
      </c>
      <c r="V448" s="17" t="str">
        <f>IF('Step 9 - CFO'!B45="","",'Step 9 - CFO'!K45)</f>
        <v/>
      </c>
      <c r="W448" s="18" t="str">
        <f>IF('Step 9 - CFO'!B45="","",'Step 9 - CFO'!L45)</f>
        <v/>
      </c>
      <c r="X448" s="17" t="str">
        <f>IF('Step 9 - CFO'!B45="","",'Step 9 - CFO'!N45)</f>
        <v/>
      </c>
      <c r="Y448" s="18" t="str">
        <f>""</f>
        <v/>
      </c>
      <c r="Z448" s="18" t="str">
        <f>""</f>
        <v/>
      </c>
      <c r="AA448" s="18" t="str">
        <f>""</f>
        <v/>
      </c>
      <c r="AB448" s="18" t="str">
        <f>""</f>
        <v/>
      </c>
      <c r="AC448" s="18" t="str">
        <f>""</f>
        <v/>
      </c>
      <c r="AD448" s="18" t="str">
        <f>""</f>
        <v/>
      </c>
      <c r="AE448" s="18" t="str">
        <f>""</f>
        <v/>
      </c>
      <c r="AF448" s="18" t="str">
        <f>""</f>
        <v/>
      </c>
      <c r="AG448" s="18" t="str">
        <f>""</f>
        <v/>
      </c>
      <c r="AH448" s="18" t="str">
        <f>""</f>
        <v/>
      </c>
      <c r="AI448" s="18" t="str">
        <f>""</f>
        <v/>
      </c>
      <c r="AJ448" s="18" t="str">
        <f>""</f>
        <v/>
      </c>
      <c r="AK448" s="18" t="str">
        <f>""</f>
        <v/>
      </c>
      <c r="AL448" s="18" t="str">
        <f>""</f>
        <v/>
      </c>
      <c r="AM448" s="18" t="str">
        <f>""</f>
        <v/>
      </c>
    </row>
    <row r="449" spans="1:39" ht="15.75" customHeight="1" x14ac:dyDescent="0.25">
      <c r="A449" s="19" t="str">
        <f>IF('Step 9 - CFO'!B46="","","Active")</f>
        <v/>
      </c>
      <c r="B449" s="20" t="str">
        <f>IF('Step 9 - CFO'!B46="","",'Step 9 - CFO'!B46)</f>
        <v/>
      </c>
      <c r="C449" s="20" t="str">
        <f>IF('Step 9 - CFO'!B46="","",'Step 9 - CFO'!B46)</f>
        <v/>
      </c>
      <c r="D449" s="19" t="str">
        <f>IF('Step 9 - CFO'!B46="","",'Step 9 - CFO'!G46)</f>
        <v/>
      </c>
      <c r="E449" s="19" t="str">
        <f>IF('Step 9 - CFO'!B46="","",'Step 9 - CFO'!H46)</f>
        <v/>
      </c>
      <c r="F449" s="20" t="str">
        <f>IF('Step 9 - CFO'!B46="","",IF('Step 9 - CFO'!C46="","","Fund Code"))</f>
        <v/>
      </c>
      <c r="G449" s="19" t="str">
        <f>IF('Step 9 - CFO'!B46="","",IF('Step 9 - CFO'!C46="","","Equals"))</f>
        <v/>
      </c>
      <c r="H449" s="20" t="str">
        <f>IF('Step 9 - CFO'!B46="","",IF('Step 9 - CFO'!C46="","",'Step 9 - CFO'!C46))</f>
        <v/>
      </c>
      <c r="I449" s="20" t="str">
        <f>IF('Step 9 - CFO'!B46="","","Organization Code")</f>
        <v/>
      </c>
      <c r="J449" s="19" t="str">
        <f>IF('Step 9 - CFO'!B46="","","Equals")</f>
        <v/>
      </c>
      <c r="K449" s="20" t="str">
        <f>IF('Step 9 - CFO'!B46="","",'Step 9 - CFO'!D46)</f>
        <v/>
      </c>
      <c r="L449" s="20" t="str">
        <f>IF('Step 9 - CFO'!B46="","","Other Criteria")</f>
        <v/>
      </c>
      <c r="M449" s="19" t="str">
        <f>IF('Step 9 - CFO'!B46="","","Equals")</f>
        <v/>
      </c>
      <c r="N449" s="20" t="str">
        <f>IF('Step 9 - CFO'!B46="","",'Step 9 - CFO'!E46)</f>
        <v/>
      </c>
      <c r="O449" s="20" t="str">
        <f>IF('Step 9 - CFO'!B46="","",IF('Step 9 - CFO'!F46="","","Total"))</f>
        <v/>
      </c>
      <c r="P449" s="19" t="str">
        <f>IF('Step 9 - CFO'!B46="","",IF('Step 9 - CFO'!F46="","","&gt;="))</f>
        <v/>
      </c>
      <c r="Q449" s="20" t="str">
        <f>IF('Step 9 - CFO'!B46="","",IF('Step 9 - CFO'!F46="","",'Step 9 - CFO'!F46))</f>
        <v/>
      </c>
      <c r="R449" s="20" t="str">
        <f>""</f>
        <v/>
      </c>
      <c r="S449" s="20" t="str">
        <f>""</f>
        <v/>
      </c>
      <c r="T449" s="20" t="str">
        <f>""</f>
        <v/>
      </c>
      <c r="U449" s="20" t="str">
        <f>IF('Step 9 - CFO'!B46="","",'Step 9 - CFO'!I46)</f>
        <v/>
      </c>
      <c r="V449" s="19" t="str">
        <f>IF('Step 9 - CFO'!B46="","",'Step 9 - CFO'!K46)</f>
        <v/>
      </c>
      <c r="W449" s="20" t="str">
        <f>IF('Step 9 - CFO'!B46="","",'Step 9 - CFO'!L46)</f>
        <v/>
      </c>
      <c r="X449" s="19" t="str">
        <f>IF('Step 9 - CFO'!B46="","",'Step 9 - CFO'!N46)</f>
        <v/>
      </c>
      <c r="Y449" s="20" t="str">
        <f>""</f>
        <v/>
      </c>
      <c r="Z449" s="20" t="str">
        <f>""</f>
        <v/>
      </c>
      <c r="AA449" s="20" t="str">
        <f>""</f>
        <v/>
      </c>
      <c r="AB449" s="20" t="str">
        <f>""</f>
        <v/>
      </c>
      <c r="AC449" s="20" t="str">
        <f>""</f>
        <v/>
      </c>
      <c r="AD449" s="20" t="str">
        <f>""</f>
        <v/>
      </c>
      <c r="AE449" s="20" t="str">
        <f>""</f>
        <v/>
      </c>
      <c r="AF449" s="20" t="str">
        <f>""</f>
        <v/>
      </c>
      <c r="AG449" s="20" t="str">
        <f>""</f>
        <v/>
      </c>
      <c r="AH449" s="20" t="str">
        <f>""</f>
        <v/>
      </c>
      <c r="AI449" s="20" t="str">
        <f>""</f>
        <v/>
      </c>
      <c r="AJ449" s="20" t="str">
        <f>""</f>
        <v/>
      </c>
      <c r="AK449" s="20" t="str">
        <f>""</f>
        <v/>
      </c>
      <c r="AL449" s="20" t="str">
        <f>""</f>
        <v/>
      </c>
      <c r="AM449" s="20" t="str">
        <f>""</f>
        <v/>
      </c>
    </row>
    <row r="450" spans="1:39" ht="15.75" customHeight="1" x14ac:dyDescent="0.25">
      <c r="A450" s="17" t="str">
        <f>IF('Step 9 - CFO'!B47="","","Active")</f>
        <v/>
      </c>
      <c r="B450" s="18" t="str">
        <f>IF('Step 9 - CFO'!B47="","",'Step 9 - CFO'!B47)</f>
        <v/>
      </c>
      <c r="C450" s="18" t="str">
        <f>IF('Step 9 - CFO'!B47="","",'Step 9 - CFO'!B47)</f>
        <v/>
      </c>
      <c r="D450" s="17" t="str">
        <f>IF('Step 9 - CFO'!B47="","",'Step 9 - CFO'!G47)</f>
        <v/>
      </c>
      <c r="E450" s="17" t="str">
        <f>IF('Step 9 - CFO'!B47="","",'Step 9 - CFO'!H47)</f>
        <v/>
      </c>
      <c r="F450" s="18" t="str">
        <f>IF('Step 9 - CFO'!B47="","",IF('Step 9 - CFO'!C47="","","Fund Code"))</f>
        <v/>
      </c>
      <c r="G450" s="17" t="str">
        <f>IF('Step 9 - CFO'!B47="","",IF('Step 9 - CFO'!C47="","","Equals"))</f>
        <v/>
      </c>
      <c r="H450" s="18" t="str">
        <f>IF('Step 9 - CFO'!B47="","",IF('Step 9 - CFO'!C47="","",'Step 9 - CFO'!C47))</f>
        <v/>
      </c>
      <c r="I450" s="18" t="str">
        <f>IF('Step 9 - CFO'!B47="","","Organization Code")</f>
        <v/>
      </c>
      <c r="J450" s="17" t="str">
        <f>IF('Step 9 - CFO'!B47="","","Equals")</f>
        <v/>
      </c>
      <c r="K450" s="18" t="str">
        <f>IF('Step 9 - CFO'!B47="","",'Step 9 - CFO'!D47)</f>
        <v/>
      </c>
      <c r="L450" s="18" t="str">
        <f>IF('Step 9 - CFO'!B47="","","Other Criteria")</f>
        <v/>
      </c>
      <c r="M450" s="17" t="str">
        <f>IF('Step 9 - CFO'!B47="","","Equals")</f>
        <v/>
      </c>
      <c r="N450" s="18" t="str">
        <f>IF('Step 9 - CFO'!B47="","",'Step 9 - CFO'!E47)</f>
        <v/>
      </c>
      <c r="O450" s="18" t="str">
        <f>IF('Step 9 - CFO'!B47="","",IF('Step 9 - CFO'!F47="","","Total"))</f>
        <v/>
      </c>
      <c r="P450" s="17" t="str">
        <f>IF('Step 9 - CFO'!B47="","",IF('Step 9 - CFO'!F47="","","&gt;="))</f>
        <v/>
      </c>
      <c r="Q450" s="18" t="str">
        <f>IF('Step 9 - CFO'!B47="","",IF('Step 9 - CFO'!F47="","",'Step 9 - CFO'!F47))</f>
        <v/>
      </c>
      <c r="R450" s="18" t="str">
        <f>""</f>
        <v/>
      </c>
      <c r="S450" s="18" t="str">
        <f>""</f>
        <v/>
      </c>
      <c r="T450" s="18" t="str">
        <f>""</f>
        <v/>
      </c>
      <c r="U450" s="18" t="str">
        <f>IF('Step 9 - CFO'!B47="","",'Step 9 - CFO'!I47)</f>
        <v/>
      </c>
      <c r="V450" s="17" t="str">
        <f>IF('Step 9 - CFO'!B47="","",'Step 9 - CFO'!K47)</f>
        <v/>
      </c>
      <c r="W450" s="18" t="str">
        <f>IF('Step 9 - CFO'!B47="","",'Step 9 - CFO'!L47)</f>
        <v/>
      </c>
      <c r="X450" s="17" t="str">
        <f>IF('Step 9 - CFO'!B47="","",'Step 9 - CFO'!N47)</f>
        <v/>
      </c>
      <c r="Y450" s="18" t="str">
        <f>""</f>
        <v/>
      </c>
      <c r="Z450" s="18" t="str">
        <f>""</f>
        <v/>
      </c>
      <c r="AA450" s="18" t="str">
        <f>""</f>
        <v/>
      </c>
      <c r="AB450" s="18" t="str">
        <f>""</f>
        <v/>
      </c>
      <c r="AC450" s="18" t="str">
        <f>""</f>
        <v/>
      </c>
      <c r="AD450" s="18" t="str">
        <f>""</f>
        <v/>
      </c>
      <c r="AE450" s="18" t="str">
        <f>""</f>
        <v/>
      </c>
      <c r="AF450" s="18" t="str">
        <f>""</f>
        <v/>
      </c>
      <c r="AG450" s="18" t="str">
        <f>""</f>
        <v/>
      </c>
      <c r="AH450" s="18" t="str">
        <f>""</f>
        <v/>
      </c>
      <c r="AI450" s="18" t="str">
        <f>""</f>
        <v/>
      </c>
      <c r="AJ450" s="18" t="str">
        <f>""</f>
        <v/>
      </c>
      <c r="AK450" s="18" t="str">
        <f>""</f>
        <v/>
      </c>
      <c r="AL450" s="18" t="str">
        <f>""</f>
        <v/>
      </c>
      <c r="AM450" s="18" t="str">
        <f>""</f>
        <v/>
      </c>
    </row>
    <row r="451" spans="1:39" ht="15.75" customHeight="1" x14ac:dyDescent="0.25">
      <c r="A451" s="19" t="str">
        <f>IF('Step 9 - CFO'!B48="","","Active")</f>
        <v/>
      </c>
      <c r="B451" s="20" t="str">
        <f>IF('Step 9 - CFO'!B48="","",'Step 9 - CFO'!B48)</f>
        <v/>
      </c>
      <c r="C451" s="20" t="str">
        <f>IF('Step 9 - CFO'!B48="","",'Step 9 - CFO'!B48)</f>
        <v/>
      </c>
      <c r="D451" s="19" t="str">
        <f>IF('Step 9 - CFO'!B48="","",'Step 9 - CFO'!G48)</f>
        <v/>
      </c>
      <c r="E451" s="19" t="str">
        <f>IF('Step 9 - CFO'!B48="","",'Step 9 - CFO'!H48)</f>
        <v/>
      </c>
      <c r="F451" s="20" t="str">
        <f>IF('Step 9 - CFO'!B48="","",IF('Step 9 - CFO'!C48="","","Fund Code"))</f>
        <v/>
      </c>
      <c r="G451" s="19" t="str">
        <f>IF('Step 9 - CFO'!B48="","",IF('Step 9 - CFO'!C48="","","Equals"))</f>
        <v/>
      </c>
      <c r="H451" s="20" t="str">
        <f>IF('Step 9 - CFO'!B48="","",IF('Step 9 - CFO'!C48="","",'Step 9 - CFO'!C48))</f>
        <v/>
      </c>
      <c r="I451" s="20" t="str">
        <f>IF('Step 9 - CFO'!B48="","","Organization Code")</f>
        <v/>
      </c>
      <c r="J451" s="19" t="str">
        <f>IF('Step 9 - CFO'!B48="","","Equals")</f>
        <v/>
      </c>
      <c r="K451" s="20" t="str">
        <f>IF('Step 9 - CFO'!B48="","",'Step 9 - CFO'!D48)</f>
        <v/>
      </c>
      <c r="L451" s="20" t="str">
        <f>IF('Step 9 - CFO'!B48="","","Other Criteria")</f>
        <v/>
      </c>
      <c r="M451" s="19" t="str">
        <f>IF('Step 9 - CFO'!B48="","","Equals")</f>
        <v/>
      </c>
      <c r="N451" s="20" t="str">
        <f>IF('Step 9 - CFO'!B48="","",'Step 9 - CFO'!E48)</f>
        <v/>
      </c>
      <c r="O451" s="20" t="str">
        <f>IF('Step 9 - CFO'!B48="","",IF('Step 9 - CFO'!F48="","","Total"))</f>
        <v/>
      </c>
      <c r="P451" s="19" t="str">
        <f>IF('Step 9 - CFO'!B48="","",IF('Step 9 - CFO'!F48="","","&gt;="))</f>
        <v/>
      </c>
      <c r="Q451" s="20" t="str">
        <f>IF('Step 9 - CFO'!B48="","",IF('Step 9 - CFO'!F48="","",'Step 9 - CFO'!F48))</f>
        <v/>
      </c>
      <c r="R451" s="20" t="str">
        <f>""</f>
        <v/>
      </c>
      <c r="S451" s="20" t="str">
        <f>""</f>
        <v/>
      </c>
      <c r="T451" s="20" t="str">
        <f>""</f>
        <v/>
      </c>
      <c r="U451" s="20" t="str">
        <f>IF('Step 9 - CFO'!B48="","",'Step 9 - CFO'!I48)</f>
        <v/>
      </c>
      <c r="V451" s="19" t="str">
        <f>IF('Step 9 - CFO'!B48="","",'Step 9 - CFO'!K48)</f>
        <v/>
      </c>
      <c r="W451" s="20" t="str">
        <f>IF('Step 9 - CFO'!B48="","",'Step 9 - CFO'!L48)</f>
        <v/>
      </c>
      <c r="X451" s="19" t="str">
        <f>IF('Step 9 - CFO'!B48="","",'Step 9 - CFO'!N48)</f>
        <v/>
      </c>
      <c r="Y451" s="20" t="str">
        <f>""</f>
        <v/>
      </c>
      <c r="Z451" s="20" t="str">
        <f>""</f>
        <v/>
      </c>
      <c r="AA451" s="20" t="str">
        <f>""</f>
        <v/>
      </c>
      <c r="AB451" s="20" t="str">
        <f>""</f>
        <v/>
      </c>
      <c r="AC451" s="20" t="str">
        <f>""</f>
        <v/>
      </c>
      <c r="AD451" s="20" t="str">
        <f>""</f>
        <v/>
      </c>
      <c r="AE451" s="20" t="str">
        <f>""</f>
        <v/>
      </c>
      <c r="AF451" s="20" t="str">
        <f>""</f>
        <v/>
      </c>
      <c r="AG451" s="20" t="str">
        <f>""</f>
        <v/>
      </c>
      <c r="AH451" s="20" t="str">
        <f>""</f>
        <v/>
      </c>
      <c r="AI451" s="20" t="str">
        <f>""</f>
        <v/>
      </c>
      <c r="AJ451" s="20" t="str">
        <f>""</f>
        <v/>
      </c>
      <c r="AK451" s="20" t="str">
        <f>""</f>
        <v/>
      </c>
      <c r="AL451" s="20" t="str">
        <f>""</f>
        <v/>
      </c>
      <c r="AM451" s="20" t="str">
        <f>""</f>
        <v/>
      </c>
    </row>
    <row r="452" spans="1:39" ht="15.75" customHeight="1" x14ac:dyDescent="0.25">
      <c r="A452" s="17" t="str">
        <f>IF('Step 9 - CFO'!B49="","","Active")</f>
        <v/>
      </c>
      <c r="B452" s="18" t="str">
        <f>IF('Step 9 - CFO'!B49="","",'Step 9 - CFO'!B49)</f>
        <v/>
      </c>
      <c r="C452" s="18" t="str">
        <f>IF('Step 9 - CFO'!B49="","",'Step 9 - CFO'!B49)</f>
        <v/>
      </c>
      <c r="D452" s="17" t="str">
        <f>IF('Step 9 - CFO'!B49="","",'Step 9 - CFO'!G49)</f>
        <v/>
      </c>
      <c r="E452" s="17" t="str">
        <f>IF('Step 9 - CFO'!B49="","",'Step 9 - CFO'!H49)</f>
        <v/>
      </c>
      <c r="F452" s="18" t="str">
        <f>IF('Step 9 - CFO'!B49="","",IF('Step 9 - CFO'!C49="","","Fund Code"))</f>
        <v/>
      </c>
      <c r="G452" s="17" t="str">
        <f>IF('Step 9 - CFO'!B49="","",IF('Step 9 - CFO'!C49="","","Equals"))</f>
        <v/>
      </c>
      <c r="H452" s="18" t="str">
        <f>IF('Step 9 - CFO'!B49="","",IF('Step 9 - CFO'!C49="","",'Step 9 - CFO'!C49))</f>
        <v/>
      </c>
      <c r="I452" s="18" t="str">
        <f>IF('Step 9 - CFO'!B49="","","Organization Code")</f>
        <v/>
      </c>
      <c r="J452" s="17" t="str">
        <f>IF('Step 9 - CFO'!B49="","","Equals")</f>
        <v/>
      </c>
      <c r="K452" s="18" t="str">
        <f>IF('Step 9 - CFO'!B49="","",'Step 9 - CFO'!D49)</f>
        <v/>
      </c>
      <c r="L452" s="18" t="str">
        <f>IF('Step 9 - CFO'!B49="","","Other Criteria")</f>
        <v/>
      </c>
      <c r="M452" s="17" t="str">
        <f>IF('Step 9 - CFO'!B49="","","Equals")</f>
        <v/>
      </c>
      <c r="N452" s="18" t="str">
        <f>IF('Step 9 - CFO'!B49="","",'Step 9 - CFO'!E49)</f>
        <v/>
      </c>
      <c r="O452" s="18" t="str">
        <f>IF('Step 9 - CFO'!B49="","",IF('Step 9 - CFO'!F49="","","Total"))</f>
        <v/>
      </c>
      <c r="P452" s="17" t="str">
        <f>IF('Step 9 - CFO'!B49="","",IF('Step 9 - CFO'!F49="","","&gt;="))</f>
        <v/>
      </c>
      <c r="Q452" s="18" t="str">
        <f>IF('Step 9 - CFO'!B49="","",IF('Step 9 - CFO'!F49="","",'Step 9 - CFO'!F49))</f>
        <v/>
      </c>
      <c r="R452" s="18" t="str">
        <f>""</f>
        <v/>
      </c>
      <c r="S452" s="18" t="str">
        <f>""</f>
        <v/>
      </c>
      <c r="T452" s="18" t="str">
        <f>""</f>
        <v/>
      </c>
      <c r="U452" s="18" t="str">
        <f>IF('Step 9 - CFO'!B49="","",'Step 9 - CFO'!I49)</f>
        <v/>
      </c>
      <c r="V452" s="17" t="str">
        <f>IF('Step 9 - CFO'!B49="","",'Step 9 - CFO'!K49)</f>
        <v/>
      </c>
      <c r="W452" s="18" t="str">
        <f>IF('Step 9 - CFO'!B49="","",'Step 9 - CFO'!L49)</f>
        <v/>
      </c>
      <c r="X452" s="17" t="str">
        <f>IF('Step 9 - CFO'!B49="","",'Step 9 - CFO'!N49)</f>
        <v/>
      </c>
      <c r="Y452" s="18" t="str">
        <f>""</f>
        <v/>
      </c>
      <c r="Z452" s="18" t="str">
        <f>""</f>
        <v/>
      </c>
      <c r="AA452" s="18" t="str">
        <f>""</f>
        <v/>
      </c>
      <c r="AB452" s="18" t="str">
        <f>""</f>
        <v/>
      </c>
      <c r="AC452" s="18" t="str">
        <f>""</f>
        <v/>
      </c>
      <c r="AD452" s="18" t="str">
        <f>""</f>
        <v/>
      </c>
      <c r="AE452" s="18" t="str">
        <f>""</f>
        <v/>
      </c>
      <c r="AF452" s="18" t="str">
        <f>""</f>
        <v/>
      </c>
      <c r="AG452" s="18" t="str">
        <f>""</f>
        <v/>
      </c>
      <c r="AH452" s="18" t="str">
        <f>""</f>
        <v/>
      </c>
      <c r="AI452" s="18" t="str">
        <f>""</f>
        <v/>
      </c>
      <c r="AJ452" s="18" t="str">
        <f>""</f>
        <v/>
      </c>
      <c r="AK452" s="18" t="str">
        <f>""</f>
        <v/>
      </c>
      <c r="AL452" s="18" t="str">
        <f>""</f>
        <v/>
      </c>
      <c r="AM452" s="18" t="str">
        <f>""</f>
        <v/>
      </c>
    </row>
    <row r="453" spans="1:39" ht="15.75" customHeight="1" x14ac:dyDescent="0.25">
      <c r="A453" s="19" t="str">
        <f>IF('Step 9 - CFO'!B50="","","Active")</f>
        <v/>
      </c>
      <c r="B453" s="20" t="str">
        <f>IF('Step 9 - CFO'!B50="","",'Step 9 - CFO'!B50)</f>
        <v/>
      </c>
      <c r="C453" s="20" t="str">
        <f>IF('Step 9 - CFO'!B50="","",'Step 9 - CFO'!B50)</f>
        <v/>
      </c>
      <c r="D453" s="19" t="str">
        <f>IF('Step 9 - CFO'!B50="","",'Step 9 - CFO'!G50)</f>
        <v/>
      </c>
      <c r="E453" s="19" t="str">
        <f>IF('Step 9 - CFO'!B50="","",'Step 9 - CFO'!H50)</f>
        <v/>
      </c>
      <c r="F453" s="20" t="str">
        <f>IF('Step 9 - CFO'!B50="","",IF('Step 9 - CFO'!C50="","","Fund Code"))</f>
        <v/>
      </c>
      <c r="G453" s="19" t="str">
        <f>IF('Step 9 - CFO'!B50="","",IF('Step 9 - CFO'!C50="","","Equals"))</f>
        <v/>
      </c>
      <c r="H453" s="20" t="str">
        <f>IF('Step 9 - CFO'!B50="","",IF('Step 9 - CFO'!C50="","",'Step 9 - CFO'!C50))</f>
        <v/>
      </c>
      <c r="I453" s="20" t="str">
        <f>IF('Step 9 - CFO'!B50="","","Organization Code")</f>
        <v/>
      </c>
      <c r="J453" s="19" t="str">
        <f>IF('Step 9 - CFO'!B50="","","Equals")</f>
        <v/>
      </c>
      <c r="K453" s="20" t="str">
        <f>IF('Step 9 - CFO'!B50="","",'Step 9 - CFO'!D50)</f>
        <v/>
      </c>
      <c r="L453" s="20" t="str">
        <f>IF('Step 9 - CFO'!B50="","","Other Criteria")</f>
        <v/>
      </c>
      <c r="M453" s="19" t="str">
        <f>IF('Step 9 - CFO'!B50="","","Equals")</f>
        <v/>
      </c>
      <c r="N453" s="20" t="str">
        <f>IF('Step 9 - CFO'!B50="","",'Step 9 - CFO'!E50)</f>
        <v/>
      </c>
      <c r="O453" s="20" t="str">
        <f>IF('Step 9 - CFO'!B50="","",IF('Step 9 - CFO'!F50="","","Total"))</f>
        <v/>
      </c>
      <c r="P453" s="19" t="str">
        <f>IF('Step 9 - CFO'!B50="","",IF('Step 9 - CFO'!F50="","","&gt;="))</f>
        <v/>
      </c>
      <c r="Q453" s="20" t="str">
        <f>IF('Step 9 - CFO'!B50="","",IF('Step 9 - CFO'!F50="","",'Step 9 - CFO'!F50))</f>
        <v/>
      </c>
      <c r="R453" s="20" t="str">
        <f>""</f>
        <v/>
      </c>
      <c r="S453" s="20" t="str">
        <f>""</f>
        <v/>
      </c>
      <c r="T453" s="20" t="str">
        <f>""</f>
        <v/>
      </c>
      <c r="U453" s="20" t="str">
        <f>IF('Step 9 - CFO'!B50="","",'Step 9 - CFO'!I50)</f>
        <v/>
      </c>
      <c r="V453" s="19" t="str">
        <f>IF('Step 9 - CFO'!B50="","",'Step 9 - CFO'!K50)</f>
        <v/>
      </c>
      <c r="W453" s="20" t="str">
        <f>IF('Step 9 - CFO'!B50="","",'Step 9 - CFO'!L50)</f>
        <v/>
      </c>
      <c r="X453" s="19" t="str">
        <f>IF('Step 9 - CFO'!B50="","",'Step 9 - CFO'!N50)</f>
        <v/>
      </c>
      <c r="Y453" s="20" t="str">
        <f>""</f>
        <v/>
      </c>
      <c r="Z453" s="20" t="str">
        <f>""</f>
        <v/>
      </c>
      <c r="AA453" s="20" t="str">
        <f>""</f>
        <v/>
      </c>
      <c r="AB453" s="20" t="str">
        <f>""</f>
        <v/>
      </c>
      <c r="AC453" s="20" t="str">
        <f>""</f>
        <v/>
      </c>
      <c r="AD453" s="20" t="str">
        <f>""</f>
        <v/>
      </c>
      <c r="AE453" s="20" t="str">
        <f>""</f>
        <v/>
      </c>
      <c r="AF453" s="20" t="str">
        <f>""</f>
        <v/>
      </c>
      <c r="AG453" s="20" t="str">
        <f>""</f>
        <v/>
      </c>
      <c r="AH453" s="20" t="str">
        <f>""</f>
        <v/>
      </c>
      <c r="AI453" s="20" t="str">
        <f>""</f>
        <v/>
      </c>
      <c r="AJ453" s="20" t="str">
        <f>""</f>
        <v/>
      </c>
      <c r="AK453" s="20" t="str">
        <f>""</f>
        <v/>
      </c>
      <c r="AL453" s="20" t="str">
        <f>""</f>
        <v/>
      </c>
      <c r="AM453" s="20" t="str">
        <f>""</f>
        <v/>
      </c>
    </row>
    <row r="454" spans="1:39" ht="15.75" customHeight="1" x14ac:dyDescent="0.25">
      <c r="A454" s="17" t="str">
        <f>IF('Step 9 - CFO'!B51="","","Active")</f>
        <v/>
      </c>
      <c r="B454" s="18" t="str">
        <f>IF('Step 9 - CFO'!B51="","",'Step 9 - CFO'!B51)</f>
        <v/>
      </c>
      <c r="C454" s="18" t="str">
        <f>IF('Step 9 - CFO'!B51="","",'Step 9 - CFO'!B51)</f>
        <v/>
      </c>
      <c r="D454" s="17" t="str">
        <f>IF('Step 9 - CFO'!B51="","",'Step 9 - CFO'!G51)</f>
        <v/>
      </c>
      <c r="E454" s="17" t="str">
        <f>IF('Step 9 - CFO'!B51="","",'Step 9 - CFO'!H51)</f>
        <v/>
      </c>
      <c r="F454" s="18" t="str">
        <f>IF('Step 9 - CFO'!B51="","",IF('Step 9 - CFO'!C51="","","Fund Code"))</f>
        <v/>
      </c>
      <c r="G454" s="17" t="str">
        <f>IF('Step 9 - CFO'!B51="","",IF('Step 9 - CFO'!C51="","","Equals"))</f>
        <v/>
      </c>
      <c r="H454" s="18" t="str">
        <f>IF('Step 9 - CFO'!B51="","",IF('Step 9 - CFO'!C51="","",'Step 9 - CFO'!C51))</f>
        <v/>
      </c>
      <c r="I454" s="18" t="str">
        <f>IF('Step 9 - CFO'!B51="","","Organization Code")</f>
        <v/>
      </c>
      <c r="J454" s="17" t="str">
        <f>IF('Step 9 - CFO'!B51="","","Equals")</f>
        <v/>
      </c>
      <c r="K454" s="18" t="str">
        <f>IF('Step 9 - CFO'!B51="","",'Step 9 - CFO'!D51)</f>
        <v/>
      </c>
      <c r="L454" s="18" t="str">
        <f>IF('Step 9 - CFO'!B51="","","Other Criteria")</f>
        <v/>
      </c>
      <c r="M454" s="17" t="str">
        <f>IF('Step 9 - CFO'!B51="","","Equals")</f>
        <v/>
      </c>
      <c r="N454" s="18" t="str">
        <f>IF('Step 9 - CFO'!B51="","",'Step 9 - CFO'!E51)</f>
        <v/>
      </c>
      <c r="O454" s="18" t="str">
        <f>IF('Step 9 - CFO'!B51="","",IF('Step 9 - CFO'!F51="","","Total"))</f>
        <v/>
      </c>
      <c r="P454" s="17" t="str">
        <f>IF('Step 9 - CFO'!B51="","",IF('Step 9 - CFO'!F51="","","&gt;="))</f>
        <v/>
      </c>
      <c r="Q454" s="18" t="str">
        <f>IF('Step 9 - CFO'!B51="","",IF('Step 9 - CFO'!F51="","",'Step 9 - CFO'!F51))</f>
        <v/>
      </c>
      <c r="R454" s="18" t="str">
        <f>""</f>
        <v/>
      </c>
      <c r="S454" s="18" t="str">
        <f>""</f>
        <v/>
      </c>
      <c r="T454" s="18" t="str">
        <f>""</f>
        <v/>
      </c>
      <c r="U454" s="18" t="str">
        <f>IF('Step 9 - CFO'!B51="","",'Step 9 - CFO'!I51)</f>
        <v/>
      </c>
      <c r="V454" s="17" t="str">
        <f>IF('Step 9 - CFO'!B51="","",'Step 9 - CFO'!K51)</f>
        <v/>
      </c>
      <c r="W454" s="18" t="str">
        <f>IF('Step 9 - CFO'!B51="","",'Step 9 - CFO'!L51)</f>
        <v/>
      </c>
      <c r="X454" s="17" t="str">
        <f>IF('Step 9 - CFO'!B51="","",'Step 9 - CFO'!N51)</f>
        <v/>
      </c>
      <c r="Y454" s="18" t="str">
        <f>""</f>
        <v/>
      </c>
      <c r="Z454" s="18" t="str">
        <f>""</f>
        <v/>
      </c>
      <c r="AA454" s="18" t="str">
        <f>""</f>
        <v/>
      </c>
      <c r="AB454" s="18" t="str">
        <f>""</f>
        <v/>
      </c>
      <c r="AC454" s="18" t="str">
        <f>""</f>
        <v/>
      </c>
      <c r="AD454" s="18" t="str">
        <f>""</f>
        <v/>
      </c>
      <c r="AE454" s="18" t="str">
        <f>""</f>
        <v/>
      </c>
      <c r="AF454" s="18" t="str">
        <f>""</f>
        <v/>
      </c>
      <c r="AG454" s="18" t="str">
        <f>""</f>
        <v/>
      </c>
      <c r="AH454" s="18" t="str">
        <f>""</f>
        <v/>
      </c>
      <c r="AI454" s="18" t="str">
        <f>""</f>
        <v/>
      </c>
      <c r="AJ454" s="18" t="str">
        <f>""</f>
        <v/>
      </c>
      <c r="AK454" s="18" t="str">
        <f>""</f>
        <v/>
      </c>
      <c r="AL454" s="18" t="str">
        <f>""</f>
        <v/>
      </c>
      <c r="AM454" s="18" t="str">
        <f>""</f>
        <v/>
      </c>
    </row>
    <row r="455" spans="1:39" ht="15.75" customHeight="1" x14ac:dyDescent="0.25">
      <c r="A455" s="19" t="str">
        <f>IF('Step 9 - CFO'!B52="","","Active")</f>
        <v/>
      </c>
      <c r="B455" s="20" t="str">
        <f>IF('Step 9 - CFO'!B52="","",'Step 9 - CFO'!B52)</f>
        <v/>
      </c>
      <c r="C455" s="20" t="str">
        <f>IF('Step 9 - CFO'!B52="","",'Step 9 - CFO'!B52)</f>
        <v/>
      </c>
      <c r="D455" s="19" t="str">
        <f>IF('Step 9 - CFO'!B52="","",'Step 9 - CFO'!G52)</f>
        <v/>
      </c>
      <c r="E455" s="19" t="str">
        <f>IF('Step 9 - CFO'!B52="","",'Step 9 - CFO'!H52)</f>
        <v/>
      </c>
      <c r="F455" s="20" t="str">
        <f>IF('Step 9 - CFO'!B52="","",IF('Step 9 - CFO'!C52="","","Fund Code"))</f>
        <v/>
      </c>
      <c r="G455" s="19" t="str">
        <f>IF('Step 9 - CFO'!B52="","",IF('Step 9 - CFO'!C52="","","Equals"))</f>
        <v/>
      </c>
      <c r="H455" s="20" t="str">
        <f>IF('Step 9 - CFO'!B52="","",IF('Step 9 - CFO'!C52="","",'Step 9 - CFO'!C52))</f>
        <v/>
      </c>
      <c r="I455" s="20" t="str">
        <f>IF('Step 9 - CFO'!B52="","","Organization Code")</f>
        <v/>
      </c>
      <c r="J455" s="19" t="str">
        <f>IF('Step 9 - CFO'!B52="","","Equals")</f>
        <v/>
      </c>
      <c r="K455" s="20" t="str">
        <f>IF('Step 9 - CFO'!B52="","",'Step 9 - CFO'!D52)</f>
        <v/>
      </c>
      <c r="L455" s="20" t="str">
        <f>IF('Step 9 - CFO'!B52="","","Other Criteria")</f>
        <v/>
      </c>
      <c r="M455" s="19" t="str">
        <f>IF('Step 9 - CFO'!B52="","","Equals")</f>
        <v/>
      </c>
      <c r="N455" s="20" t="str">
        <f>IF('Step 9 - CFO'!B52="","",'Step 9 - CFO'!E52)</f>
        <v/>
      </c>
      <c r="O455" s="20" t="str">
        <f>IF('Step 9 - CFO'!B52="","",IF('Step 9 - CFO'!F52="","","Total"))</f>
        <v/>
      </c>
      <c r="P455" s="19" t="str">
        <f>IF('Step 9 - CFO'!B52="","",IF('Step 9 - CFO'!F52="","","&gt;="))</f>
        <v/>
      </c>
      <c r="Q455" s="20" t="str">
        <f>IF('Step 9 - CFO'!B52="","",IF('Step 9 - CFO'!F52="","",'Step 9 - CFO'!F52))</f>
        <v/>
      </c>
      <c r="R455" s="20" t="str">
        <f>""</f>
        <v/>
      </c>
      <c r="S455" s="20" t="str">
        <f>""</f>
        <v/>
      </c>
      <c r="T455" s="20" t="str">
        <f>""</f>
        <v/>
      </c>
      <c r="U455" s="20" t="str">
        <f>IF('Step 9 - CFO'!B52="","",'Step 9 - CFO'!I52)</f>
        <v/>
      </c>
      <c r="V455" s="19" t="str">
        <f>IF('Step 9 - CFO'!B52="","",'Step 9 - CFO'!K52)</f>
        <v/>
      </c>
      <c r="W455" s="20" t="str">
        <f>IF('Step 9 - CFO'!B52="","",'Step 9 - CFO'!L52)</f>
        <v/>
      </c>
      <c r="X455" s="19" t="str">
        <f>IF('Step 9 - CFO'!B52="","",'Step 9 - CFO'!N52)</f>
        <v/>
      </c>
      <c r="Y455" s="20" t="str">
        <f>""</f>
        <v/>
      </c>
      <c r="Z455" s="20" t="str">
        <f>""</f>
        <v/>
      </c>
      <c r="AA455" s="20" t="str">
        <f>""</f>
        <v/>
      </c>
      <c r="AB455" s="20" t="str">
        <f>""</f>
        <v/>
      </c>
      <c r="AC455" s="20" t="str">
        <f>""</f>
        <v/>
      </c>
      <c r="AD455" s="20" t="str">
        <f>""</f>
        <v/>
      </c>
      <c r="AE455" s="20" t="str">
        <f>""</f>
        <v/>
      </c>
      <c r="AF455" s="20" t="str">
        <f>""</f>
        <v/>
      </c>
      <c r="AG455" s="20" t="str">
        <f>""</f>
        <v/>
      </c>
      <c r="AH455" s="20" t="str">
        <f>""</f>
        <v/>
      </c>
      <c r="AI455" s="20" t="str">
        <f>""</f>
        <v/>
      </c>
      <c r="AJ455" s="20" t="str">
        <f>""</f>
        <v/>
      </c>
      <c r="AK455" s="20" t="str">
        <f>""</f>
        <v/>
      </c>
      <c r="AL455" s="20" t="str">
        <f>""</f>
        <v/>
      </c>
      <c r="AM455" s="20" t="str">
        <f>""</f>
        <v/>
      </c>
    </row>
    <row r="456" spans="1:39" ht="15.75" customHeight="1" x14ac:dyDescent="0.25">
      <c r="A456" s="17" t="str">
        <f>IF('Step 9 - CFO'!B53="","","Active")</f>
        <v/>
      </c>
      <c r="B456" s="18" t="str">
        <f>IF('Step 9 - CFO'!B53="","",'Step 9 - CFO'!B53)</f>
        <v/>
      </c>
      <c r="C456" s="18" t="str">
        <f>IF('Step 9 - CFO'!B53="","",'Step 9 - CFO'!B53)</f>
        <v/>
      </c>
      <c r="D456" s="17" t="str">
        <f>IF('Step 9 - CFO'!B53="","",'Step 9 - CFO'!G53)</f>
        <v/>
      </c>
      <c r="E456" s="17" t="str">
        <f>IF('Step 9 - CFO'!B53="","",'Step 9 - CFO'!H53)</f>
        <v/>
      </c>
      <c r="F456" s="18" t="str">
        <f>IF('Step 9 - CFO'!B53="","",IF('Step 9 - CFO'!C53="","","Fund Code"))</f>
        <v/>
      </c>
      <c r="G456" s="17" t="str">
        <f>IF('Step 9 - CFO'!B53="","",IF('Step 9 - CFO'!C53="","","Equals"))</f>
        <v/>
      </c>
      <c r="H456" s="18" t="str">
        <f>IF('Step 9 - CFO'!B53="","",IF('Step 9 - CFO'!C53="","",'Step 9 - CFO'!C53))</f>
        <v/>
      </c>
      <c r="I456" s="18" t="str">
        <f>IF('Step 9 - CFO'!B53="","","Organization Code")</f>
        <v/>
      </c>
      <c r="J456" s="17" t="str">
        <f>IF('Step 9 - CFO'!B53="","","Equals")</f>
        <v/>
      </c>
      <c r="K456" s="18" t="str">
        <f>IF('Step 9 - CFO'!B53="","",'Step 9 - CFO'!D53)</f>
        <v/>
      </c>
      <c r="L456" s="18" t="str">
        <f>IF('Step 9 - CFO'!B53="","","Other Criteria")</f>
        <v/>
      </c>
      <c r="M456" s="17" t="str">
        <f>IF('Step 9 - CFO'!B53="","","Equals")</f>
        <v/>
      </c>
      <c r="N456" s="18" t="str">
        <f>IF('Step 9 - CFO'!B53="","",'Step 9 - CFO'!E53)</f>
        <v/>
      </c>
      <c r="O456" s="18" t="str">
        <f>IF('Step 9 - CFO'!B53="","",IF('Step 9 - CFO'!F53="","","Total"))</f>
        <v/>
      </c>
      <c r="P456" s="17" t="str">
        <f>IF('Step 9 - CFO'!B53="","",IF('Step 9 - CFO'!F53="","","&gt;="))</f>
        <v/>
      </c>
      <c r="Q456" s="18" t="str">
        <f>IF('Step 9 - CFO'!B53="","",IF('Step 9 - CFO'!F53="","",'Step 9 - CFO'!F53))</f>
        <v/>
      </c>
      <c r="R456" s="18" t="str">
        <f>""</f>
        <v/>
      </c>
      <c r="S456" s="18" t="str">
        <f>""</f>
        <v/>
      </c>
      <c r="T456" s="18" t="str">
        <f>""</f>
        <v/>
      </c>
      <c r="U456" s="18" t="str">
        <f>IF('Step 9 - CFO'!B53="","",'Step 9 - CFO'!I53)</f>
        <v/>
      </c>
      <c r="V456" s="17" t="str">
        <f>IF('Step 9 - CFO'!B53="","",'Step 9 - CFO'!K53)</f>
        <v/>
      </c>
      <c r="W456" s="18" t="str">
        <f>IF('Step 9 - CFO'!B53="","",'Step 9 - CFO'!L53)</f>
        <v/>
      </c>
      <c r="X456" s="17" t="str">
        <f>IF('Step 9 - CFO'!B53="","",'Step 9 - CFO'!N53)</f>
        <v/>
      </c>
      <c r="Y456" s="18" t="str">
        <f>""</f>
        <v/>
      </c>
      <c r="Z456" s="18" t="str">
        <f>""</f>
        <v/>
      </c>
      <c r="AA456" s="18" t="str">
        <f>""</f>
        <v/>
      </c>
      <c r="AB456" s="18" t="str">
        <f>""</f>
        <v/>
      </c>
      <c r="AC456" s="18" t="str">
        <f>""</f>
        <v/>
      </c>
      <c r="AD456" s="18" t="str">
        <f>""</f>
        <v/>
      </c>
      <c r="AE456" s="18" t="str">
        <f>""</f>
        <v/>
      </c>
      <c r="AF456" s="18" t="str">
        <f>""</f>
        <v/>
      </c>
      <c r="AG456" s="18" t="str">
        <f>""</f>
        <v/>
      </c>
      <c r="AH456" s="18" t="str">
        <f>""</f>
        <v/>
      </c>
      <c r="AI456" s="18" t="str">
        <f>""</f>
        <v/>
      </c>
      <c r="AJ456" s="18" t="str">
        <f>""</f>
        <v/>
      </c>
      <c r="AK456" s="18" t="str">
        <f>""</f>
        <v/>
      </c>
      <c r="AL456" s="18" t="str">
        <f>""</f>
        <v/>
      </c>
      <c r="AM456" s="18" t="str">
        <f>""</f>
        <v/>
      </c>
    </row>
    <row r="457" spans="1:39" ht="13.5" customHeight="1" x14ac:dyDescent="0.25">
      <c r="A457" s="29" t="s">
        <v>196</v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</row>
    <row r="458" spans="1:39" ht="15.75" customHeight="1" x14ac:dyDescent="0.25">
      <c r="A458" s="17" t="str">
        <f>IF('Step 10 - Provost'!B5="","","Active")</f>
        <v/>
      </c>
      <c r="B458" s="18" t="str">
        <f>IF('Step 10 - Provost'!B5="","",'Step 10 - Provost'!B5)</f>
        <v/>
      </c>
      <c r="C458" s="18" t="str">
        <f>IF('Step 10 - Provost'!B5="","",'Step 10 - Provost'!B5)</f>
        <v/>
      </c>
      <c r="D458" s="17" t="str">
        <f>IF('Step 10 - Provost'!B5="","",'Step 10 - Provost'!G5)</f>
        <v/>
      </c>
      <c r="E458" s="17" t="str">
        <f>IF('Step 10 - Provost'!B5="","",'Step 10 - Provost'!H5)</f>
        <v/>
      </c>
      <c r="F458" s="18" t="str">
        <f>IF('Step 10 - Provost'!B5="","",IF('Step 10 - Provost'!C5="","","Fund Code"))</f>
        <v/>
      </c>
      <c r="G458" s="17" t="str">
        <f>IF('Step 10 - Provost'!B5="","",IF('Step 10 - Provost'!C5="","","Equals"))</f>
        <v/>
      </c>
      <c r="H458" s="18" t="str">
        <f>IF('Step 10 - Provost'!B5="","",IF('Step 10 - Provost'!C5="","",'Step 10 - Provost'!C5))</f>
        <v/>
      </c>
      <c r="I458" s="18" t="str">
        <f>IF('Step 10 - Provost'!B5="","","Organization Code")</f>
        <v/>
      </c>
      <c r="J458" s="17" t="str">
        <f>IF('Step 10 - Provost'!B5="","","Equals")</f>
        <v/>
      </c>
      <c r="K458" s="18" t="str">
        <f>IF('Step 10 - Provost'!B5="","",'Step 10 - Provost'!D5)</f>
        <v/>
      </c>
      <c r="L458" s="18" t="str">
        <f>IF('Step 10 - Provost'!B5="","","Other Criteria")</f>
        <v/>
      </c>
      <c r="M458" s="17" t="str">
        <f>IF('Step 10 - Provost'!B5="","","Equals")</f>
        <v/>
      </c>
      <c r="N458" s="18" t="str">
        <f>IF('Step 10 - Provost'!B5="","",'Step 10 - Provost'!E5)</f>
        <v/>
      </c>
      <c r="O458" s="18" t="str">
        <f>IF('Step 10 - Provost'!B5="","",IF('Step 10 - Provost'!F5="","","Total"))</f>
        <v/>
      </c>
      <c r="P458" s="17" t="str">
        <f>IF('Step 10 - Provost'!B5="","",IF('Step 10 - Provost'!F5="","","&gt;="))</f>
        <v/>
      </c>
      <c r="Q458" s="18" t="str">
        <f>IF('Step 10 - Provost'!B5="","",IF('Step 10 - Provost'!F5="","",'Step 10 - Provost'!F5))</f>
        <v/>
      </c>
      <c r="R458" s="18" t="str">
        <f>""</f>
        <v/>
      </c>
      <c r="S458" s="18" t="str">
        <f>""</f>
        <v/>
      </c>
      <c r="T458" s="18" t="str">
        <f>""</f>
        <v/>
      </c>
      <c r="U458" s="18" t="str">
        <f>IF('Step 10 - Provost'!B5="","",'Step 10 - Provost'!I5)</f>
        <v/>
      </c>
      <c r="V458" s="17" t="str">
        <f>IF('Step 10 - Provost'!B5="","",'Step 10 - Provost'!K5)</f>
        <v/>
      </c>
      <c r="W458" s="18" t="str">
        <f>IF('Step 10 - Provost'!B5="","",'Step 10 - Provost'!L5)</f>
        <v/>
      </c>
      <c r="X458" s="17" t="str">
        <f>IF('Step 10 - Provost'!B5="","",'Step 10 - Provost'!N5)</f>
        <v/>
      </c>
      <c r="Y458" s="18" t="str">
        <f>""</f>
        <v/>
      </c>
      <c r="Z458" s="18" t="str">
        <f>""</f>
        <v/>
      </c>
      <c r="AA458" s="18" t="str">
        <f>""</f>
        <v/>
      </c>
      <c r="AB458" s="18" t="str">
        <f>""</f>
        <v/>
      </c>
      <c r="AC458" s="18" t="str">
        <f>""</f>
        <v/>
      </c>
      <c r="AD458" s="18" t="str">
        <f>""</f>
        <v/>
      </c>
      <c r="AE458" s="18" t="str">
        <f>""</f>
        <v/>
      </c>
      <c r="AF458" s="18" t="str">
        <f>""</f>
        <v/>
      </c>
      <c r="AG458" s="18" t="str">
        <f>""</f>
        <v/>
      </c>
      <c r="AH458" s="18" t="str">
        <f>""</f>
        <v/>
      </c>
      <c r="AI458" s="18" t="str">
        <f>""</f>
        <v/>
      </c>
      <c r="AJ458" s="18" t="str">
        <f>""</f>
        <v/>
      </c>
      <c r="AK458" s="18" t="str">
        <f>""</f>
        <v/>
      </c>
      <c r="AL458" s="18" t="str">
        <f>""</f>
        <v/>
      </c>
      <c r="AM458" s="18" t="str">
        <f>""</f>
        <v/>
      </c>
    </row>
    <row r="459" spans="1:39" ht="15.75" customHeight="1" x14ac:dyDescent="0.25">
      <c r="A459" s="19" t="str">
        <f>IF('Step 10 - Provost'!B6="","","Active")</f>
        <v/>
      </c>
      <c r="B459" s="20" t="str">
        <f>IF('Step 10 - Provost'!B6="","",'Step 10 - Provost'!B6)</f>
        <v/>
      </c>
      <c r="C459" s="20" t="str">
        <f>IF('Step 10 - Provost'!B6="","",'Step 10 - Provost'!B6)</f>
        <v/>
      </c>
      <c r="D459" s="19" t="str">
        <f>IF('Step 10 - Provost'!B6="","",'Step 10 - Provost'!G6)</f>
        <v/>
      </c>
      <c r="E459" s="19" t="str">
        <f>IF('Step 10 - Provost'!B6="","",'Step 10 - Provost'!H6)</f>
        <v/>
      </c>
      <c r="F459" s="20" t="str">
        <f>IF('Step 10 - Provost'!B6="","",IF('Step 10 - Provost'!C6="","","Fund Code"))</f>
        <v/>
      </c>
      <c r="G459" s="19" t="str">
        <f>IF('Step 10 - Provost'!B6="","",IF('Step 10 - Provost'!C6="","","Equals"))</f>
        <v/>
      </c>
      <c r="H459" s="20" t="str">
        <f>IF('Step 10 - Provost'!B6="","",IF('Step 10 - Provost'!C6="","",'Step 10 - Provost'!C6))</f>
        <v/>
      </c>
      <c r="I459" s="20" t="str">
        <f>IF('Step 10 - Provost'!B6="","","Organization Code")</f>
        <v/>
      </c>
      <c r="J459" s="19" t="str">
        <f>IF('Step 10 - Provost'!B6="","","Equals")</f>
        <v/>
      </c>
      <c r="K459" s="20" t="str">
        <f>IF('Step 10 - Provost'!B6="","",'Step 10 - Provost'!D6)</f>
        <v/>
      </c>
      <c r="L459" s="20" t="str">
        <f>IF('Step 10 - Provost'!B6="","","Other Criteria")</f>
        <v/>
      </c>
      <c r="M459" s="19" t="str">
        <f>IF('Step 10 - Provost'!B6="","","Equals")</f>
        <v/>
      </c>
      <c r="N459" s="20" t="str">
        <f>IF('Step 10 - Provost'!B6="","",'Step 10 - Provost'!E6)</f>
        <v/>
      </c>
      <c r="O459" s="20" t="str">
        <f>IF('Step 10 - Provost'!B6="","",IF('Step 10 - Provost'!F6="","","Total"))</f>
        <v/>
      </c>
      <c r="P459" s="19" t="str">
        <f>IF('Step 10 - Provost'!B6="","",IF('Step 10 - Provost'!F6="","","&gt;="))</f>
        <v/>
      </c>
      <c r="Q459" s="20" t="str">
        <f>IF('Step 10 - Provost'!B6="","",IF('Step 10 - Provost'!F6="","",'Step 10 - Provost'!F6))</f>
        <v/>
      </c>
      <c r="R459" s="20" t="str">
        <f>""</f>
        <v/>
      </c>
      <c r="S459" s="20" t="str">
        <f>""</f>
        <v/>
      </c>
      <c r="T459" s="20" t="str">
        <f>""</f>
        <v/>
      </c>
      <c r="U459" s="20" t="str">
        <f>IF('Step 10 - Provost'!B6="","",'Step 10 - Provost'!I6)</f>
        <v/>
      </c>
      <c r="V459" s="19" t="str">
        <f>IF('Step 10 - Provost'!B6="","",'Step 10 - Provost'!K6)</f>
        <v/>
      </c>
      <c r="W459" s="20" t="str">
        <f>IF('Step 10 - Provost'!B6="","",'Step 10 - Provost'!L6)</f>
        <v/>
      </c>
      <c r="X459" s="19" t="str">
        <f>IF('Step 10 - Provost'!B6="","",'Step 10 - Provost'!N6)</f>
        <v/>
      </c>
      <c r="Y459" s="20" t="str">
        <f>""</f>
        <v/>
      </c>
      <c r="Z459" s="20" t="str">
        <f>""</f>
        <v/>
      </c>
      <c r="AA459" s="20" t="str">
        <f>""</f>
        <v/>
      </c>
      <c r="AB459" s="20" t="str">
        <f>""</f>
        <v/>
      </c>
      <c r="AC459" s="20" t="str">
        <f>""</f>
        <v/>
      </c>
      <c r="AD459" s="20" t="str">
        <f>""</f>
        <v/>
      </c>
      <c r="AE459" s="20" t="str">
        <f>""</f>
        <v/>
      </c>
      <c r="AF459" s="20" t="str">
        <f>""</f>
        <v/>
      </c>
      <c r="AG459" s="20" t="str">
        <f>""</f>
        <v/>
      </c>
      <c r="AH459" s="20" t="str">
        <f>""</f>
        <v/>
      </c>
      <c r="AI459" s="20" t="str">
        <f>""</f>
        <v/>
      </c>
      <c r="AJ459" s="20" t="str">
        <f>""</f>
        <v/>
      </c>
      <c r="AK459" s="20" t="str">
        <f>""</f>
        <v/>
      </c>
      <c r="AL459" s="20" t="str">
        <f>""</f>
        <v/>
      </c>
      <c r="AM459" s="20" t="str">
        <f>""</f>
        <v/>
      </c>
    </row>
    <row r="460" spans="1:39" ht="15.75" customHeight="1" x14ac:dyDescent="0.25">
      <c r="A460" s="17" t="str">
        <f>IF('Step 10 - Provost'!B7="","","Active")</f>
        <v/>
      </c>
      <c r="B460" s="18" t="str">
        <f>IF('Step 10 - Provost'!B7="","",'Step 10 - Provost'!B7)</f>
        <v/>
      </c>
      <c r="C460" s="18" t="str">
        <f>IF('Step 10 - Provost'!B7="","",'Step 10 - Provost'!B7)</f>
        <v/>
      </c>
      <c r="D460" s="17" t="str">
        <f>IF('Step 10 - Provost'!B7="","",'Step 10 - Provost'!G7)</f>
        <v/>
      </c>
      <c r="E460" s="17" t="str">
        <f>IF('Step 10 - Provost'!B7="","",'Step 10 - Provost'!H7)</f>
        <v/>
      </c>
      <c r="F460" s="18" t="str">
        <f>IF('Step 10 - Provost'!B7="","",IF('Step 10 - Provost'!C7="","","Fund Code"))</f>
        <v/>
      </c>
      <c r="G460" s="17" t="str">
        <f>IF('Step 10 - Provost'!B7="","",IF('Step 10 - Provost'!C7="","","Equals"))</f>
        <v/>
      </c>
      <c r="H460" s="18" t="str">
        <f>IF('Step 10 - Provost'!B7="","",IF('Step 10 - Provost'!C7="","",'Step 10 - Provost'!C7))</f>
        <v/>
      </c>
      <c r="I460" s="18" t="str">
        <f>IF('Step 10 - Provost'!B7="","","Organization Code")</f>
        <v/>
      </c>
      <c r="J460" s="17" t="str">
        <f>IF('Step 10 - Provost'!B7="","","Equals")</f>
        <v/>
      </c>
      <c r="K460" s="18" t="str">
        <f>IF('Step 10 - Provost'!B7="","",'Step 10 - Provost'!D7)</f>
        <v/>
      </c>
      <c r="L460" s="18" t="str">
        <f>IF('Step 10 - Provost'!B7="","","Other Criteria")</f>
        <v/>
      </c>
      <c r="M460" s="17" t="str">
        <f>IF('Step 10 - Provost'!B7="","","Equals")</f>
        <v/>
      </c>
      <c r="N460" s="18" t="str">
        <f>IF('Step 10 - Provost'!B7="","",'Step 10 - Provost'!E7)</f>
        <v/>
      </c>
      <c r="O460" s="18" t="str">
        <f>IF('Step 10 - Provost'!B7="","",IF('Step 10 - Provost'!F7="","","Total"))</f>
        <v/>
      </c>
      <c r="P460" s="17" t="str">
        <f>IF('Step 10 - Provost'!B7="","",IF('Step 10 - Provost'!F7="","","&gt;="))</f>
        <v/>
      </c>
      <c r="Q460" s="18" t="str">
        <f>IF('Step 10 - Provost'!B7="","",IF('Step 10 - Provost'!F7="","",'Step 10 - Provost'!F7))</f>
        <v/>
      </c>
      <c r="R460" s="18" t="str">
        <f>""</f>
        <v/>
      </c>
      <c r="S460" s="18" t="str">
        <f>""</f>
        <v/>
      </c>
      <c r="T460" s="18" t="str">
        <f>""</f>
        <v/>
      </c>
      <c r="U460" s="18" t="str">
        <f>IF('Step 10 - Provost'!B7="","",'Step 10 - Provost'!I7)</f>
        <v/>
      </c>
      <c r="V460" s="17" t="str">
        <f>IF('Step 10 - Provost'!B7="","",'Step 10 - Provost'!K7)</f>
        <v/>
      </c>
      <c r="W460" s="18" t="str">
        <f>IF('Step 10 - Provost'!B7="","",'Step 10 - Provost'!L7)</f>
        <v/>
      </c>
      <c r="X460" s="17" t="str">
        <f>IF('Step 10 - Provost'!B7="","",'Step 10 - Provost'!N7)</f>
        <v/>
      </c>
      <c r="Y460" s="18" t="str">
        <f>""</f>
        <v/>
      </c>
      <c r="Z460" s="18" t="str">
        <f>""</f>
        <v/>
      </c>
      <c r="AA460" s="18" t="str">
        <f>""</f>
        <v/>
      </c>
      <c r="AB460" s="18" t="str">
        <f>""</f>
        <v/>
      </c>
      <c r="AC460" s="18" t="str">
        <f>""</f>
        <v/>
      </c>
      <c r="AD460" s="18" t="str">
        <f>""</f>
        <v/>
      </c>
      <c r="AE460" s="18" t="str">
        <f>""</f>
        <v/>
      </c>
      <c r="AF460" s="18" t="str">
        <f>""</f>
        <v/>
      </c>
      <c r="AG460" s="18" t="str">
        <f>""</f>
        <v/>
      </c>
      <c r="AH460" s="18" t="str">
        <f>""</f>
        <v/>
      </c>
      <c r="AI460" s="18" t="str">
        <f>""</f>
        <v/>
      </c>
      <c r="AJ460" s="18" t="str">
        <f>""</f>
        <v/>
      </c>
      <c r="AK460" s="18" t="str">
        <f>""</f>
        <v/>
      </c>
      <c r="AL460" s="18" t="str">
        <f>""</f>
        <v/>
      </c>
      <c r="AM460" s="18" t="str">
        <f>""</f>
        <v/>
      </c>
    </row>
    <row r="461" spans="1:39" ht="15.75" customHeight="1" x14ac:dyDescent="0.25">
      <c r="A461" s="19" t="str">
        <f>IF('Step 10 - Provost'!B8="","","Active")</f>
        <v/>
      </c>
      <c r="B461" s="20" t="str">
        <f>IF('Step 10 - Provost'!B8="","",'Step 10 - Provost'!B8)</f>
        <v/>
      </c>
      <c r="C461" s="20" t="str">
        <f>IF('Step 10 - Provost'!B8="","",'Step 10 - Provost'!B8)</f>
        <v/>
      </c>
      <c r="D461" s="19" t="str">
        <f>IF('Step 10 - Provost'!B8="","",'Step 10 - Provost'!G8)</f>
        <v/>
      </c>
      <c r="E461" s="19" t="str">
        <f>IF('Step 10 - Provost'!B8="","",'Step 10 - Provost'!H8)</f>
        <v/>
      </c>
      <c r="F461" s="20" t="str">
        <f>IF('Step 10 - Provost'!B8="","",IF('Step 10 - Provost'!C8="","","Fund Code"))</f>
        <v/>
      </c>
      <c r="G461" s="19" t="str">
        <f>IF('Step 10 - Provost'!B8="","",IF('Step 10 - Provost'!C8="","","Equals"))</f>
        <v/>
      </c>
      <c r="H461" s="20" t="str">
        <f>IF('Step 10 - Provost'!B8="","",IF('Step 10 - Provost'!C8="","",'Step 10 - Provost'!C8))</f>
        <v/>
      </c>
      <c r="I461" s="20" t="str">
        <f>IF('Step 10 - Provost'!B8="","","Organization Code")</f>
        <v/>
      </c>
      <c r="J461" s="19" t="str">
        <f>IF('Step 10 - Provost'!B8="","","Equals")</f>
        <v/>
      </c>
      <c r="K461" s="20" t="str">
        <f>IF('Step 10 - Provost'!B8="","",'Step 10 - Provost'!D8)</f>
        <v/>
      </c>
      <c r="L461" s="20" t="str">
        <f>IF('Step 10 - Provost'!B8="","","Other Criteria")</f>
        <v/>
      </c>
      <c r="M461" s="19" t="str">
        <f>IF('Step 10 - Provost'!B8="","","Equals")</f>
        <v/>
      </c>
      <c r="N461" s="20" t="str">
        <f>IF('Step 10 - Provost'!B8="","",'Step 10 - Provost'!E8)</f>
        <v/>
      </c>
      <c r="O461" s="20" t="str">
        <f>IF('Step 10 - Provost'!B8="","",IF('Step 10 - Provost'!F8="","","Total"))</f>
        <v/>
      </c>
      <c r="P461" s="19" t="str">
        <f>IF('Step 10 - Provost'!B8="","",IF('Step 10 - Provost'!F8="","","&gt;="))</f>
        <v/>
      </c>
      <c r="Q461" s="20" t="str">
        <f>IF('Step 10 - Provost'!B8="","",IF('Step 10 - Provost'!F8="","",'Step 10 - Provost'!F8))</f>
        <v/>
      </c>
      <c r="R461" s="20" t="str">
        <f>""</f>
        <v/>
      </c>
      <c r="S461" s="20" t="str">
        <f>""</f>
        <v/>
      </c>
      <c r="T461" s="20" t="str">
        <f>""</f>
        <v/>
      </c>
      <c r="U461" s="20" t="str">
        <f>IF('Step 10 - Provost'!B8="","",'Step 10 - Provost'!I8)</f>
        <v/>
      </c>
      <c r="V461" s="19" t="str">
        <f>IF('Step 10 - Provost'!B8="","",'Step 10 - Provost'!K8)</f>
        <v/>
      </c>
      <c r="W461" s="20" t="str">
        <f>IF('Step 10 - Provost'!B8="","",'Step 10 - Provost'!L8)</f>
        <v/>
      </c>
      <c r="X461" s="19" t="str">
        <f>IF('Step 10 - Provost'!B8="","",'Step 10 - Provost'!N8)</f>
        <v/>
      </c>
      <c r="Y461" s="20" t="str">
        <f>""</f>
        <v/>
      </c>
      <c r="Z461" s="20" t="str">
        <f>""</f>
        <v/>
      </c>
      <c r="AA461" s="20" t="str">
        <f>""</f>
        <v/>
      </c>
      <c r="AB461" s="20" t="str">
        <f>""</f>
        <v/>
      </c>
      <c r="AC461" s="20" t="str">
        <f>""</f>
        <v/>
      </c>
      <c r="AD461" s="20" t="str">
        <f>""</f>
        <v/>
      </c>
      <c r="AE461" s="20" t="str">
        <f>""</f>
        <v/>
      </c>
      <c r="AF461" s="20" t="str">
        <f>""</f>
        <v/>
      </c>
      <c r="AG461" s="20" t="str">
        <f>""</f>
        <v/>
      </c>
      <c r="AH461" s="20" t="str">
        <f>""</f>
        <v/>
      </c>
      <c r="AI461" s="20" t="str">
        <f>""</f>
        <v/>
      </c>
      <c r="AJ461" s="20" t="str">
        <f>""</f>
        <v/>
      </c>
      <c r="AK461" s="20" t="str">
        <f>""</f>
        <v/>
      </c>
      <c r="AL461" s="20" t="str">
        <f>""</f>
        <v/>
      </c>
      <c r="AM461" s="20" t="str">
        <f>""</f>
        <v/>
      </c>
    </row>
    <row r="462" spans="1:39" ht="15.75" customHeight="1" x14ac:dyDescent="0.25">
      <c r="A462" s="17" t="str">
        <f>IF('Step 10 - Provost'!B9="","","Active")</f>
        <v/>
      </c>
      <c r="B462" s="18" t="str">
        <f>IF('Step 10 - Provost'!B9="","",'Step 10 - Provost'!B9)</f>
        <v/>
      </c>
      <c r="C462" s="18" t="str">
        <f>IF('Step 10 - Provost'!B9="","",'Step 10 - Provost'!B9)</f>
        <v/>
      </c>
      <c r="D462" s="17" t="str">
        <f>IF('Step 10 - Provost'!B9="","",'Step 10 - Provost'!G9)</f>
        <v/>
      </c>
      <c r="E462" s="17" t="str">
        <f>IF('Step 10 - Provost'!B9="","",'Step 10 - Provost'!H9)</f>
        <v/>
      </c>
      <c r="F462" s="18" t="str">
        <f>IF('Step 10 - Provost'!B9="","",IF('Step 10 - Provost'!C9="","","Fund Code"))</f>
        <v/>
      </c>
      <c r="G462" s="17" t="str">
        <f>IF('Step 10 - Provost'!B9="","",IF('Step 10 - Provost'!C9="","","Equals"))</f>
        <v/>
      </c>
      <c r="H462" s="18" t="str">
        <f>IF('Step 10 - Provost'!B9="","",IF('Step 10 - Provost'!C9="","",'Step 10 - Provost'!C9))</f>
        <v/>
      </c>
      <c r="I462" s="18" t="str">
        <f>IF('Step 10 - Provost'!B9="","","Organization Code")</f>
        <v/>
      </c>
      <c r="J462" s="17" t="str">
        <f>IF('Step 10 - Provost'!B9="","","Equals")</f>
        <v/>
      </c>
      <c r="K462" s="18" t="str">
        <f>IF('Step 10 - Provost'!B9="","",'Step 10 - Provost'!D9)</f>
        <v/>
      </c>
      <c r="L462" s="18" t="str">
        <f>IF('Step 10 - Provost'!B9="","","Other Criteria")</f>
        <v/>
      </c>
      <c r="M462" s="17" t="str">
        <f>IF('Step 10 - Provost'!B9="","","Equals")</f>
        <v/>
      </c>
      <c r="N462" s="18" t="str">
        <f>IF('Step 10 - Provost'!B9="","",'Step 10 - Provost'!E9)</f>
        <v/>
      </c>
      <c r="O462" s="18" t="str">
        <f>IF('Step 10 - Provost'!B9="","",IF('Step 10 - Provost'!F9="","","Total"))</f>
        <v/>
      </c>
      <c r="P462" s="17" t="str">
        <f>IF('Step 10 - Provost'!B9="","",IF('Step 10 - Provost'!F9="","","&gt;="))</f>
        <v/>
      </c>
      <c r="Q462" s="18" t="str">
        <f>IF('Step 10 - Provost'!B9="","",IF('Step 10 - Provost'!F9="","",'Step 10 - Provost'!F9))</f>
        <v/>
      </c>
      <c r="R462" s="18" t="str">
        <f>""</f>
        <v/>
      </c>
      <c r="S462" s="18" t="str">
        <f>""</f>
        <v/>
      </c>
      <c r="T462" s="18" t="str">
        <f>""</f>
        <v/>
      </c>
      <c r="U462" s="18" t="str">
        <f>IF('Step 10 - Provost'!B9="","",'Step 10 - Provost'!I9)</f>
        <v/>
      </c>
      <c r="V462" s="17" t="str">
        <f>IF('Step 10 - Provost'!B9="","",'Step 10 - Provost'!K9)</f>
        <v/>
      </c>
      <c r="W462" s="18" t="str">
        <f>IF('Step 10 - Provost'!B9="","",'Step 10 - Provost'!L9)</f>
        <v/>
      </c>
      <c r="X462" s="17" t="str">
        <f>IF('Step 10 - Provost'!B9="","",'Step 10 - Provost'!N9)</f>
        <v/>
      </c>
      <c r="Y462" s="18" t="str">
        <f>""</f>
        <v/>
      </c>
      <c r="Z462" s="18" t="str">
        <f>""</f>
        <v/>
      </c>
      <c r="AA462" s="18" t="str">
        <f>""</f>
        <v/>
      </c>
      <c r="AB462" s="18" t="str">
        <f>""</f>
        <v/>
      </c>
      <c r="AC462" s="18" t="str">
        <f>""</f>
        <v/>
      </c>
      <c r="AD462" s="18" t="str">
        <f>""</f>
        <v/>
      </c>
      <c r="AE462" s="18" t="str">
        <f>""</f>
        <v/>
      </c>
      <c r="AF462" s="18" t="str">
        <f>""</f>
        <v/>
      </c>
      <c r="AG462" s="18" t="str">
        <f>""</f>
        <v/>
      </c>
      <c r="AH462" s="18" t="str">
        <f>""</f>
        <v/>
      </c>
      <c r="AI462" s="18" t="str">
        <f>""</f>
        <v/>
      </c>
      <c r="AJ462" s="18" t="str">
        <f>""</f>
        <v/>
      </c>
      <c r="AK462" s="18" t="str">
        <f>""</f>
        <v/>
      </c>
      <c r="AL462" s="18" t="str">
        <f>""</f>
        <v/>
      </c>
      <c r="AM462" s="18" t="str">
        <f>""</f>
        <v/>
      </c>
    </row>
    <row r="463" spans="1:39" ht="15.75" customHeight="1" x14ac:dyDescent="0.25">
      <c r="A463" s="19" t="str">
        <f>IF('Step 10 - Provost'!B10="","","Active")</f>
        <v/>
      </c>
      <c r="B463" s="20" t="str">
        <f>IF('Step 10 - Provost'!B10="","",'Step 10 - Provost'!B10)</f>
        <v/>
      </c>
      <c r="C463" s="20" t="str">
        <f>IF('Step 10 - Provost'!B10="","",'Step 10 - Provost'!B10)</f>
        <v/>
      </c>
      <c r="D463" s="19" t="str">
        <f>IF('Step 10 - Provost'!B10="","",'Step 10 - Provost'!G10)</f>
        <v/>
      </c>
      <c r="E463" s="19" t="str">
        <f>IF('Step 10 - Provost'!B10="","",'Step 10 - Provost'!H10)</f>
        <v/>
      </c>
      <c r="F463" s="20" t="str">
        <f>IF('Step 10 - Provost'!B10="","",IF('Step 10 - Provost'!C10="","","Fund Code"))</f>
        <v/>
      </c>
      <c r="G463" s="19" t="str">
        <f>IF('Step 10 - Provost'!B10="","",IF('Step 10 - Provost'!C10="","","Equals"))</f>
        <v/>
      </c>
      <c r="H463" s="20" t="str">
        <f>IF('Step 10 - Provost'!B10="","",IF('Step 10 - Provost'!C10="","",'Step 10 - Provost'!C10))</f>
        <v/>
      </c>
      <c r="I463" s="20" t="str">
        <f>IF('Step 10 - Provost'!B10="","","Organization Code")</f>
        <v/>
      </c>
      <c r="J463" s="19" t="str">
        <f>IF('Step 10 - Provost'!B10="","","Equals")</f>
        <v/>
      </c>
      <c r="K463" s="20" t="str">
        <f>IF('Step 10 - Provost'!B10="","",'Step 10 - Provost'!D10)</f>
        <v/>
      </c>
      <c r="L463" s="20" t="str">
        <f>IF('Step 10 - Provost'!B10="","","Other Criteria")</f>
        <v/>
      </c>
      <c r="M463" s="19" t="str">
        <f>IF('Step 10 - Provost'!B10="","","Equals")</f>
        <v/>
      </c>
      <c r="N463" s="20" t="str">
        <f>IF('Step 10 - Provost'!B10="","",'Step 10 - Provost'!E10)</f>
        <v/>
      </c>
      <c r="O463" s="20" t="str">
        <f>IF('Step 10 - Provost'!B10="","",IF('Step 10 - Provost'!F10="","","Total"))</f>
        <v/>
      </c>
      <c r="P463" s="19" t="str">
        <f>IF('Step 10 - Provost'!B10="","",IF('Step 10 - Provost'!F10="","","&gt;="))</f>
        <v/>
      </c>
      <c r="Q463" s="20" t="str">
        <f>IF('Step 10 - Provost'!B10="","",IF('Step 10 - Provost'!F10="","",'Step 10 - Provost'!F10))</f>
        <v/>
      </c>
      <c r="R463" s="20" t="str">
        <f>""</f>
        <v/>
      </c>
      <c r="S463" s="20" t="str">
        <f>""</f>
        <v/>
      </c>
      <c r="T463" s="20" t="str">
        <f>""</f>
        <v/>
      </c>
      <c r="U463" s="20" t="str">
        <f>IF('Step 10 - Provost'!B10="","",'Step 10 - Provost'!I10)</f>
        <v/>
      </c>
      <c r="V463" s="19" t="str">
        <f>IF('Step 10 - Provost'!B10="","",'Step 10 - Provost'!K10)</f>
        <v/>
      </c>
      <c r="W463" s="20" t="str">
        <f>IF('Step 10 - Provost'!B10="","",'Step 10 - Provost'!L10)</f>
        <v/>
      </c>
      <c r="X463" s="19" t="str">
        <f>IF('Step 10 - Provost'!B10="","",'Step 10 - Provost'!N10)</f>
        <v/>
      </c>
      <c r="Y463" s="20" t="str">
        <f>""</f>
        <v/>
      </c>
      <c r="Z463" s="20" t="str">
        <f>""</f>
        <v/>
      </c>
      <c r="AA463" s="20" t="str">
        <f>""</f>
        <v/>
      </c>
      <c r="AB463" s="20" t="str">
        <f>""</f>
        <v/>
      </c>
      <c r="AC463" s="20" t="str">
        <f>""</f>
        <v/>
      </c>
      <c r="AD463" s="20" t="str">
        <f>""</f>
        <v/>
      </c>
      <c r="AE463" s="20" t="str">
        <f>""</f>
        <v/>
      </c>
      <c r="AF463" s="20" t="str">
        <f>""</f>
        <v/>
      </c>
      <c r="AG463" s="20" t="str">
        <f>""</f>
        <v/>
      </c>
      <c r="AH463" s="20" t="str">
        <f>""</f>
        <v/>
      </c>
      <c r="AI463" s="20" t="str">
        <f>""</f>
        <v/>
      </c>
      <c r="AJ463" s="20" t="str">
        <f>""</f>
        <v/>
      </c>
      <c r="AK463" s="20" t="str">
        <f>""</f>
        <v/>
      </c>
      <c r="AL463" s="20" t="str">
        <f>""</f>
        <v/>
      </c>
      <c r="AM463" s="20" t="str">
        <f>""</f>
        <v/>
      </c>
    </row>
    <row r="464" spans="1:39" ht="15.75" customHeight="1" x14ac:dyDescent="0.25">
      <c r="A464" s="17" t="str">
        <f>IF('Step 10 - Provost'!B11="","","Active")</f>
        <v/>
      </c>
      <c r="B464" s="18" t="str">
        <f>IF('Step 10 - Provost'!B11="","",'Step 10 - Provost'!B11)</f>
        <v/>
      </c>
      <c r="C464" s="18" t="str">
        <f>IF('Step 10 - Provost'!B11="","",'Step 10 - Provost'!B11)</f>
        <v/>
      </c>
      <c r="D464" s="17" t="str">
        <f>IF('Step 10 - Provost'!B11="","",'Step 10 - Provost'!G11)</f>
        <v/>
      </c>
      <c r="E464" s="17" t="str">
        <f>IF('Step 10 - Provost'!B11="","",'Step 10 - Provost'!H11)</f>
        <v/>
      </c>
      <c r="F464" s="18" t="str">
        <f>IF('Step 10 - Provost'!B11="","",IF('Step 10 - Provost'!C11="","","Fund Code"))</f>
        <v/>
      </c>
      <c r="G464" s="17" t="str">
        <f>IF('Step 10 - Provost'!B11="","",IF('Step 10 - Provost'!C11="","","Equals"))</f>
        <v/>
      </c>
      <c r="H464" s="18" t="str">
        <f>IF('Step 10 - Provost'!B11="","",IF('Step 10 - Provost'!C11="","",'Step 10 - Provost'!C11))</f>
        <v/>
      </c>
      <c r="I464" s="18" t="str">
        <f>IF('Step 10 - Provost'!B11="","","Organization Code")</f>
        <v/>
      </c>
      <c r="J464" s="17" t="str">
        <f>IF('Step 10 - Provost'!B11="","","Equals")</f>
        <v/>
      </c>
      <c r="K464" s="18" t="str">
        <f>IF('Step 10 - Provost'!B11="","",'Step 10 - Provost'!D11)</f>
        <v/>
      </c>
      <c r="L464" s="18" t="str">
        <f>IF('Step 10 - Provost'!B11="","","Other Criteria")</f>
        <v/>
      </c>
      <c r="M464" s="17" t="str">
        <f>IF('Step 10 - Provost'!B11="","","Equals")</f>
        <v/>
      </c>
      <c r="N464" s="18" t="str">
        <f>IF('Step 10 - Provost'!B11="","",'Step 10 - Provost'!E11)</f>
        <v/>
      </c>
      <c r="O464" s="18" t="str">
        <f>IF('Step 10 - Provost'!B11="","",IF('Step 10 - Provost'!F11="","","Total"))</f>
        <v/>
      </c>
      <c r="P464" s="17" t="str">
        <f>IF('Step 10 - Provost'!B11="","",IF('Step 10 - Provost'!F11="","","&gt;="))</f>
        <v/>
      </c>
      <c r="Q464" s="18" t="str">
        <f>IF('Step 10 - Provost'!B11="","",IF('Step 10 - Provost'!F11="","",'Step 10 - Provost'!F11))</f>
        <v/>
      </c>
      <c r="R464" s="18" t="str">
        <f>""</f>
        <v/>
      </c>
      <c r="S464" s="18" t="str">
        <f>""</f>
        <v/>
      </c>
      <c r="T464" s="18" t="str">
        <f>""</f>
        <v/>
      </c>
      <c r="U464" s="18" t="str">
        <f>IF('Step 10 - Provost'!B11="","",'Step 10 - Provost'!I11)</f>
        <v/>
      </c>
      <c r="V464" s="17" t="str">
        <f>IF('Step 10 - Provost'!B11="","",'Step 10 - Provost'!K11)</f>
        <v/>
      </c>
      <c r="W464" s="18" t="str">
        <f>IF('Step 10 - Provost'!B11="","",'Step 10 - Provost'!L11)</f>
        <v/>
      </c>
      <c r="X464" s="17" t="str">
        <f>IF('Step 10 - Provost'!B11="","",'Step 10 - Provost'!N11)</f>
        <v/>
      </c>
      <c r="Y464" s="18" t="str">
        <f>""</f>
        <v/>
      </c>
      <c r="Z464" s="18" t="str">
        <f>""</f>
        <v/>
      </c>
      <c r="AA464" s="18" t="str">
        <f>""</f>
        <v/>
      </c>
      <c r="AB464" s="18" t="str">
        <f>""</f>
        <v/>
      </c>
      <c r="AC464" s="18" t="str">
        <f>""</f>
        <v/>
      </c>
      <c r="AD464" s="18" t="str">
        <f>""</f>
        <v/>
      </c>
      <c r="AE464" s="18" t="str">
        <f>""</f>
        <v/>
      </c>
      <c r="AF464" s="18" t="str">
        <f>""</f>
        <v/>
      </c>
      <c r="AG464" s="18" t="str">
        <f>""</f>
        <v/>
      </c>
      <c r="AH464" s="18" t="str">
        <f>""</f>
        <v/>
      </c>
      <c r="AI464" s="18" t="str">
        <f>""</f>
        <v/>
      </c>
      <c r="AJ464" s="18" t="str">
        <f>""</f>
        <v/>
      </c>
      <c r="AK464" s="18" t="str">
        <f>""</f>
        <v/>
      </c>
      <c r="AL464" s="18" t="str">
        <f>""</f>
        <v/>
      </c>
      <c r="AM464" s="18" t="str">
        <f>""</f>
        <v/>
      </c>
    </row>
    <row r="465" spans="1:39" ht="15.75" customHeight="1" x14ac:dyDescent="0.25">
      <c r="A465" s="19" t="str">
        <f>IF('Step 10 - Provost'!B12="","","Active")</f>
        <v/>
      </c>
      <c r="B465" s="20" t="str">
        <f>IF('Step 10 - Provost'!B12="","",'Step 10 - Provost'!B12)</f>
        <v/>
      </c>
      <c r="C465" s="20" t="str">
        <f>IF('Step 10 - Provost'!B12="","",'Step 10 - Provost'!B12)</f>
        <v/>
      </c>
      <c r="D465" s="19" t="str">
        <f>IF('Step 10 - Provost'!B12="","",'Step 10 - Provost'!G12)</f>
        <v/>
      </c>
      <c r="E465" s="19" t="str">
        <f>IF('Step 10 - Provost'!B12="","",'Step 10 - Provost'!H12)</f>
        <v/>
      </c>
      <c r="F465" s="20" t="str">
        <f>IF('Step 10 - Provost'!B12="","",IF('Step 10 - Provost'!C12="","","Fund Code"))</f>
        <v/>
      </c>
      <c r="G465" s="19" t="str">
        <f>IF('Step 10 - Provost'!B12="","",IF('Step 10 - Provost'!C12="","","Equals"))</f>
        <v/>
      </c>
      <c r="H465" s="20" t="str">
        <f>IF('Step 10 - Provost'!B12="","",IF('Step 10 - Provost'!C12="","",'Step 10 - Provost'!C12))</f>
        <v/>
      </c>
      <c r="I465" s="20" t="str">
        <f>IF('Step 10 - Provost'!B12="","","Organization Code")</f>
        <v/>
      </c>
      <c r="J465" s="19" t="str">
        <f>IF('Step 10 - Provost'!B12="","","Equals")</f>
        <v/>
      </c>
      <c r="K465" s="20" t="str">
        <f>IF('Step 10 - Provost'!B12="","",'Step 10 - Provost'!D12)</f>
        <v/>
      </c>
      <c r="L465" s="20" t="str">
        <f>IF('Step 10 - Provost'!B12="","","Other Criteria")</f>
        <v/>
      </c>
      <c r="M465" s="19" t="str">
        <f>IF('Step 10 - Provost'!B12="","","Equals")</f>
        <v/>
      </c>
      <c r="N465" s="20" t="str">
        <f>IF('Step 10 - Provost'!B12="","",'Step 10 - Provost'!E12)</f>
        <v/>
      </c>
      <c r="O465" s="20" t="str">
        <f>IF('Step 10 - Provost'!B12="","",IF('Step 10 - Provost'!F12="","","Total"))</f>
        <v/>
      </c>
      <c r="P465" s="19" t="str">
        <f>IF('Step 10 - Provost'!B12="","",IF('Step 10 - Provost'!F12="","","&gt;="))</f>
        <v/>
      </c>
      <c r="Q465" s="20" t="str">
        <f>IF('Step 10 - Provost'!B12="","",IF('Step 10 - Provost'!F12="","",'Step 10 - Provost'!F12))</f>
        <v/>
      </c>
      <c r="R465" s="20" t="str">
        <f>""</f>
        <v/>
      </c>
      <c r="S465" s="20" t="str">
        <f>""</f>
        <v/>
      </c>
      <c r="T465" s="20" t="str">
        <f>""</f>
        <v/>
      </c>
      <c r="U465" s="20" t="str">
        <f>IF('Step 10 - Provost'!B12="","",'Step 10 - Provost'!I12)</f>
        <v/>
      </c>
      <c r="V465" s="19" t="str">
        <f>IF('Step 10 - Provost'!B12="","",'Step 10 - Provost'!K12)</f>
        <v/>
      </c>
      <c r="W465" s="20" t="str">
        <f>IF('Step 10 - Provost'!B12="","",'Step 10 - Provost'!L12)</f>
        <v/>
      </c>
      <c r="X465" s="19" t="str">
        <f>IF('Step 10 - Provost'!B12="","",'Step 10 - Provost'!N12)</f>
        <v/>
      </c>
      <c r="Y465" s="20" t="str">
        <f>""</f>
        <v/>
      </c>
      <c r="Z465" s="20" t="str">
        <f>""</f>
        <v/>
      </c>
      <c r="AA465" s="20" t="str">
        <f>""</f>
        <v/>
      </c>
      <c r="AB465" s="20" t="str">
        <f>""</f>
        <v/>
      </c>
      <c r="AC465" s="20" t="str">
        <f>""</f>
        <v/>
      </c>
      <c r="AD465" s="20" t="str">
        <f>""</f>
        <v/>
      </c>
      <c r="AE465" s="20" t="str">
        <f>""</f>
        <v/>
      </c>
      <c r="AF465" s="20" t="str">
        <f>""</f>
        <v/>
      </c>
      <c r="AG465" s="20" t="str">
        <f>""</f>
        <v/>
      </c>
      <c r="AH465" s="20" t="str">
        <f>""</f>
        <v/>
      </c>
      <c r="AI465" s="20" t="str">
        <f>""</f>
        <v/>
      </c>
      <c r="AJ465" s="20" t="str">
        <f>""</f>
        <v/>
      </c>
      <c r="AK465" s="20" t="str">
        <f>""</f>
        <v/>
      </c>
      <c r="AL465" s="20" t="str">
        <f>""</f>
        <v/>
      </c>
      <c r="AM465" s="20" t="str">
        <f>""</f>
        <v/>
      </c>
    </row>
    <row r="466" spans="1:39" ht="15.75" customHeight="1" x14ac:dyDescent="0.25">
      <c r="A466" s="17" t="str">
        <f>IF('Step 10 - Provost'!B13="","","Active")</f>
        <v/>
      </c>
      <c r="B466" s="18" t="str">
        <f>IF('Step 10 - Provost'!B13="","",'Step 10 - Provost'!B13)</f>
        <v/>
      </c>
      <c r="C466" s="18" t="str">
        <f>IF('Step 10 - Provost'!B13="","",'Step 10 - Provost'!B13)</f>
        <v/>
      </c>
      <c r="D466" s="17" t="str">
        <f>IF('Step 10 - Provost'!B13="","",'Step 10 - Provost'!G13)</f>
        <v/>
      </c>
      <c r="E466" s="17" t="str">
        <f>IF('Step 10 - Provost'!B13="","",'Step 10 - Provost'!H13)</f>
        <v/>
      </c>
      <c r="F466" s="18" t="str">
        <f>IF('Step 10 - Provost'!B13="","",IF('Step 10 - Provost'!C13="","","Fund Code"))</f>
        <v/>
      </c>
      <c r="G466" s="17" t="str">
        <f>IF('Step 10 - Provost'!B13="","",IF('Step 10 - Provost'!C13="","","Equals"))</f>
        <v/>
      </c>
      <c r="H466" s="18" t="str">
        <f>IF('Step 10 - Provost'!B13="","",IF('Step 10 - Provost'!C13="","",'Step 10 - Provost'!C13))</f>
        <v/>
      </c>
      <c r="I466" s="18" t="str">
        <f>IF('Step 10 - Provost'!B13="","","Organization Code")</f>
        <v/>
      </c>
      <c r="J466" s="17" t="str">
        <f>IF('Step 10 - Provost'!B13="","","Equals")</f>
        <v/>
      </c>
      <c r="K466" s="18" t="str">
        <f>IF('Step 10 - Provost'!B13="","",'Step 10 - Provost'!D13)</f>
        <v/>
      </c>
      <c r="L466" s="18" t="str">
        <f>IF('Step 10 - Provost'!B13="","","Other Criteria")</f>
        <v/>
      </c>
      <c r="M466" s="17" t="str">
        <f>IF('Step 10 - Provost'!B13="","","Equals")</f>
        <v/>
      </c>
      <c r="N466" s="18" t="str">
        <f>IF('Step 10 - Provost'!B13="","",'Step 10 - Provost'!E13)</f>
        <v/>
      </c>
      <c r="O466" s="18" t="str">
        <f>IF('Step 10 - Provost'!B13="","",IF('Step 10 - Provost'!F13="","","Total"))</f>
        <v/>
      </c>
      <c r="P466" s="17" t="str">
        <f>IF('Step 10 - Provost'!B13="","",IF('Step 10 - Provost'!F13="","","&gt;="))</f>
        <v/>
      </c>
      <c r="Q466" s="18" t="str">
        <f>IF('Step 10 - Provost'!B13="","",IF('Step 10 - Provost'!F13="","",'Step 10 - Provost'!F13))</f>
        <v/>
      </c>
      <c r="R466" s="18" t="str">
        <f>""</f>
        <v/>
      </c>
      <c r="S466" s="18" t="str">
        <f>""</f>
        <v/>
      </c>
      <c r="T466" s="18" t="str">
        <f>""</f>
        <v/>
      </c>
      <c r="U466" s="18" t="str">
        <f>IF('Step 10 - Provost'!B13="","",'Step 10 - Provost'!I13)</f>
        <v/>
      </c>
      <c r="V466" s="17" t="str">
        <f>IF('Step 10 - Provost'!B13="","",'Step 10 - Provost'!K13)</f>
        <v/>
      </c>
      <c r="W466" s="18" t="str">
        <f>IF('Step 10 - Provost'!B13="","",'Step 10 - Provost'!L13)</f>
        <v/>
      </c>
      <c r="X466" s="17" t="str">
        <f>IF('Step 10 - Provost'!B13="","",'Step 10 - Provost'!N13)</f>
        <v/>
      </c>
      <c r="Y466" s="18" t="str">
        <f>""</f>
        <v/>
      </c>
      <c r="Z466" s="18" t="str">
        <f>""</f>
        <v/>
      </c>
      <c r="AA466" s="18" t="str">
        <f>""</f>
        <v/>
      </c>
      <c r="AB466" s="18" t="str">
        <f>""</f>
        <v/>
      </c>
      <c r="AC466" s="18" t="str">
        <f>""</f>
        <v/>
      </c>
      <c r="AD466" s="18" t="str">
        <f>""</f>
        <v/>
      </c>
      <c r="AE466" s="18" t="str">
        <f>""</f>
        <v/>
      </c>
      <c r="AF466" s="18" t="str">
        <f>""</f>
        <v/>
      </c>
      <c r="AG466" s="18" t="str">
        <f>""</f>
        <v/>
      </c>
      <c r="AH466" s="18" t="str">
        <f>""</f>
        <v/>
      </c>
      <c r="AI466" s="18" t="str">
        <f>""</f>
        <v/>
      </c>
      <c r="AJ466" s="18" t="str">
        <f>""</f>
        <v/>
      </c>
      <c r="AK466" s="18" t="str">
        <f>""</f>
        <v/>
      </c>
      <c r="AL466" s="18" t="str">
        <f>""</f>
        <v/>
      </c>
      <c r="AM466" s="18" t="str">
        <f>""</f>
        <v/>
      </c>
    </row>
    <row r="467" spans="1:39" ht="15.75" customHeight="1" x14ac:dyDescent="0.25">
      <c r="A467" s="19" t="str">
        <f>IF('Step 10 - Provost'!B14="","","Active")</f>
        <v/>
      </c>
      <c r="B467" s="20" t="str">
        <f>IF('Step 10 - Provost'!B14="","",'Step 10 - Provost'!B14)</f>
        <v/>
      </c>
      <c r="C467" s="20" t="str">
        <f>IF('Step 10 - Provost'!B14="","",'Step 10 - Provost'!B14)</f>
        <v/>
      </c>
      <c r="D467" s="19" t="str">
        <f>IF('Step 10 - Provost'!B14="","",'Step 10 - Provost'!G14)</f>
        <v/>
      </c>
      <c r="E467" s="19" t="str">
        <f>IF('Step 10 - Provost'!B14="","",'Step 10 - Provost'!H14)</f>
        <v/>
      </c>
      <c r="F467" s="20" t="str">
        <f>IF('Step 10 - Provost'!B14="","",IF('Step 10 - Provost'!C14="","","Fund Code"))</f>
        <v/>
      </c>
      <c r="G467" s="19" t="str">
        <f>IF('Step 10 - Provost'!B14="","",IF('Step 10 - Provost'!C14="","","Equals"))</f>
        <v/>
      </c>
      <c r="H467" s="20" t="str">
        <f>IF('Step 10 - Provost'!B14="","",IF('Step 10 - Provost'!C14="","",'Step 10 - Provost'!C14))</f>
        <v/>
      </c>
      <c r="I467" s="20" t="str">
        <f>IF('Step 10 - Provost'!B14="","","Organization Code")</f>
        <v/>
      </c>
      <c r="J467" s="19" t="str">
        <f>IF('Step 10 - Provost'!B14="","","Equals")</f>
        <v/>
      </c>
      <c r="K467" s="20" t="str">
        <f>IF('Step 10 - Provost'!B14="","",'Step 10 - Provost'!D14)</f>
        <v/>
      </c>
      <c r="L467" s="20" t="str">
        <f>IF('Step 10 - Provost'!B14="","","Other Criteria")</f>
        <v/>
      </c>
      <c r="M467" s="19" t="str">
        <f>IF('Step 10 - Provost'!B14="","","Equals")</f>
        <v/>
      </c>
      <c r="N467" s="20" t="str">
        <f>IF('Step 10 - Provost'!B14="","",'Step 10 - Provost'!E14)</f>
        <v/>
      </c>
      <c r="O467" s="20" t="str">
        <f>IF('Step 10 - Provost'!B14="","",IF('Step 10 - Provost'!F14="","","Total"))</f>
        <v/>
      </c>
      <c r="P467" s="19" t="str">
        <f>IF('Step 10 - Provost'!B14="","",IF('Step 10 - Provost'!F14="","","&gt;="))</f>
        <v/>
      </c>
      <c r="Q467" s="20" t="str">
        <f>IF('Step 10 - Provost'!B14="","",IF('Step 10 - Provost'!F14="","",'Step 10 - Provost'!F14))</f>
        <v/>
      </c>
      <c r="R467" s="20" t="str">
        <f>""</f>
        <v/>
      </c>
      <c r="S467" s="20" t="str">
        <f>""</f>
        <v/>
      </c>
      <c r="T467" s="20" t="str">
        <f>""</f>
        <v/>
      </c>
      <c r="U467" s="20" t="str">
        <f>IF('Step 10 - Provost'!B14="","",'Step 10 - Provost'!I14)</f>
        <v/>
      </c>
      <c r="V467" s="19" t="str">
        <f>IF('Step 10 - Provost'!B14="","",'Step 10 - Provost'!K14)</f>
        <v/>
      </c>
      <c r="W467" s="20" t="str">
        <f>IF('Step 10 - Provost'!B14="","",'Step 10 - Provost'!L14)</f>
        <v/>
      </c>
      <c r="X467" s="19" t="str">
        <f>IF('Step 10 - Provost'!B14="","",'Step 10 - Provost'!N14)</f>
        <v/>
      </c>
      <c r="Y467" s="20" t="str">
        <f>""</f>
        <v/>
      </c>
      <c r="Z467" s="20" t="str">
        <f>""</f>
        <v/>
      </c>
      <c r="AA467" s="20" t="str">
        <f>""</f>
        <v/>
      </c>
      <c r="AB467" s="20" t="str">
        <f>""</f>
        <v/>
      </c>
      <c r="AC467" s="20" t="str">
        <f>""</f>
        <v/>
      </c>
      <c r="AD467" s="20" t="str">
        <f>""</f>
        <v/>
      </c>
      <c r="AE467" s="20" t="str">
        <f>""</f>
        <v/>
      </c>
      <c r="AF467" s="20" t="str">
        <f>""</f>
        <v/>
      </c>
      <c r="AG467" s="20" t="str">
        <f>""</f>
        <v/>
      </c>
      <c r="AH467" s="20" t="str">
        <f>""</f>
        <v/>
      </c>
      <c r="AI467" s="20" t="str">
        <f>""</f>
        <v/>
      </c>
      <c r="AJ467" s="20" t="str">
        <f>""</f>
        <v/>
      </c>
      <c r="AK467" s="20" t="str">
        <f>""</f>
        <v/>
      </c>
      <c r="AL467" s="20" t="str">
        <f>""</f>
        <v/>
      </c>
      <c r="AM467" s="20" t="str">
        <f>""</f>
        <v/>
      </c>
    </row>
    <row r="468" spans="1:39" ht="15.75" customHeight="1" x14ac:dyDescent="0.25">
      <c r="A468" s="17" t="str">
        <f>IF('Step 10 - Provost'!B15="","","Active")</f>
        <v/>
      </c>
      <c r="B468" s="18" t="str">
        <f>IF('Step 10 - Provost'!B15="","",'Step 10 - Provost'!B15)</f>
        <v/>
      </c>
      <c r="C468" s="18" t="str">
        <f>IF('Step 10 - Provost'!B15="","",'Step 10 - Provost'!B15)</f>
        <v/>
      </c>
      <c r="D468" s="17" t="str">
        <f>IF('Step 10 - Provost'!B15="","",'Step 10 - Provost'!G15)</f>
        <v/>
      </c>
      <c r="E468" s="17" t="str">
        <f>IF('Step 10 - Provost'!B15="","",'Step 10 - Provost'!H15)</f>
        <v/>
      </c>
      <c r="F468" s="18" t="str">
        <f>IF('Step 10 - Provost'!B15="","",IF('Step 10 - Provost'!C15="","","Fund Code"))</f>
        <v/>
      </c>
      <c r="G468" s="17" t="str">
        <f>IF('Step 10 - Provost'!B15="","",IF('Step 10 - Provost'!C15="","","Equals"))</f>
        <v/>
      </c>
      <c r="H468" s="18" t="str">
        <f>IF('Step 10 - Provost'!B15="","",IF('Step 10 - Provost'!C15="","",'Step 10 - Provost'!C15))</f>
        <v/>
      </c>
      <c r="I468" s="18" t="str">
        <f>IF('Step 10 - Provost'!B15="","","Organization Code")</f>
        <v/>
      </c>
      <c r="J468" s="17" t="str">
        <f>IF('Step 10 - Provost'!B15="","","Equals")</f>
        <v/>
      </c>
      <c r="K468" s="18" t="str">
        <f>IF('Step 10 - Provost'!B15="","",'Step 10 - Provost'!D15)</f>
        <v/>
      </c>
      <c r="L468" s="18" t="str">
        <f>IF('Step 10 - Provost'!B15="","","Other Criteria")</f>
        <v/>
      </c>
      <c r="M468" s="17" t="str">
        <f>IF('Step 10 - Provost'!B15="","","Equals")</f>
        <v/>
      </c>
      <c r="N468" s="18" t="str">
        <f>IF('Step 10 - Provost'!B15="","",'Step 10 - Provost'!E15)</f>
        <v/>
      </c>
      <c r="O468" s="18" t="str">
        <f>IF('Step 10 - Provost'!B15="","",IF('Step 10 - Provost'!F15="","","Total"))</f>
        <v/>
      </c>
      <c r="P468" s="17" t="str">
        <f>IF('Step 10 - Provost'!B15="","",IF('Step 10 - Provost'!F15="","","&gt;="))</f>
        <v/>
      </c>
      <c r="Q468" s="18" t="str">
        <f>IF('Step 10 - Provost'!B15="","",IF('Step 10 - Provost'!F15="","",'Step 10 - Provost'!F15))</f>
        <v/>
      </c>
      <c r="R468" s="18" t="str">
        <f>""</f>
        <v/>
      </c>
      <c r="S468" s="18" t="str">
        <f>""</f>
        <v/>
      </c>
      <c r="T468" s="18" t="str">
        <f>""</f>
        <v/>
      </c>
      <c r="U468" s="18" t="str">
        <f>IF('Step 10 - Provost'!B15="","",'Step 10 - Provost'!I15)</f>
        <v/>
      </c>
      <c r="V468" s="17" t="str">
        <f>IF('Step 10 - Provost'!B15="","",'Step 10 - Provost'!K15)</f>
        <v/>
      </c>
      <c r="W468" s="18" t="str">
        <f>IF('Step 10 - Provost'!B15="","",'Step 10 - Provost'!L15)</f>
        <v/>
      </c>
      <c r="X468" s="17" t="str">
        <f>IF('Step 10 - Provost'!B15="","",'Step 10 - Provost'!N15)</f>
        <v/>
      </c>
      <c r="Y468" s="18" t="str">
        <f>""</f>
        <v/>
      </c>
      <c r="Z468" s="18" t="str">
        <f>""</f>
        <v/>
      </c>
      <c r="AA468" s="18" t="str">
        <f>""</f>
        <v/>
      </c>
      <c r="AB468" s="18" t="str">
        <f>""</f>
        <v/>
      </c>
      <c r="AC468" s="18" t="str">
        <f>""</f>
        <v/>
      </c>
      <c r="AD468" s="18" t="str">
        <f>""</f>
        <v/>
      </c>
      <c r="AE468" s="18" t="str">
        <f>""</f>
        <v/>
      </c>
      <c r="AF468" s="18" t="str">
        <f>""</f>
        <v/>
      </c>
      <c r="AG468" s="18" t="str">
        <f>""</f>
        <v/>
      </c>
      <c r="AH468" s="18" t="str">
        <f>""</f>
        <v/>
      </c>
      <c r="AI468" s="18" t="str">
        <f>""</f>
        <v/>
      </c>
      <c r="AJ468" s="18" t="str">
        <f>""</f>
        <v/>
      </c>
      <c r="AK468" s="18" t="str">
        <f>""</f>
        <v/>
      </c>
      <c r="AL468" s="18" t="str">
        <f>""</f>
        <v/>
      </c>
      <c r="AM468" s="18" t="str">
        <f>""</f>
        <v/>
      </c>
    </row>
    <row r="469" spans="1:39" ht="15.75" customHeight="1" x14ac:dyDescent="0.25">
      <c r="A469" s="19" t="str">
        <f>IF('Step 10 - Provost'!B16="","","Active")</f>
        <v/>
      </c>
      <c r="B469" s="20" t="str">
        <f>IF('Step 10 - Provost'!B16="","",'Step 10 - Provost'!B16)</f>
        <v/>
      </c>
      <c r="C469" s="20" t="str">
        <f>IF('Step 10 - Provost'!B16="","",'Step 10 - Provost'!B16)</f>
        <v/>
      </c>
      <c r="D469" s="19" t="str">
        <f>IF('Step 10 - Provost'!B16="","",'Step 10 - Provost'!G16)</f>
        <v/>
      </c>
      <c r="E469" s="19" t="str">
        <f>IF('Step 10 - Provost'!B16="","",'Step 10 - Provost'!H16)</f>
        <v/>
      </c>
      <c r="F469" s="20" t="str">
        <f>IF('Step 10 - Provost'!B16="","",IF('Step 10 - Provost'!C16="","","Fund Code"))</f>
        <v/>
      </c>
      <c r="G469" s="19" t="str">
        <f>IF('Step 10 - Provost'!B16="","",IF('Step 10 - Provost'!C16="","","Equals"))</f>
        <v/>
      </c>
      <c r="H469" s="20" t="str">
        <f>IF('Step 10 - Provost'!B16="","",IF('Step 10 - Provost'!C16="","",'Step 10 - Provost'!C16))</f>
        <v/>
      </c>
      <c r="I469" s="20" t="str">
        <f>IF('Step 10 - Provost'!B16="","","Organization Code")</f>
        <v/>
      </c>
      <c r="J469" s="19" t="str">
        <f>IF('Step 10 - Provost'!B16="","","Equals")</f>
        <v/>
      </c>
      <c r="K469" s="20" t="str">
        <f>IF('Step 10 - Provost'!B16="","",'Step 10 - Provost'!D16)</f>
        <v/>
      </c>
      <c r="L469" s="20" t="str">
        <f>IF('Step 10 - Provost'!B16="","","Other Criteria")</f>
        <v/>
      </c>
      <c r="M469" s="19" t="str">
        <f>IF('Step 10 - Provost'!B16="","","Equals")</f>
        <v/>
      </c>
      <c r="N469" s="20" t="str">
        <f>IF('Step 10 - Provost'!B16="","",'Step 10 - Provost'!E16)</f>
        <v/>
      </c>
      <c r="O469" s="20" t="str">
        <f>IF('Step 10 - Provost'!B16="","",IF('Step 10 - Provost'!F16="","","Total"))</f>
        <v/>
      </c>
      <c r="P469" s="19" t="str">
        <f>IF('Step 10 - Provost'!B16="","",IF('Step 10 - Provost'!F16="","","&gt;="))</f>
        <v/>
      </c>
      <c r="Q469" s="20" t="str">
        <f>IF('Step 10 - Provost'!B16="","",IF('Step 10 - Provost'!F16="","",'Step 10 - Provost'!F16))</f>
        <v/>
      </c>
      <c r="R469" s="20" t="str">
        <f>""</f>
        <v/>
      </c>
      <c r="S469" s="20" t="str">
        <f>""</f>
        <v/>
      </c>
      <c r="T469" s="20" t="str">
        <f>""</f>
        <v/>
      </c>
      <c r="U469" s="20" t="str">
        <f>IF('Step 10 - Provost'!B16="","",'Step 10 - Provost'!I16)</f>
        <v/>
      </c>
      <c r="V469" s="19" t="str">
        <f>IF('Step 10 - Provost'!B16="","",'Step 10 - Provost'!K16)</f>
        <v/>
      </c>
      <c r="W469" s="20" t="str">
        <f>IF('Step 10 - Provost'!B16="","",'Step 10 - Provost'!L16)</f>
        <v/>
      </c>
      <c r="X469" s="19" t="str">
        <f>IF('Step 10 - Provost'!B16="","",'Step 10 - Provost'!N16)</f>
        <v/>
      </c>
      <c r="Y469" s="20" t="str">
        <f>""</f>
        <v/>
      </c>
      <c r="Z469" s="20" t="str">
        <f>""</f>
        <v/>
      </c>
      <c r="AA469" s="20" t="str">
        <f>""</f>
        <v/>
      </c>
      <c r="AB469" s="20" t="str">
        <f>""</f>
        <v/>
      </c>
      <c r="AC469" s="20" t="str">
        <f>""</f>
        <v/>
      </c>
      <c r="AD469" s="20" t="str">
        <f>""</f>
        <v/>
      </c>
      <c r="AE469" s="20" t="str">
        <f>""</f>
        <v/>
      </c>
      <c r="AF469" s="20" t="str">
        <f>""</f>
        <v/>
      </c>
      <c r="AG469" s="20" t="str">
        <f>""</f>
        <v/>
      </c>
      <c r="AH469" s="20" t="str">
        <f>""</f>
        <v/>
      </c>
      <c r="AI469" s="20" t="str">
        <f>""</f>
        <v/>
      </c>
      <c r="AJ469" s="20" t="str">
        <f>""</f>
        <v/>
      </c>
      <c r="AK469" s="20" t="str">
        <f>""</f>
        <v/>
      </c>
      <c r="AL469" s="20" t="str">
        <f>""</f>
        <v/>
      </c>
      <c r="AM469" s="20" t="str">
        <f>""</f>
        <v/>
      </c>
    </row>
    <row r="470" spans="1:39" ht="15.75" customHeight="1" x14ac:dyDescent="0.25">
      <c r="A470" s="17" t="str">
        <f>IF('Step 10 - Provost'!B17="","","Active")</f>
        <v/>
      </c>
      <c r="B470" s="18" t="str">
        <f>IF('Step 10 - Provost'!B17="","",'Step 10 - Provost'!B17)</f>
        <v/>
      </c>
      <c r="C470" s="18" t="str">
        <f>IF('Step 10 - Provost'!B17="","",'Step 10 - Provost'!B17)</f>
        <v/>
      </c>
      <c r="D470" s="17" t="str">
        <f>IF('Step 10 - Provost'!B17="","",'Step 10 - Provost'!G17)</f>
        <v/>
      </c>
      <c r="E470" s="17" t="str">
        <f>IF('Step 10 - Provost'!B17="","",'Step 10 - Provost'!H17)</f>
        <v/>
      </c>
      <c r="F470" s="18" t="str">
        <f>IF('Step 10 - Provost'!B17="","",IF('Step 10 - Provost'!C17="","","Fund Code"))</f>
        <v/>
      </c>
      <c r="G470" s="17" t="str">
        <f>IF('Step 10 - Provost'!B17="","",IF('Step 10 - Provost'!C17="","","Equals"))</f>
        <v/>
      </c>
      <c r="H470" s="18" t="str">
        <f>IF('Step 10 - Provost'!B17="","",IF('Step 10 - Provost'!C17="","",'Step 10 - Provost'!C17))</f>
        <v/>
      </c>
      <c r="I470" s="18" t="str">
        <f>IF('Step 10 - Provost'!B17="","","Organization Code")</f>
        <v/>
      </c>
      <c r="J470" s="17" t="str">
        <f>IF('Step 10 - Provost'!B17="","","Equals")</f>
        <v/>
      </c>
      <c r="K470" s="18" t="str">
        <f>IF('Step 10 - Provost'!B17="","",'Step 10 - Provost'!D17)</f>
        <v/>
      </c>
      <c r="L470" s="18" t="str">
        <f>IF('Step 10 - Provost'!B17="","","Other Criteria")</f>
        <v/>
      </c>
      <c r="M470" s="17" t="str">
        <f>IF('Step 10 - Provost'!B17="","","Equals")</f>
        <v/>
      </c>
      <c r="N470" s="18" t="str">
        <f>IF('Step 10 - Provost'!B17="","",'Step 10 - Provost'!E17)</f>
        <v/>
      </c>
      <c r="O470" s="18" t="str">
        <f>IF('Step 10 - Provost'!B17="","",IF('Step 10 - Provost'!F17="","","Total"))</f>
        <v/>
      </c>
      <c r="P470" s="17" t="str">
        <f>IF('Step 10 - Provost'!B17="","",IF('Step 10 - Provost'!F17="","","&gt;="))</f>
        <v/>
      </c>
      <c r="Q470" s="18" t="str">
        <f>IF('Step 10 - Provost'!B17="","",IF('Step 10 - Provost'!F17="","",'Step 10 - Provost'!F17))</f>
        <v/>
      </c>
      <c r="R470" s="18" t="str">
        <f>""</f>
        <v/>
      </c>
      <c r="S470" s="18" t="str">
        <f>""</f>
        <v/>
      </c>
      <c r="T470" s="18" t="str">
        <f>""</f>
        <v/>
      </c>
      <c r="U470" s="18" t="str">
        <f>IF('Step 10 - Provost'!B17="","",'Step 10 - Provost'!I17)</f>
        <v/>
      </c>
      <c r="V470" s="17" t="str">
        <f>IF('Step 10 - Provost'!B17="","",'Step 10 - Provost'!K17)</f>
        <v/>
      </c>
      <c r="W470" s="18" t="str">
        <f>IF('Step 10 - Provost'!B17="","",'Step 10 - Provost'!L17)</f>
        <v/>
      </c>
      <c r="X470" s="17" t="str">
        <f>IF('Step 10 - Provost'!B17="","",'Step 10 - Provost'!N17)</f>
        <v/>
      </c>
      <c r="Y470" s="18" t="str">
        <f>""</f>
        <v/>
      </c>
      <c r="Z470" s="18" t="str">
        <f>""</f>
        <v/>
      </c>
      <c r="AA470" s="18" t="str">
        <f>""</f>
        <v/>
      </c>
      <c r="AB470" s="18" t="str">
        <f>""</f>
        <v/>
      </c>
      <c r="AC470" s="18" t="str">
        <f>""</f>
        <v/>
      </c>
      <c r="AD470" s="18" t="str">
        <f>""</f>
        <v/>
      </c>
      <c r="AE470" s="18" t="str">
        <f>""</f>
        <v/>
      </c>
      <c r="AF470" s="18" t="str">
        <f>""</f>
        <v/>
      </c>
      <c r="AG470" s="18" t="str">
        <f>""</f>
        <v/>
      </c>
      <c r="AH470" s="18" t="str">
        <f>""</f>
        <v/>
      </c>
      <c r="AI470" s="18" t="str">
        <f>""</f>
        <v/>
      </c>
      <c r="AJ470" s="18" t="str">
        <f>""</f>
        <v/>
      </c>
      <c r="AK470" s="18" t="str">
        <f>""</f>
        <v/>
      </c>
      <c r="AL470" s="18" t="str">
        <f>""</f>
        <v/>
      </c>
      <c r="AM470" s="18" t="str">
        <f>""</f>
        <v/>
      </c>
    </row>
    <row r="471" spans="1:39" ht="15.75" customHeight="1" x14ac:dyDescent="0.25">
      <c r="A471" s="19" t="str">
        <f>IF('Step 10 - Provost'!B18="","","Active")</f>
        <v/>
      </c>
      <c r="B471" s="20" t="str">
        <f>IF('Step 10 - Provost'!B18="","",'Step 10 - Provost'!B18)</f>
        <v/>
      </c>
      <c r="C471" s="20" t="str">
        <f>IF('Step 10 - Provost'!B18="","",'Step 10 - Provost'!B18)</f>
        <v/>
      </c>
      <c r="D471" s="19" t="str">
        <f>IF('Step 10 - Provost'!B18="","",'Step 10 - Provost'!G18)</f>
        <v/>
      </c>
      <c r="E471" s="19" t="str">
        <f>IF('Step 10 - Provost'!B18="","",'Step 10 - Provost'!H18)</f>
        <v/>
      </c>
      <c r="F471" s="20" t="str">
        <f>IF('Step 10 - Provost'!B18="","",IF('Step 10 - Provost'!C18="","","Fund Code"))</f>
        <v/>
      </c>
      <c r="G471" s="19" t="str">
        <f>IF('Step 10 - Provost'!B18="","",IF('Step 10 - Provost'!C18="","","Equals"))</f>
        <v/>
      </c>
      <c r="H471" s="20" t="str">
        <f>IF('Step 10 - Provost'!B18="","",IF('Step 10 - Provost'!C18="","",'Step 10 - Provost'!C18))</f>
        <v/>
      </c>
      <c r="I471" s="20" t="str">
        <f>IF('Step 10 - Provost'!B18="","","Organization Code")</f>
        <v/>
      </c>
      <c r="J471" s="19" t="str">
        <f>IF('Step 10 - Provost'!B18="","","Equals")</f>
        <v/>
      </c>
      <c r="K471" s="20" t="str">
        <f>IF('Step 10 - Provost'!B18="","",'Step 10 - Provost'!D18)</f>
        <v/>
      </c>
      <c r="L471" s="20" t="str">
        <f>IF('Step 10 - Provost'!B18="","","Other Criteria")</f>
        <v/>
      </c>
      <c r="M471" s="19" t="str">
        <f>IF('Step 10 - Provost'!B18="","","Equals")</f>
        <v/>
      </c>
      <c r="N471" s="20" t="str">
        <f>IF('Step 10 - Provost'!B18="","",'Step 10 - Provost'!E18)</f>
        <v/>
      </c>
      <c r="O471" s="20" t="str">
        <f>IF('Step 10 - Provost'!B18="","",IF('Step 10 - Provost'!F18="","","Total"))</f>
        <v/>
      </c>
      <c r="P471" s="19" t="str">
        <f>IF('Step 10 - Provost'!B18="","",IF('Step 10 - Provost'!F18="","","&gt;="))</f>
        <v/>
      </c>
      <c r="Q471" s="20" t="str">
        <f>IF('Step 10 - Provost'!B18="","",IF('Step 10 - Provost'!F18="","",'Step 10 - Provost'!F18))</f>
        <v/>
      </c>
      <c r="R471" s="20" t="str">
        <f>""</f>
        <v/>
      </c>
      <c r="S471" s="20" t="str">
        <f>""</f>
        <v/>
      </c>
      <c r="T471" s="20" t="str">
        <f>""</f>
        <v/>
      </c>
      <c r="U471" s="20" t="str">
        <f>IF('Step 10 - Provost'!B18="","",'Step 10 - Provost'!I18)</f>
        <v/>
      </c>
      <c r="V471" s="19" t="str">
        <f>IF('Step 10 - Provost'!B18="","",'Step 10 - Provost'!K18)</f>
        <v/>
      </c>
      <c r="W471" s="20" t="str">
        <f>IF('Step 10 - Provost'!B18="","",'Step 10 - Provost'!L18)</f>
        <v/>
      </c>
      <c r="X471" s="19" t="str">
        <f>IF('Step 10 - Provost'!B18="","",'Step 10 - Provost'!N18)</f>
        <v/>
      </c>
      <c r="Y471" s="20" t="str">
        <f>""</f>
        <v/>
      </c>
      <c r="Z471" s="20" t="str">
        <f>""</f>
        <v/>
      </c>
      <c r="AA471" s="20" t="str">
        <f>""</f>
        <v/>
      </c>
      <c r="AB471" s="20" t="str">
        <f>""</f>
        <v/>
      </c>
      <c r="AC471" s="20" t="str">
        <f>""</f>
        <v/>
      </c>
      <c r="AD471" s="20" t="str">
        <f>""</f>
        <v/>
      </c>
      <c r="AE471" s="20" t="str">
        <f>""</f>
        <v/>
      </c>
      <c r="AF471" s="20" t="str">
        <f>""</f>
        <v/>
      </c>
      <c r="AG471" s="20" t="str">
        <f>""</f>
        <v/>
      </c>
      <c r="AH471" s="20" t="str">
        <f>""</f>
        <v/>
      </c>
      <c r="AI471" s="20" t="str">
        <f>""</f>
        <v/>
      </c>
      <c r="AJ471" s="20" t="str">
        <f>""</f>
        <v/>
      </c>
      <c r="AK471" s="20" t="str">
        <f>""</f>
        <v/>
      </c>
      <c r="AL471" s="20" t="str">
        <f>""</f>
        <v/>
      </c>
      <c r="AM471" s="20" t="str">
        <f>""</f>
        <v/>
      </c>
    </row>
    <row r="472" spans="1:39" ht="15.75" customHeight="1" x14ac:dyDescent="0.25">
      <c r="A472" s="17" t="str">
        <f>IF('Step 10 - Provost'!B19="","","Active")</f>
        <v/>
      </c>
      <c r="B472" s="18" t="str">
        <f>IF('Step 10 - Provost'!B19="","",'Step 10 - Provost'!B19)</f>
        <v/>
      </c>
      <c r="C472" s="18" t="str">
        <f>IF('Step 10 - Provost'!B19="","",'Step 10 - Provost'!B19)</f>
        <v/>
      </c>
      <c r="D472" s="17" t="str">
        <f>IF('Step 10 - Provost'!B19="","",'Step 10 - Provost'!G19)</f>
        <v/>
      </c>
      <c r="E472" s="17" t="str">
        <f>IF('Step 10 - Provost'!B19="","",'Step 10 - Provost'!H19)</f>
        <v/>
      </c>
      <c r="F472" s="18" t="str">
        <f>IF('Step 10 - Provost'!B19="","",IF('Step 10 - Provost'!C19="","","Fund Code"))</f>
        <v/>
      </c>
      <c r="G472" s="17" t="str">
        <f>IF('Step 10 - Provost'!B19="","",IF('Step 10 - Provost'!C19="","","Equals"))</f>
        <v/>
      </c>
      <c r="H472" s="18" t="str">
        <f>IF('Step 10 - Provost'!B19="","",IF('Step 10 - Provost'!C19="","",'Step 10 - Provost'!C19))</f>
        <v/>
      </c>
      <c r="I472" s="18" t="str">
        <f>IF('Step 10 - Provost'!B19="","","Organization Code")</f>
        <v/>
      </c>
      <c r="J472" s="17" t="str">
        <f>IF('Step 10 - Provost'!B19="","","Equals")</f>
        <v/>
      </c>
      <c r="K472" s="18" t="str">
        <f>IF('Step 10 - Provost'!B19="","",'Step 10 - Provost'!D19)</f>
        <v/>
      </c>
      <c r="L472" s="18" t="str">
        <f>IF('Step 10 - Provost'!B19="","","Other Criteria")</f>
        <v/>
      </c>
      <c r="M472" s="17" t="str">
        <f>IF('Step 10 - Provost'!B19="","","Equals")</f>
        <v/>
      </c>
      <c r="N472" s="18" t="str">
        <f>IF('Step 10 - Provost'!B19="","",'Step 10 - Provost'!E19)</f>
        <v/>
      </c>
      <c r="O472" s="18" t="str">
        <f>IF('Step 10 - Provost'!B19="","",IF('Step 10 - Provost'!F19="","","Total"))</f>
        <v/>
      </c>
      <c r="P472" s="17" t="str">
        <f>IF('Step 10 - Provost'!B19="","",IF('Step 10 - Provost'!F19="","","&gt;="))</f>
        <v/>
      </c>
      <c r="Q472" s="18" t="str">
        <f>IF('Step 10 - Provost'!B19="","",IF('Step 10 - Provost'!F19="","",'Step 10 - Provost'!F19))</f>
        <v/>
      </c>
      <c r="R472" s="18" t="str">
        <f>""</f>
        <v/>
      </c>
      <c r="S472" s="18" t="str">
        <f>""</f>
        <v/>
      </c>
      <c r="T472" s="18" t="str">
        <f>""</f>
        <v/>
      </c>
      <c r="U472" s="18" t="str">
        <f>IF('Step 10 - Provost'!B19="","",'Step 10 - Provost'!I19)</f>
        <v/>
      </c>
      <c r="V472" s="17" t="str">
        <f>IF('Step 10 - Provost'!B19="","",'Step 10 - Provost'!K19)</f>
        <v/>
      </c>
      <c r="W472" s="18" t="str">
        <f>IF('Step 10 - Provost'!B19="","",'Step 10 - Provost'!L19)</f>
        <v/>
      </c>
      <c r="X472" s="17" t="str">
        <f>IF('Step 10 - Provost'!B19="","",'Step 10 - Provost'!N19)</f>
        <v/>
      </c>
      <c r="Y472" s="18" t="str">
        <f>""</f>
        <v/>
      </c>
      <c r="Z472" s="18" t="str">
        <f>""</f>
        <v/>
      </c>
      <c r="AA472" s="18" t="str">
        <f>""</f>
        <v/>
      </c>
      <c r="AB472" s="18" t="str">
        <f>""</f>
        <v/>
      </c>
      <c r="AC472" s="18" t="str">
        <f>""</f>
        <v/>
      </c>
      <c r="AD472" s="18" t="str">
        <f>""</f>
        <v/>
      </c>
      <c r="AE472" s="18" t="str">
        <f>""</f>
        <v/>
      </c>
      <c r="AF472" s="18" t="str">
        <f>""</f>
        <v/>
      </c>
      <c r="AG472" s="18" t="str">
        <f>""</f>
        <v/>
      </c>
      <c r="AH472" s="18" t="str">
        <f>""</f>
        <v/>
      </c>
      <c r="AI472" s="18" t="str">
        <f>""</f>
        <v/>
      </c>
      <c r="AJ472" s="18" t="str">
        <f>""</f>
        <v/>
      </c>
      <c r="AK472" s="18" t="str">
        <f>""</f>
        <v/>
      </c>
      <c r="AL472" s="18" t="str">
        <f>""</f>
        <v/>
      </c>
      <c r="AM472" s="18" t="str">
        <f>""</f>
        <v/>
      </c>
    </row>
    <row r="473" spans="1:39" ht="15.75" customHeight="1" x14ac:dyDescent="0.25">
      <c r="A473" s="19" t="str">
        <f>IF('Step 10 - Provost'!B20="","","Active")</f>
        <v/>
      </c>
      <c r="B473" s="20" t="str">
        <f>IF('Step 10 - Provost'!B20="","",'Step 10 - Provost'!B20)</f>
        <v/>
      </c>
      <c r="C473" s="20" t="str">
        <f>IF('Step 10 - Provost'!B20="","",'Step 10 - Provost'!B20)</f>
        <v/>
      </c>
      <c r="D473" s="19" t="str">
        <f>IF('Step 10 - Provost'!B20="","",'Step 10 - Provost'!G20)</f>
        <v/>
      </c>
      <c r="E473" s="19" t="str">
        <f>IF('Step 10 - Provost'!B20="","",'Step 10 - Provost'!H20)</f>
        <v/>
      </c>
      <c r="F473" s="20" t="str">
        <f>IF('Step 10 - Provost'!B20="","",IF('Step 10 - Provost'!C20="","","Fund Code"))</f>
        <v/>
      </c>
      <c r="G473" s="19" t="str">
        <f>IF('Step 10 - Provost'!B20="","",IF('Step 10 - Provost'!C20="","","Equals"))</f>
        <v/>
      </c>
      <c r="H473" s="20" t="str">
        <f>IF('Step 10 - Provost'!B20="","",IF('Step 10 - Provost'!C20="","",'Step 10 - Provost'!C20))</f>
        <v/>
      </c>
      <c r="I473" s="20" t="str">
        <f>IF('Step 10 - Provost'!B20="","","Organization Code")</f>
        <v/>
      </c>
      <c r="J473" s="19" t="str">
        <f>IF('Step 10 - Provost'!B20="","","Equals")</f>
        <v/>
      </c>
      <c r="K473" s="20" t="str">
        <f>IF('Step 10 - Provost'!B20="","",'Step 10 - Provost'!D20)</f>
        <v/>
      </c>
      <c r="L473" s="20" t="str">
        <f>IF('Step 10 - Provost'!B20="","","Other Criteria")</f>
        <v/>
      </c>
      <c r="M473" s="19" t="str">
        <f>IF('Step 10 - Provost'!B20="","","Equals")</f>
        <v/>
      </c>
      <c r="N473" s="20" t="str">
        <f>IF('Step 10 - Provost'!B20="","",'Step 10 - Provost'!E20)</f>
        <v/>
      </c>
      <c r="O473" s="20" t="str">
        <f>IF('Step 10 - Provost'!B20="","",IF('Step 10 - Provost'!F20="","","Total"))</f>
        <v/>
      </c>
      <c r="P473" s="19" t="str">
        <f>IF('Step 10 - Provost'!B20="","",IF('Step 10 - Provost'!F20="","","&gt;="))</f>
        <v/>
      </c>
      <c r="Q473" s="20" t="str">
        <f>IF('Step 10 - Provost'!B20="","",IF('Step 10 - Provost'!F20="","",'Step 10 - Provost'!F20))</f>
        <v/>
      </c>
      <c r="R473" s="20" t="str">
        <f>""</f>
        <v/>
      </c>
      <c r="S473" s="20" t="str">
        <f>""</f>
        <v/>
      </c>
      <c r="T473" s="20" t="str">
        <f>""</f>
        <v/>
      </c>
      <c r="U473" s="20" t="str">
        <f>IF('Step 10 - Provost'!B20="","",'Step 10 - Provost'!I20)</f>
        <v/>
      </c>
      <c r="V473" s="19" t="str">
        <f>IF('Step 10 - Provost'!B20="","",'Step 10 - Provost'!K20)</f>
        <v/>
      </c>
      <c r="W473" s="20" t="str">
        <f>IF('Step 10 - Provost'!B20="","",'Step 10 - Provost'!L20)</f>
        <v/>
      </c>
      <c r="X473" s="19" t="str">
        <f>IF('Step 10 - Provost'!B20="","",'Step 10 - Provost'!N20)</f>
        <v/>
      </c>
      <c r="Y473" s="20" t="str">
        <f>""</f>
        <v/>
      </c>
      <c r="Z473" s="20" t="str">
        <f>""</f>
        <v/>
      </c>
      <c r="AA473" s="20" t="str">
        <f>""</f>
        <v/>
      </c>
      <c r="AB473" s="20" t="str">
        <f>""</f>
        <v/>
      </c>
      <c r="AC473" s="20" t="str">
        <f>""</f>
        <v/>
      </c>
      <c r="AD473" s="20" t="str">
        <f>""</f>
        <v/>
      </c>
      <c r="AE473" s="20" t="str">
        <f>""</f>
        <v/>
      </c>
      <c r="AF473" s="20" t="str">
        <f>""</f>
        <v/>
      </c>
      <c r="AG473" s="20" t="str">
        <f>""</f>
        <v/>
      </c>
      <c r="AH473" s="20" t="str">
        <f>""</f>
        <v/>
      </c>
      <c r="AI473" s="20" t="str">
        <f>""</f>
        <v/>
      </c>
      <c r="AJ473" s="20" t="str">
        <f>""</f>
        <v/>
      </c>
      <c r="AK473" s="20" t="str">
        <f>""</f>
        <v/>
      </c>
      <c r="AL473" s="20" t="str">
        <f>""</f>
        <v/>
      </c>
      <c r="AM473" s="20" t="str">
        <f>""</f>
        <v/>
      </c>
    </row>
    <row r="474" spans="1:39" ht="15.75" customHeight="1" x14ac:dyDescent="0.25">
      <c r="A474" s="17" t="str">
        <f>IF('Step 10 - Provost'!B21="","","Active")</f>
        <v/>
      </c>
      <c r="B474" s="18" t="str">
        <f>IF('Step 10 - Provost'!B21="","",'Step 10 - Provost'!B21)</f>
        <v/>
      </c>
      <c r="C474" s="18" t="str">
        <f>IF('Step 10 - Provost'!B21="","",'Step 10 - Provost'!B21)</f>
        <v/>
      </c>
      <c r="D474" s="17" t="str">
        <f>IF('Step 10 - Provost'!B21="","",'Step 10 - Provost'!G21)</f>
        <v/>
      </c>
      <c r="E474" s="17" t="str">
        <f>IF('Step 10 - Provost'!B21="","",'Step 10 - Provost'!H21)</f>
        <v/>
      </c>
      <c r="F474" s="18" t="str">
        <f>IF('Step 10 - Provost'!B21="","",IF('Step 10 - Provost'!C21="","","Fund Code"))</f>
        <v/>
      </c>
      <c r="G474" s="17" t="str">
        <f>IF('Step 10 - Provost'!B21="","",IF('Step 10 - Provost'!C21="","","Equals"))</f>
        <v/>
      </c>
      <c r="H474" s="18" t="str">
        <f>IF('Step 10 - Provost'!B21="","",IF('Step 10 - Provost'!C21="","",'Step 10 - Provost'!C21))</f>
        <v/>
      </c>
      <c r="I474" s="18" t="str">
        <f>IF('Step 10 - Provost'!B21="","","Organization Code")</f>
        <v/>
      </c>
      <c r="J474" s="17" t="str">
        <f>IF('Step 10 - Provost'!B21="","","Equals")</f>
        <v/>
      </c>
      <c r="K474" s="18" t="str">
        <f>IF('Step 10 - Provost'!B21="","",'Step 10 - Provost'!D21)</f>
        <v/>
      </c>
      <c r="L474" s="18" t="str">
        <f>IF('Step 10 - Provost'!B21="","","Other Criteria")</f>
        <v/>
      </c>
      <c r="M474" s="17" t="str">
        <f>IF('Step 10 - Provost'!B21="","","Equals")</f>
        <v/>
      </c>
      <c r="N474" s="18" t="str">
        <f>IF('Step 10 - Provost'!B21="","",'Step 10 - Provost'!E21)</f>
        <v/>
      </c>
      <c r="O474" s="18" t="str">
        <f>IF('Step 10 - Provost'!B21="","",IF('Step 10 - Provost'!F21="","","Total"))</f>
        <v/>
      </c>
      <c r="P474" s="17" t="str">
        <f>IF('Step 10 - Provost'!B21="","",IF('Step 10 - Provost'!F21="","","&gt;="))</f>
        <v/>
      </c>
      <c r="Q474" s="18" t="str">
        <f>IF('Step 10 - Provost'!B21="","",IF('Step 10 - Provost'!F21="","",'Step 10 - Provost'!F21))</f>
        <v/>
      </c>
      <c r="R474" s="18" t="str">
        <f>""</f>
        <v/>
      </c>
      <c r="S474" s="18" t="str">
        <f>""</f>
        <v/>
      </c>
      <c r="T474" s="18" t="str">
        <f>""</f>
        <v/>
      </c>
      <c r="U474" s="18" t="str">
        <f>IF('Step 10 - Provost'!B21="","",'Step 10 - Provost'!I21)</f>
        <v/>
      </c>
      <c r="V474" s="17" t="str">
        <f>IF('Step 10 - Provost'!B21="","",'Step 10 - Provost'!K21)</f>
        <v/>
      </c>
      <c r="W474" s="18" t="str">
        <f>IF('Step 10 - Provost'!B21="","",'Step 10 - Provost'!L21)</f>
        <v/>
      </c>
      <c r="X474" s="17" t="str">
        <f>IF('Step 10 - Provost'!B21="","",'Step 10 - Provost'!N21)</f>
        <v/>
      </c>
      <c r="Y474" s="18" t="str">
        <f>""</f>
        <v/>
      </c>
      <c r="Z474" s="18" t="str">
        <f>""</f>
        <v/>
      </c>
      <c r="AA474" s="18" t="str">
        <f>""</f>
        <v/>
      </c>
      <c r="AB474" s="18" t="str">
        <f>""</f>
        <v/>
      </c>
      <c r="AC474" s="18" t="str">
        <f>""</f>
        <v/>
      </c>
      <c r="AD474" s="18" t="str">
        <f>""</f>
        <v/>
      </c>
      <c r="AE474" s="18" t="str">
        <f>""</f>
        <v/>
      </c>
      <c r="AF474" s="18" t="str">
        <f>""</f>
        <v/>
      </c>
      <c r="AG474" s="18" t="str">
        <f>""</f>
        <v/>
      </c>
      <c r="AH474" s="18" t="str">
        <f>""</f>
        <v/>
      </c>
      <c r="AI474" s="18" t="str">
        <f>""</f>
        <v/>
      </c>
      <c r="AJ474" s="18" t="str">
        <f>""</f>
        <v/>
      </c>
      <c r="AK474" s="18" t="str">
        <f>""</f>
        <v/>
      </c>
      <c r="AL474" s="18" t="str">
        <f>""</f>
        <v/>
      </c>
      <c r="AM474" s="18" t="str">
        <f>""</f>
        <v/>
      </c>
    </row>
    <row r="475" spans="1:39" ht="15.75" customHeight="1" x14ac:dyDescent="0.25">
      <c r="A475" s="19" t="str">
        <f>IF('Step 10 - Provost'!B22="","","Active")</f>
        <v/>
      </c>
      <c r="B475" s="20" t="str">
        <f>IF('Step 10 - Provost'!B22="","",'Step 10 - Provost'!B22)</f>
        <v/>
      </c>
      <c r="C475" s="20" t="str">
        <f>IF('Step 10 - Provost'!B22="","",'Step 10 - Provost'!B22)</f>
        <v/>
      </c>
      <c r="D475" s="19" t="str">
        <f>IF('Step 10 - Provost'!B22="","",'Step 10 - Provost'!G22)</f>
        <v/>
      </c>
      <c r="E475" s="19" t="str">
        <f>IF('Step 10 - Provost'!B22="","",'Step 10 - Provost'!H22)</f>
        <v/>
      </c>
      <c r="F475" s="20" t="str">
        <f>IF('Step 10 - Provost'!B22="","",IF('Step 10 - Provost'!C22="","","Fund Code"))</f>
        <v/>
      </c>
      <c r="G475" s="19" t="str">
        <f>IF('Step 10 - Provost'!B22="","",IF('Step 10 - Provost'!C22="","","Equals"))</f>
        <v/>
      </c>
      <c r="H475" s="20" t="str">
        <f>IF('Step 10 - Provost'!B22="","",IF('Step 10 - Provost'!C22="","",'Step 10 - Provost'!C22))</f>
        <v/>
      </c>
      <c r="I475" s="20" t="str">
        <f>IF('Step 10 - Provost'!B22="","","Organization Code")</f>
        <v/>
      </c>
      <c r="J475" s="19" t="str">
        <f>IF('Step 10 - Provost'!B22="","","Equals")</f>
        <v/>
      </c>
      <c r="K475" s="20" t="str">
        <f>IF('Step 10 - Provost'!B22="","",'Step 10 - Provost'!D22)</f>
        <v/>
      </c>
      <c r="L475" s="20" t="str">
        <f>IF('Step 10 - Provost'!B22="","","Other Criteria")</f>
        <v/>
      </c>
      <c r="M475" s="19" t="str">
        <f>IF('Step 10 - Provost'!B22="","","Equals")</f>
        <v/>
      </c>
      <c r="N475" s="20" t="str">
        <f>IF('Step 10 - Provost'!B22="","",'Step 10 - Provost'!E22)</f>
        <v/>
      </c>
      <c r="O475" s="20" t="str">
        <f>IF('Step 10 - Provost'!B22="","",IF('Step 10 - Provost'!F22="","","Total"))</f>
        <v/>
      </c>
      <c r="P475" s="19" t="str">
        <f>IF('Step 10 - Provost'!B22="","",IF('Step 10 - Provost'!F22="","","&gt;="))</f>
        <v/>
      </c>
      <c r="Q475" s="20" t="str">
        <f>IF('Step 10 - Provost'!B22="","",IF('Step 10 - Provost'!F22="","",'Step 10 - Provost'!F22))</f>
        <v/>
      </c>
      <c r="R475" s="20" t="str">
        <f>""</f>
        <v/>
      </c>
      <c r="S475" s="20" t="str">
        <f>""</f>
        <v/>
      </c>
      <c r="T475" s="20" t="str">
        <f>""</f>
        <v/>
      </c>
      <c r="U475" s="20" t="str">
        <f>IF('Step 10 - Provost'!B22="","",'Step 10 - Provost'!I22)</f>
        <v/>
      </c>
      <c r="V475" s="19" t="str">
        <f>IF('Step 10 - Provost'!B22="","",'Step 10 - Provost'!K22)</f>
        <v/>
      </c>
      <c r="W475" s="20" t="str">
        <f>IF('Step 10 - Provost'!B22="","",'Step 10 - Provost'!L22)</f>
        <v/>
      </c>
      <c r="X475" s="19" t="str">
        <f>IF('Step 10 - Provost'!B22="","",'Step 10 - Provost'!N22)</f>
        <v/>
      </c>
      <c r="Y475" s="20" t="str">
        <f>""</f>
        <v/>
      </c>
      <c r="Z475" s="20" t="str">
        <f>""</f>
        <v/>
      </c>
      <c r="AA475" s="20" t="str">
        <f>""</f>
        <v/>
      </c>
      <c r="AB475" s="20" t="str">
        <f>""</f>
        <v/>
      </c>
      <c r="AC475" s="20" t="str">
        <f>""</f>
        <v/>
      </c>
      <c r="AD475" s="20" t="str">
        <f>""</f>
        <v/>
      </c>
      <c r="AE475" s="20" t="str">
        <f>""</f>
        <v/>
      </c>
      <c r="AF475" s="20" t="str">
        <f>""</f>
        <v/>
      </c>
      <c r="AG475" s="20" t="str">
        <f>""</f>
        <v/>
      </c>
      <c r="AH475" s="20" t="str">
        <f>""</f>
        <v/>
      </c>
      <c r="AI475" s="20" t="str">
        <f>""</f>
        <v/>
      </c>
      <c r="AJ475" s="20" t="str">
        <f>""</f>
        <v/>
      </c>
      <c r="AK475" s="20" t="str">
        <f>""</f>
        <v/>
      </c>
      <c r="AL475" s="20" t="str">
        <f>""</f>
        <v/>
      </c>
      <c r="AM475" s="20" t="str">
        <f>""</f>
        <v/>
      </c>
    </row>
    <row r="476" spans="1:39" ht="15.75" customHeight="1" x14ac:dyDescent="0.25">
      <c r="A476" s="17" t="str">
        <f>IF('Step 10 - Provost'!B23="","","Active")</f>
        <v/>
      </c>
      <c r="B476" s="18" t="str">
        <f>IF('Step 10 - Provost'!B23="","",'Step 10 - Provost'!B23)</f>
        <v/>
      </c>
      <c r="C476" s="18" t="str">
        <f>IF('Step 10 - Provost'!B23="","",'Step 10 - Provost'!B23)</f>
        <v/>
      </c>
      <c r="D476" s="17" t="str">
        <f>IF('Step 10 - Provost'!B23="","",'Step 10 - Provost'!G23)</f>
        <v/>
      </c>
      <c r="E476" s="17" t="str">
        <f>IF('Step 10 - Provost'!B23="","",'Step 10 - Provost'!H23)</f>
        <v/>
      </c>
      <c r="F476" s="18" t="str">
        <f>IF('Step 10 - Provost'!B23="","",IF('Step 10 - Provost'!C23="","","Fund Code"))</f>
        <v/>
      </c>
      <c r="G476" s="17" t="str">
        <f>IF('Step 10 - Provost'!B23="","",IF('Step 10 - Provost'!C23="","","Equals"))</f>
        <v/>
      </c>
      <c r="H476" s="18" t="str">
        <f>IF('Step 10 - Provost'!B23="","",IF('Step 10 - Provost'!C23="","",'Step 10 - Provost'!C23))</f>
        <v/>
      </c>
      <c r="I476" s="18" t="str">
        <f>IF('Step 10 - Provost'!B23="","","Organization Code")</f>
        <v/>
      </c>
      <c r="J476" s="17" t="str">
        <f>IF('Step 10 - Provost'!B23="","","Equals")</f>
        <v/>
      </c>
      <c r="K476" s="18" t="str">
        <f>IF('Step 10 - Provost'!B23="","",'Step 10 - Provost'!D23)</f>
        <v/>
      </c>
      <c r="L476" s="18" t="str">
        <f>IF('Step 10 - Provost'!B23="","","Other Criteria")</f>
        <v/>
      </c>
      <c r="M476" s="17" t="str">
        <f>IF('Step 10 - Provost'!B23="","","Equals")</f>
        <v/>
      </c>
      <c r="N476" s="18" t="str">
        <f>IF('Step 10 - Provost'!B23="","",'Step 10 - Provost'!E23)</f>
        <v/>
      </c>
      <c r="O476" s="18" t="str">
        <f>IF('Step 10 - Provost'!B23="","",IF('Step 10 - Provost'!F23="","","Total"))</f>
        <v/>
      </c>
      <c r="P476" s="17" t="str">
        <f>IF('Step 10 - Provost'!B23="","",IF('Step 10 - Provost'!F23="","","&gt;="))</f>
        <v/>
      </c>
      <c r="Q476" s="18" t="str">
        <f>IF('Step 10 - Provost'!B23="","",IF('Step 10 - Provost'!F23="","",'Step 10 - Provost'!F23))</f>
        <v/>
      </c>
      <c r="R476" s="18" t="str">
        <f>""</f>
        <v/>
      </c>
      <c r="S476" s="18" t="str">
        <f>""</f>
        <v/>
      </c>
      <c r="T476" s="18" t="str">
        <f>""</f>
        <v/>
      </c>
      <c r="U476" s="18" t="str">
        <f>IF('Step 10 - Provost'!B23="","",'Step 10 - Provost'!I23)</f>
        <v/>
      </c>
      <c r="V476" s="17" t="str">
        <f>IF('Step 10 - Provost'!B23="","",'Step 10 - Provost'!K23)</f>
        <v/>
      </c>
      <c r="W476" s="18" t="str">
        <f>IF('Step 10 - Provost'!B23="","",'Step 10 - Provost'!L23)</f>
        <v/>
      </c>
      <c r="X476" s="17" t="str">
        <f>IF('Step 10 - Provost'!B23="","",'Step 10 - Provost'!N23)</f>
        <v/>
      </c>
      <c r="Y476" s="18" t="str">
        <f>""</f>
        <v/>
      </c>
      <c r="Z476" s="18" t="str">
        <f>""</f>
        <v/>
      </c>
      <c r="AA476" s="18" t="str">
        <f>""</f>
        <v/>
      </c>
      <c r="AB476" s="18" t="str">
        <f>""</f>
        <v/>
      </c>
      <c r="AC476" s="18" t="str">
        <f>""</f>
        <v/>
      </c>
      <c r="AD476" s="18" t="str">
        <f>""</f>
        <v/>
      </c>
      <c r="AE476" s="18" t="str">
        <f>""</f>
        <v/>
      </c>
      <c r="AF476" s="18" t="str">
        <f>""</f>
        <v/>
      </c>
      <c r="AG476" s="18" t="str">
        <f>""</f>
        <v/>
      </c>
      <c r="AH476" s="18" t="str">
        <f>""</f>
        <v/>
      </c>
      <c r="AI476" s="18" t="str">
        <f>""</f>
        <v/>
      </c>
      <c r="AJ476" s="18" t="str">
        <f>""</f>
        <v/>
      </c>
      <c r="AK476" s="18" t="str">
        <f>""</f>
        <v/>
      </c>
      <c r="AL476" s="18" t="str">
        <f>""</f>
        <v/>
      </c>
      <c r="AM476" s="18" t="str">
        <f>""</f>
        <v/>
      </c>
    </row>
    <row r="477" spans="1:39" ht="15.75" customHeight="1" x14ac:dyDescent="0.25">
      <c r="A477" s="19" t="str">
        <f>IF('Step 10 - Provost'!B24="","","Active")</f>
        <v/>
      </c>
      <c r="B477" s="20" t="str">
        <f>IF('Step 10 - Provost'!B24="","",'Step 10 - Provost'!B24)</f>
        <v/>
      </c>
      <c r="C477" s="20" t="str">
        <f>IF('Step 10 - Provost'!B24="","",'Step 10 - Provost'!B24)</f>
        <v/>
      </c>
      <c r="D477" s="19" t="str">
        <f>IF('Step 10 - Provost'!B24="","",'Step 10 - Provost'!G24)</f>
        <v/>
      </c>
      <c r="E477" s="19" t="str">
        <f>IF('Step 10 - Provost'!B24="","",'Step 10 - Provost'!H24)</f>
        <v/>
      </c>
      <c r="F477" s="20" t="str">
        <f>IF('Step 10 - Provost'!B24="","",IF('Step 10 - Provost'!C24="","","Fund Code"))</f>
        <v/>
      </c>
      <c r="G477" s="19" t="str">
        <f>IF('Step 10 - Provost'!B24="","",IF('Step 10 - Provost'!C24="","","Equals"))</f>
        <v/>
      </c>
      <c r="H477" s="20" t="str">
        <f>IF('Step 10 - Provost'!B24="","",IF('Step 10 - Provost'!C24="","",'Step 10 - Provost'!C24))</f>
        <v/>
      </c>
      <c r="I477" s="20" t="str">
        <f>IF('Step 10 - Provost'!B24="","","Organization Code")</f>
        <v/>
      </c>
      <c r="J477" s="19" t="str">
        <f>IF('Step 10 - Provost'!B24="","","Equals")</f>
        <v/>
      </c>
      <c r="K477" s="20" t="str">
        <f>IF('Step 10 - Provost'!B24="","",'Step 10 - Provost'!D24)</f>
        <v/>
      </c>
      <c r="L477" s="20" t="str">
        <f>IF('Step 10 - Provost'!B24="","","Other Criteria")</f>
        <v/>
      </c>
      <c r="M477" s="19" t="str">
        <f>IF('Step 10 - Provost'!B24="","","Equals")</f>
        <v/>
      </c>
      <c r="N477" s="20" t="str">
        <f>IF('Step 10 - Provost'!B24="","",'Step 10 - Provost'!E24)</f>
        <v/>
      </c>
      <c r="O477" s="20" t="str">
        <f>IF('Step 10 - Provost'!B24="","",IF('Step 10 - Provost'!F24="","","Total"))</f>
        <v/>
      </c>
      <c r="P477" s="19" t="str">
        <f>IF('Step 10 - Provost'!B24="","",IF('Step 10 - Provost'!F24="","","&gt;="))</f>
        <v/>
      </c>
      <c r="Q477" s="20" t="str">
        <f>IF('Step 10 - Provost'!B24="","",IF('Step 10 - Provost'!F24="","",'Step 10 - Provost'!F24))</f>
        <v/>
      </c>
      <c r="R477" s="20" t="str">
        <f>""</f>
        <v/>
      </c>
      <c r="S477" s="20" t="str">
        <f>""</f>
        <v/>
      </c>
      <c r="T477" s="20" t="str">
        <f>""</f>
        <v/>
      </c>
      <c r="U477" s="20" t="str">
        <f>IF('Step 10 - Provost'!B24="","",'Step 10 - Provost'!I24)</f>
        <v/>
      </c>
      <c r="V477" s="19" t="str">
        <f>IF('Step 10 - Provost'!B24="","",'Step 10 - Provost'!K24)</f>
        <v/>
      </c>
      <c r="W477" s="20" t="str">
        <f>IF('Step 10 - Provost'!B24="","",'Step 10 - Provost'!L24)</f>
        <v/>
      </c>
      <c r="X477" s="19" t="str">
        <f>IF('Step 10 - Provost'!B24="","",'Step 10 - Provost'!N24)</f>
        <v/>
      </c>
      <c r="Y477" s="20" t="str">
        <f>""</f>
        <v/>
      </c>
      <c r="Z477" s="20" t="str">
        <f>""</f>
        <v/>
      </c>
      <c r="AA477" s="20" t="str">
        <f>""</f>
        <v/>
      </c>
      <c r="AB477" s="20" t="str">
        <f>""</f>
        <v/>
      </c>
      <c r="AC477" s="20" t="str">
        <f>""</f>
        <v/>
      </c>
      <c r="AD477" s="20" t="str">
        <f>""</f>
        <v/>
      </c>
      <c r="AE477" s="20" t="str">
        <f>""</f>
        <v/>
      </c>
      <c r="AF477" s="20" t="str">
        <f>""</f>
        <v/>
      </c>
      <c r="AG477" s="20" t="str">
        <f>""</f>
        <v/>
      </c>
      <c r="AH477" s="20" t="str">
        <f>""</f>
        <v/>
      </c>
      <c r="AI477" s="20" t="str">
        <f>""</f>
        <v/>
      </c>
      <c r="AJ477" s="20" t="str">
        <f>""</f>
        <v/>
      </c>
      <c r="AK477" s="20" t="str">
        <f>""</f>
        <v/>
      </c>
      <c r="AL477" s="20" t="str">
        <f>""</f>
        <v/>
      </c>
      <c r="AM477" s="20" t="str">
        <f>""</f>
        <v/>
      </c>
    </row>
    <row r="478" spans="1:39" ht="15.75" customHeight="1" x14ac:dyDescent="0.25">
      <c r="A478" s="17" t="str">
        <f>IF('Step 10 - Provost'!B25="","","Active")</f>
        <v/>
      </c>
      <c r="B478" s="18" t="str">
        <f>IF('Step 10 - Provost'!B25="","",'Step 10 - Provost'!B25)</f>
        <v/>
      </c>
      <c r="C478" s="18" t="str">
        <f>IF('Step 10 - Provost'!B25="","",'Step 10 - Provost'!B25)</f>
        <v/>
      </c>
      <c r="D478" s="17" t="str">
        <f>IF('Step 10 - Provost'!B25="","",'Step 10 - Provost'!G25)</f>
        <v/>
      </c>
      <c r="E478" s="17" t="str">
        <f>IF('Step 10 - Provost'!B25="","",'Step 10 - Provost'!H25)</f>
        <v/>
      </c>
      <c r="F478" s="18" t="str">
        <f>IF('Step 10 - Provost'!B25="","",IF('Step 10 - Provost'!C25="","","Fund Code"))</f>
        <v/>
      </c>
      <c r="G478" s="17" t="str">
        <f>IF('Step 10 - Provost'!B25="","",IF('Step 10 - Provost'!C25="","","Equals"))</f>
        <v/>
      </c>
      <c r="H478" s="18" t="str">
        <f>IF('Step 10 - Provost'!B25="","",IF('Step 10 - Provost'!C25="","",'Step 10 - Provost'!C25))</f>
        <v/>
      </c>
      <c r="I478" s="18" t="str">
        <f>IF('Step 10 - Provost'!B25="","","Organization Code")</f>
        <v/>
      </c>
      <c r="J478" s="17" t="str">
        <f>IF('Step 10 - Provost'!B25="","","Equals")</f>
        <v/>
      </c>
      <c r="K478" s="18" t="str">
        <f>IF('Step 10 - Provost'!B25="","",'Step 10 - Provost'!D25)</f>
        <v/>
      </c>
      <c r="L478" s="18" t="str">
        <f>IF('Step 10 - Provost'!B25="","","Other Criteria")</f>
        <v/>
      </c>
      <c r="M478" s="17" t="str">
        <f>IF('Step 10 - Provost'!B25="","","Equals")</f>
        <v/>
      </c>
      <c r="N478" s="18" t="str">
        <f>IF('Step 10 - Provost'!B25="","",'Step 10 - Provost'!E25)</f>
        <v/>
      </c>
      <c r="O478" s="18" t="str">
        <f>IF('Step 10 - Provost'!B25="","",IF('Step 10 - Provost'!F25="","","Total"))</f>
        <v/>
      </c>
      <c r="P478" s="17" t="str">
        <f>IF('Step 10 - Provost'!B25="","",IF('Step 10 - Provost'!F25="","","&gt;="))</f>
        <v/>
      </c>
      <c r="Q478" s="18" t="str">
        <f>IF('Step 10 - Provost'!B25="","",IF('Step 10 - Provost'!F25="","",'Step 10 - Provost'!F25))</f>
        <v/>
      </c>
      <c r="R478" s="18" t="str">
        <f>""</f>
        <v/>
      </c>
      <c r="S478" s="18" t="str">
        <f>""</f>
        <v/>
      </c>
      <c r="T478" s="18" t="str">
        <f>""</f>
        <v/>
      </c>
      <c r="U478" s="18" t="str">
        <f>IF('Step 10 - Provost'!B25="","",'Step 10 - Provost'!I25)</f>
        <v/>
      </c>
      <c r="V478" s="17" t="str">
        <f>IF('Step 10 - Provost'!B25="","",'Step 10 - Provost'!K25)</f>
        <v/>
      </c>
      <c r="W478" s="18" t="str">
        <f>IF('Step 10 - Provost'!B25="","",'Step 10 - Provost'!L25)</f>
        <v/>
      </c>
      <c r="X478" s="17" t="str">
        <f>IF('Step 10 - Provost'!B25="","",'Step 10 - Provost'!N25)</f>
        <v/>
      </c>
      <c r="Y478" s="18" t="str">
        <f>""</f>
        <v/>
      </c>
      <c r="Z478" s="18" t="str">
        <f>""</f>
        <v/>
      </c>
      <c r="AA478" s="18" t="str">
        <f>""</f>
        <v/>
      </c>
      <c r="AB478" s="18" t="str">
        <f>""</f>
        <v/>
      </c>
      <c r="AC478" s="18" t="str">
        <f>""</f>
        <v/>
      </c>
      <c r="AD478" s="18" t="str">
        <f>""</f>
        <v/>
      </c>
      <c r="AE478" s="18" t="str">
        <f>""</f>
        <v/>
      </c>
      <c r="AF478" s="18" t="str">
        <f>""</f>
        <v/>
      </c>
      <c r="AG478" s="18" t="str">
        <f>""</f>
        <v/>
      </c>
      <c r="AH478" s="18" t="str">
        <f>""</f>
        <v/>
      </c>
      <c r="AI478" s="18" t="str">
        <f>""</f>
        <v/>
      </c>
      <c r="AJ478" s="18" t="str">
        <f>""</f>
        <v/>
      </c>
      <c r="AK478" s="18" t="str">
        <f>""</f>
        <v/>
      </c>
      <c r="AL478" s="18" t="str">
        <f>""</f>
        <v/>
      </c>
      <c r="AM478" s="18" t="str">
        <f>""</f>
        <v/>
      </c>
    </row>
    <row r="479" spans="1:39" ht="15.75" customHeight="1" x14ac:dyDescent="0.25">
      <c r="A479" s="19" t="str">
        <f>IF('Step 10 - Provost'!B26="","","Active")</f>
        <v/>
      </c>
      <c r="B479" s="20" t="str">
        <f>IF('Step 10 - Provost'!B26="","",'Step 10 - Provost'!B26)</f>
        <v/>
      </c>
      <c r="C479" s="20" t="str">
        <f>IF('Step 10 - Provost'!B26="","",'Step 10 - Provost'!B26)</f>
        <v/>
      </c>
      <c r="D479" s="19" t="str">
        <f>IF('Step 10 - Provost'!B26="","",'Step 10 - Provost'!G26)</f>
        <v/>
      </c>
      <c r="E479" s="19" t="str">
        <f>IF('Step 10 - Provost'!B26="","",'Step 10 - Provost'!H26)</f>
        <v/>
      </c>
      <c r="F479" s="20" t="str">
        <f>IF('Step 10 - Provost'!B26="","",IF('Step 10 - Provost'!C26="","","Fund Code"))</f>
        <v/>
      </c>
      <c r="G479" s="19" t="str">
        <f>IF('Step 10 - Provost'!B26="","",IF('Step 10 - Provost'!C26="","","Equals"))</f>
        <v/>
      </c>
      <c r="H479" s="20" t="str">
        <f>IF('Step 10 - Provost'!B26="","",IF('Step 10 - Provost'!C26="","",'Step 10 - Provost'!C26))</f>
        <v/>
      </c>
      <c r="I479" s="20" t="str">
        <f>IF('Step 10 - Provost'!B26="","","Organization Code")</f>
        <v/>
      </c>
      <c r="J479" s="19" t="str">
        <f>IF('Step 10 - Provost'!B26="","","Equals")</f>
        <v/>
      </c>
      <c r="K479" s="20" t="str">
        <f>IF('Step 10 - Provost'!B26="","",'Step 10 - Provost'!D26)</f>
        <v/>
      </c>
      <c r="L479" s="20" t="str">
        <f>IF('Step 10 - Provost'!B26="","","Other Criteria")</f>
        <v/>
      </c>
      <c r="M479" s="19" t="str">
        <f>IF('Step 10 - Provost'!B26="","","Equals")</f>
        <v/>
      </c>
      <c r="N479" s="20" t="str">
        <f>IF('Step 10 - Provost'!B26="","",'Step 10 - Provost'!E26)</f>
        <v/>
      </c>
      <c r="O479" s="20" t="str">
        <f>IF('Step 10 - Provost'!B26="","",IF('Step 10 - Provost'!F26="","","Total"))</f>
        <v/>
      </c>
      <c r="P479" s="19" t="str">
        <f>IF('Step 10 - Provost'!B26="","",IF('Step 10 - Provost'!F26="","","&gt;="))</f>
        <v/>
      </c>
      <c r="Q479" s="20" t="str">
        <f>IF('Step 10 - Provost'!B26="","",IF('Step 10 - Provost'!F26="","",'Step 10 - Provost'!F26))</f>
        <v/>
      </c>
      <c r="R479" s="20" t="str">
        <f>""</f>
        <v/>
      </c>
      <c r="S479" s="20" t="str">
        <f>""</f>
        <v/>
      </c>
      <c r="T479" s="20" t="str">
        <f>""</f>
        <v/>
      </c>
      <c r="U479" s="20" t="str">
        <f>IF('Step 10 - Provost'!B26="","",'Step 10 - Provost'!I26)</f>
        <v/>
      </c>
      <c r="V479" s="19" t="str">
        <f>IF('Step 10 - Provost'!B26="","",'Step 10 - Provost'!K26)</f>
        <v/>
      </c>
      <c r="W479" s="20" t="str">
        <f>IF('Step 10 - Provost'!B26="","",'Step 10 - Provost'!L26)</f>
        <v/>
      </c>
      <c r="X479" s="19" t="str">
        <f>IF('Step 10 - Provost'!B26="","",'Step 10 - Provost'!N26)</f>
        <v/>
      </c>
      <c r="Y479" s="20" t="str">
        <f>""</f>
        <v/>
      </c>
      <c r="Z479" s="20" t="str">
        <f>""</f>
        <v/>
      </c>
      <c r="AA479" s="20" t="str">
        <f>""</f>
        <v/>
      </c>
      <c r="AB479" s="20" t="str">
        <f>""</f>
        <v/>
      </c>
      <c r="AC479" s="20" t="str">
        <f>""</f>
        <v/>
      </c>
      <c r="AD479" s="20" t="str">
        <f>""</f>
        <v/>
      </c>
      <c r="AE479" s="20" t="str">
        <f>""</f>
        <v/>
      </c>
      <c r="AF479" s="20" t="str">
        <f>""</f>
        <v/>
      </c>
      <c r="AG479" s="20" t="str">
        <f>""</f>
        <v/>
      </c>
      <c r="AH479" s="20" t="str">
        <f>""</f>
        <v/>
      </c>
      <c r="AI479" s="20" t="str">
        <f>""</f>
        <v/>
      </c>
      <c r="AJ479" s="20" t="str">
        <f>""</f>
        <v/>
      </c>
      <c r="AK479" s="20" t="str">
        <f>""</f>
        <v/>
      </c>
      <c r="AL479" s="20" t="str">
        <f>""</f>
        <v/>
      </c>
      <c r="AM479" s="20" t="str">
        <f>""</f>
        <v/>
      </c>
    </row>
    <row r="480" spans="1:39" ht="15.75" customHeight="1" x14ac:dyDescent="0.25">
      <c r="A480" s="17" t="str">
        <f>IF('Step 10 - Provost'!B27="","","Active")</f>
        <v/>
      </c>
      <c r="B480" s="18" t="str">
        <f>IF('Step 10 - Provost'!B27="","",'Step 10 - Provost'!B27)</f>
        <v/>
      </c>
      <c r="C480" s="18" t="str">
        <f>IF('Step 10 - Provost'!B27="","",'Step 10 - Provost'!B27)</f>
        <v/>
      </c>
      <c r="D480" s="17" t="str">
        <f>IF('Step 10 - Provost'!B27="","",'Step 10 - Provost'!G27)</f>
        <v/>
      </c>
      <c r="E480" s="17" t="str">
        <f>IF('Step 10 - Provost'!B27="","",'Step 10 - Provost'!H27)</f>
        <v/>
      </c>
      <c r="F480" s="18" t="str">
        <f>IF('Step 10 - Provost'!B27="","",IF('Step 10 - Provost'!C27="","","Fund Code"))</f>
        <v/>
      </c>
      <c r="G480" s="17" t="str">
        <f>IF('Step 10 - Provost'!B27="","",IF('Step 10 - Provost'!C27="","","Equals"))</f>
        <v/>
      </c>
      <c r="H480" s="18" t="str">
        <f>IF('Step 10 - Provost'!B27="","",IF('Step 10 - Provost'!C27="","",'Step 10 - Provost'!C27))</f>
        <v/>
      </c>
      <c r="I480" s="18" t="str">
        <f>IF('Step 10 - Provost'!B27="","","Organization Code")</f>
        <v/>
      </c>
      <c r="J480" s="17" t="str">
        <f>IF('Step 10 - Provost'!B27="","","Equals")</f>
        <v/>
      </c>
      <c r="K480" s="18" t="str">
        <f>IF('Step 10 - Provost'!B27="","",'Step 10 - Provost'!D27)</f>
        <v/>
      </c>
      <c r="L480" s="18" t="str">
        <f>IF('Step 10 - Provost'!B27="","","Other Criteria")</f>
        <v/>
      </c>
      <c r="M480" s="17" t="str">
        <f>IF('Step 10 - Provost'!B27="","","Equals")</f>
        <v/>
      </c>
      <c r="N480" s="18" t="str">
        <f>IF('Step 10 - Provost'!B27="","",'Step 10 - Provost'!E27)</f>
        <v/>
      </c>
      <c r="O480" s="18" t="str">
        <f>IF('Step 10 - Provost'!B27="","",IF('Step 10 - Provost'!F27="","","Total"))</f>
        <v/>
      </c>
      <c r="P480" s="17" t="str">
        <f>IF('Step 10 - Provost'!B27="","",IF('Step 10 - Provost'!F27="","","&gt;="))</f>
        <v/>
      </c>
      <c r="Q480" s="18" t="str">
        <f>IF('Step 10 - Provost'!B27="","",IF('Step 10 - Provost'!F27="","",'Step 10 - Provost'!F27))</f>
        <v/>
      </c>
      <c r="R480" s="18" t="str">
        <f>""</f>
        <v/>
      </c>
      <c r="S480" s="18" t="str">
        <f>""</f>
        <v/>
      </c>
      <c r="T480" s="18" t="str">
        <f>""</f>
        <v/>
      </c>
      <c r="U480" s="18" t="str">
        <f>IF('Step 10 - Provost'!B27="","",'Step 10 - Provost'!I27)</f>
        <v/>
      </c>
      <c r="V480" s="17" t="str">
        <f>IF('Step 10 - Provost'!B27="","",'Step 10 - Provost'!K27)</f>
        <v/>
      </c>
      <c r="W480" s="18" t="str">
        <f>IF('Step 10 - Provost'!B27="","",'Step 10 - Provost'!L27)</f>
        <v/>
      </c>
      <c r="X480" s="17" t="str">
        <f>IF('Step 10 - Provost'!B27="","",'Step 10 - Provost'!N27)</f>
        <v/>
      </c>
      <c r="Y480" s="18" t="str">
        <f>""</f>
        <v/>
      </c>
      <c r="Z480" s="18" t="str">
        <f>""</f>
        <v/>
      </c>
      <c r="AA480" s="18" t="str">
        <f>""</f>
        <v/>
      </c>
      <c r="AB480" s="18" t="str">
        <f>""</f>
        <v/>
      </c>
      <c r="AC480" s="18" t="str">
        <f>""</f>
        <v/>
      </c>
      <c r="AD480" s="18" t="str">
        <f>""</f>
        <v/>
      </c>
      <c r="AE480" s="18" t="str">
        <f>""</f>
        <v/>
      </c>
      <c r="AF480" s="18" t="str">
        <f>""</f>
        <v/>
      </c>
      <c r="AG480" s="18" t="str">
        <f>""</f>
        <v/>
      </c>
      <c r="AH480" s="18" t="str">
        <f>""</f>
        <v/>
      </c>
      <c r="AI480" s="18" t="str">
        <f>""</f>
        <v/>
      </c>
      <c r="AJ480" s="18" t="str">
        <f>""</f>
        <v/>
      </c>
      <c r="AK480" s="18" t="str">
        <f>""</f>
        <v/>
      </c>
      <c r="AL480" s="18" t="str">
        <f>""</f>
        <v/>
      </c>
      <c r="AM480" s="18" t="str">
        <f>""</f>
        <v/>
      </c>
    </row>
    <row r="481" spans="1:39" ht="15.75" customHeight="1" x14ac:dyDescent="0.25">
      <c r="A481" s="19" t="str">
        <f>IF('Step 10 - Provost'!B28="","","Active")</f>
        <v/>
      </c>
      <c r="B481" s="20" t="str">
        <f>IF('Step 10 - Provost'!B28="","",'Step 10 - Provost'!B28)</f>
        <v/>
      </c>
      <c r="C481" s="20" t="str">
        <f>IF('Step 10 - Provost'!B28="","",'Step 10 - Provost'!B28)</f>
        <v/>
      </c>
      <c r="D481" s="19" t="str">
        <f>IF('Step 10 - Provost'!B28="","",'Step 10 - Provost'!G28)</f>
        <v/>
      </c>
      <c r="E481" s="19" t="str">
        <f>IF('Step 10 - Provost'!B28="","",'Step 10 - Provost'!H28)</f>
        <v/>
      </c>
      <c r="F481" s="20" t="str">
        <f>IF('Step 10 - Provost'!B28="","",IF('Step 10 - Provost'!C28="","","Fund Code"))</f>
        <v/>
      </c>
      <c r="G481" s="19" t="str">
        <f>IF('Step 10 - Provost'!B28="","",IF('Step 10 - Provost'!C28="","","Equals"))</f>
        <v/>
      </c>
      <c r="H481" s="20" t="str">
        <f>IF('Step 10 - Provost'!B28="","",IF('Step 10 - Provost'!C28="","",'Step 10 - Provost'!C28))</f>
        <v/>
      </c>
      <c r="I481" s="20" t="str">
        <f>IF('Step 10 - Provost'!B28="","","Organization Code")</f>
        <v/>
      </c>
      <c r="J481" s="19" t="str">
        <f>IF('Step 10 - Provost'!B28="","","Equals")</f>
        <v/>
      </c>
      <c r="K481" s="20" t="str">
        <f>IF('Step 10 - Provost'!B28="","",'Step 10 - Provost'!D28)</f>
        <v/>
      </c>
      <c r="L481" s="20" t="str">
        <f>IF('Step 10 - Provost'!B28="","","Other Criteria")</f>
        <v/>
      </c>
      <c r="M481" s="19" t="str">
        <f>IF('Step 10 - Provost'!B28="","","Equals")</f>
        <v/>
      </c>
      <c r="N481" s="20" t="str">
        <f>IF('Step 10 - Provost'!B28="","",'Step 10 - Provost'!E28)</f>
        <v/>
      </c>
      <c r="O481" s="20" t="str">
        <f>IF('Step 10 - Provost'!B28="","",IF('Step 10 - Provost'!F28="","","Total"))</f>
        <v/>
      </c>
      <c r="P481" s="19" t="str">
        <f>IF('Step 10 - Provost'!B28="","",IF('Step 10 - Provost'!F28="","","&gt;="))</f>
        <v/>
      </c>
      <c r="Q481" s="20" t="str">
        <f>IF('Step 10 - Provost'!B28="","",IF('Step 10 - Provost'!F28="","",'Step 10 - Provost'!F28))</f>
        <v/>
      </c>
      <c r="R481" s="20" t="str">
        <f>""</f>
        <v/>
      </c>
      <c r="S481" s="20" t="str">
        <f>""</f>
        <v/>
      </c>
      <c r="T481" s="20" t="str">
        <f>""</f>
        <v/>
      </c>
      <c r="U481" s="20" t="str">
        <f>IF('Step 10 - Provost'!B28="","",'Step 10 - Provost'!I28)</f>
        <v/>
      </c>
      <c r="V481" s="19" t="str">
        <f>IF('Step 10 - Provost'!B28="","",'Step 10 - Provost'!K28)</f>
        <v/>
      </c>
      <c r="W481" s="20" t="str">
        <f>IF('Step 10 - Provost'!B28="","",'Step 10 - Provost'!L28)</f>
        <v/>
      </c>
      <c r="X481" s="19" t="str">
        <f>IF('Step 10 - Provost'!B28="","",'Step 10 - Provost'!N28)</f>
        <v/>
      </c>
      <c r="Y481" s="20" t="str">
        <f>""</f>
        <v/>
      </c>
      <c r="Z481" s="20" t="str">
        <f>""</f>
        <v/>
      </c>
      <c r="AA481" s="20" t="str">
        <f>""</f>
        <v/>
      </c>
      <c r="AB481" s="20" t="str">
        <f>""</f>
        <v/>
      </c>
      <c r="AC481" s="20" t="str">
        <f>""</f>
        <v/>
      </c>
      <c r="AD481" s="20" t="str">
        <f>""</f>
        <v/>
      </c>
      <c r="AE481" s="20" t="str">
        <f>""</f>
        <v/>
      </c>
      <c r="AF481" s="20" t="str">
        <f>""</f>
        <v/>
      </c>
      <c r="AG481" s="20" t="str">
        <f>""</f>
        <v/>
      </c>
      <c r="AH481" s="20" t="str">
        <f>""</f>
        <v/>
      </c>
      <c r="AI481" s="20" t="str">
        <f>""</f>
        <v/>
      </c>
      <c r="AJ481" s="20" t="str">
        <f>""</f>
        <v/>
      </c>
      <c r="AK481" s="20" t="str">
        <f>""</f>
        <v/>
      </c>
      <c r="AL481" s="20" t="str">
        <f>""</f>
        <v/>
      </c>
      <c r="AM481" s="20" t="str">
        <f>""</f>
        <v/>
      </c>
    </row>
    <row r="482" spans="1:39" ht="15.75" customHeight="1" x14ac:dyDescent="0.25">
      <c r="A482" s="17" t="str">
        <f>IF('Step 10 - Provost'!B29="","","Active")</f>
        <v/>
      </c>
      <c r="B482" s="18" t="str">
        <f>IF('Step 10 - Provost'!B29="","",'Step 10 - Provost'!B29)</f>
        <v/>
      </c>
      <c r="C482" s="18" t="str">
        <f>IF('Step 10 - Provost'!B29="","",'Step 10 - Provost'!B29)</f>
        <v/>
      </c>
      <c r="D482" s="17" t="str">
        <f>IF('Step 10 - Provost'!B29="","",'Step 10 - Provost'!G29)</f>
        <v/>
      </c>
      <c r="E482" s="17" t="str">
        <f>IF('Step 10 - Provost'!B29="","",'Step 10 - Provost'!H29)</f>
        <v/>
      </c>
      <c r="F482" s="18" t="str">
        <f>IF('Step 10 - Provost'!B29="","",IF('Step 10 - Provost'!C29="","","Fund Code"))</f>
        <v/>
      </c>
      <c r="G482" s="17" t="str">
        <f>IF('Step 10 - Provost'!B29="","",IF('Step 10 - Provost'!C29="","","Equals"))</f>
        <v/>
      </c>
      <c r="H482" s="18" t="str">
        <f>IF('Step 10 - Provost'!B29="","",IF('Step 10 - Provost'!C29="","",'Step 10 - Provost'!C29))</f>
        <v/>
      </c>
      <c r="I482" s="18" t="str">
        <f>IF('Step 10 - Provost'!B29="","","Organization Code")</f>
        <v/>
      </c>
      <c r="J482" s="17" t="str">
        <f>IF('Step 10 - Provost'!B29="","","Equals")</f>
        <v/>
      </c>
      <c r="K482" s="18" t="str">
        <f>IF('Step 10 - Provost'!B29="","",'Step 10 - Provost'!D29)</f>
        <v/>
      </c>
      <c r="L482" s="18" t="str">
        <f>IF('Step 10 - Provost'!B29="","","Other Criteria")</f>
        <v/>
      </c>
      <c r="M482" s="17" t="str">
        <f>IF('Step 10 - Provost'!B29="","","Equals")</f>
        <v/>
      </c>
      <c r="N482" s="18" t="str">
        <f>IF('Step 10 - Provost'!B29="","",'Step 10 - Provost'!E29)</f>
        <v/>
      </c>
      <c r="O482" s="18" t="str">
        <f>IF('Step 10 - Provost'!B29="","",IF('Step 10 - Provost'!F29="","","Total"))</f>
        <v/>
      </c>
      <c r="P482" s="17" t="str">
        <f>IF('Step 10 - Provost'!B29="","",IF('Step 10 - Provost'!F29="","","&gt;="))</f>
        <v/>
      </c>
      <c r="Q482" s="18" t="str">
        <f>IF('Step 10 - Provost'!B29="","",IF('Step 10 - Provost'!F29="","",'Step 10 - Provost'!F29))</f>
        <v/>
      </c>
      <c r="R482" s="18" t="str">
        <f>""</f>
        <v/>
      </c>
      <c r="S482" s="18" t="str">
        <f>""</f>
        <v/>
      </c>
      <c r="T482" s="18" t="str">
        <f>""</f>
        <v/>
      </c>
      <c r="U482" s="18" t="str">
        <f>IF('Step 10 - Provost'!B29="","",'Step 10 - Provost'!I29)</f>
        <v/>
      </c>
      <c r="V482" s="17" t="str">
        <f>IF('Step 10 - Provost'!B29="","",'Step 10 - Provost'!K29)</f>
        <v/>
      </c>
      <c r="W482" s="18" t="str">
        <f>IF('Step 10 - Provost'!B29="","",'Step 10 - Provost'!L29)</f>
        <v/>
      </c>
      <c r="X482" s="17" t="str">
        <f>IF('Step 10 - Provost'!B29="","",'Step 10 - Provost'!N29)</f>
        <v/>
      </c>
      <c r="Y482" s="18" t="str">
        <f>""</f>
        <v/>
      </c>
      <c r="Z482" s="18" t="str">
        <f>""</f>
        <v/>
      </c>
      <c r="AA482" s="18" t="str">
        <f>""</f>
        <v/>
      </c>
      <c r="AB482" s="18" t="str">
        <f>""</f>
        <v/>
      </c>
      <c r="AC482" s="18" t="str">
        <f>""</f>
        <v/>
      </c>
      <c r="AD482" s="18" t="str">
        <f>""</f>
        <v/>
      </c>
      <c r="AE482" s="18" t="str">
        <f>""</f>
        <v/>
      </c>
      <c r="AF482" s="18" t="str">
        <f>""</f>
        <v/>
      </c>
      <c r="AG482" s="18" t="str">
        <f>""</f>
        <v/>
      </c>
      <c r="AH482" s="18" t="str">
        <f>""</f>
        <v/>
      </c>
      <c r="AI482" s="18" t="str">
        <f>""</f>
        <v/>
      </c>
      <c r="AJ482" s="18" t="str">
        <f>""</f>
        <v/>
      </c>
      <c r="AK482" s="18" t="str">
        <f>""</f>
        <v/>
      </c>
      <c r="AL482" s="18" t="str">
        <f>""</f>
        <v/>
      </c>
      <c r="AM482" s="18" t="str">
        <f>""</f>
        <v/>
      </c>
    </row>
    <row r="483" spans="1:39" ht="15.75" customHeight="1" x14ac:dyDescent="0.25">
      <c r="A483" s="19" t="str">
        <f>IF('Step 10 - Provost'!B30="","","Active")</f>
        <v/>
      </c>
      <c r="B483" s="20" t="str">
        <f>IF('Step 10 - Provost'!B30="","",'Step 10 - Provost'!B30)</f>
        <v/>
      </c>
      <c r="C483" s="20" t="str">
        <f>IF('Step 10 - Provost'!B30="","",'Step 10 - Provost'!B30)</f>
        <v/>
      </c>
      <c r="D483" s="19" t="str">
        <f>IF('Step 10 - Provost'!B30="","",'Step 10 - Provost'!G30)</f>
        <v/>
      </c>
      <c r="E483" s="19" t="str">
        <f>IF('Step 10 - Provost'!B30="","",'Step 10 - Provost'!H30)</f>
        <v/>
      </c>
      <c r="F483" s="20" t="str">
        <f>IF('Step 10 - Provost'!B30="","",IF('Step 10 - Provost'!C30="","","Fund Code"))</f>
        <v/>
      </c>
      <c r="G483" s="19" t="str">
        <f>IF('Step 10 - Provost'!B30="","",IF('Step 10 - Provost'!C30="","","Equals"))</f>
        <v/>
      </c>
      <c r="H483" s="20" t="str">
        <f>IF('Step 10 - Provost'!B30="","",IF('Step 10 - Provost'!C30="","",'Step 10 - Provost'!C30))</f>
        <v/>
      </c>
      <c r="I483" s="20" t="str">
        <f>IF('Step 10 - Provost'!B30="","","Organization Code")</f>
        <v/>
      </c>
      <c r="J483" s="19" t="str">
        <f>IF('Step 10 - Provost'!B30="","","Equals")</f>
        <v/>
      </c>
      <c r="K483" s="20" t="str">
        <f>IF('Step 10 - Provost'!B30="","",'Step 10 - Provost'!D30)</f>
        <v/>
      </c>
      <c r="L483" s="20" t="str">
        <f>IF('Step 10 - Provost'!B30="","","Other Criteria")</f>
        <v/>
      </c>
      <c r="M483" s="19" t="str">
        <f>IF('Step 10 - Provost'!B30="","","Equals")</f>
        <v/>
      </c>
      <c r="N483" s="20" t="str">
        <f>IF('Step 10 - Provost'!B30="","",'Step 10 - Provost'!E30)</f>
        <v/>
      </c>
      <c r="O483" s="20" t="str">
        <f>IF('Step 10 - Provost'!B30="","",IF('Step 10 - Provost'!F30="","","Total"))</f>
        <v/>
      </c>
      <c r="P483" s="19" t="str">
        <f>IF('Step 10 - Provost'!B30="","",IF('Step 10 - Provost'!F30="","","&gt;="))</f>
        <v/>
      </c>
      <c r="Q483" s="20" t="str">
        <f>IF('Step 10 - Provost'!B30="","",IF('Step 10 - Provost'!F30="","",'Step 10 - Provost'!F30))</f>
        <v/>
      </c>
      <c r="R483" s="20" t="str">
        <f>""</f>
        <v/>
      </c>
      <c r="S483" s="20" t="str">
        <f>""</f>
        <v/>
      </c>
      <c r="T483" s="20" t="str">
        <f>""</f>
        <v/>
      </c>
      <c r="U483" s="20" t="str">
        <f>IF('Step 10 - Provost'!B30="","",'Step 10 - Provost'!I30)</f>
        <v/>
      </c>
      <c r="V483" s="19" t="str">
        <f>IF('Step 10 - Provost'!B30="","",'Step 10 - Provost'!K30)</f>
        <v/>
      </c>
      <c r="W483" s="20" t="str">
        <f>IF('Step 10 - Provost'!B30="","",'Step 10 - Provost'!L30)</f>
        <v/>
      </c>
      <c r="X483" s="19" t="str">
        <f>IF('Step 10 - Provost'!B30="","",'Step 10 - Provost'!N30)</f>
        <v/>
      </c>
      <c r="Y483" s="20" t="str">
        <f>""</f>
        <v/>
      </c>
      <c r="Z483" s="20" t="str">
        <f>""</f>
        <v/>
      </c>
      <c r="AA483" s="20" t="str">
        <f>""</f>
        <v/>
      </c>
      <c r="AB483" s="20" t="str">
        <f>""</f>
        <v/>
      </c>
      <c r="AC483" s="20" t="str">
        <f>""</f>
        <v/>
      </c>
      <c r="AD483" s="20" t="str">
        <f>""</f>
        <v/>
      </c>
      <c r="AE483" s="20" t="str">
        <f>""</f>
        <v/>
      </c>
      <c r="AF483" s="20" t="str">
        <f>""</f>
        <v/>
      </c>
      <c r="AG483" s="20" t="str">
        <f>""</f>
        <v/>
      </c>
      <c r="AH483" s="20" t="str">
        <f>""</f>
        <v/>
      </c>
      <c r="AI483" s="20" t="str">
        <f>""</f>
        <v/>
      </c>
      <c r="AJ483" s="20" t="str">
        <f>""</f>
        <v/>
      </c>
      <c r="AK483" s="20" t="str">
        <f>""</f>
        <v/>
      </c>
      <c r="AL483" s="20" t="str">
        <f>""</f>
        <v/>
      </c>
      <c r="AM483" s="20" t="str">
        <f>""</f>
        <v/>
      </c>
    </row>
    <row r="484" spans="1:39" ht="15.75" customHeight="1" x14ac:dyDescent="0.25">
      <c r="A484" s="17" t="str">
        <f>IF('Step 10 - Provost'!B31="","","Active")</f>
        <v/>
      </c>
      <c r="B484" s="18" t="str">
        <f>IF('Step 10 - Provost'!B31="","",'Step 10 - Provost'!B31)</f>
        <v/>
      </c>
      <c r="C484" s="18" t="str">
        <f>IF('Step 10 - Provost'!B31="","",'Step 10 - Provost'!B31)</f>
        <v/>
      </c>
      <c r="D484" s="17" t="str">
        <f>IF('Step 10 - Provost'!B31="","",'Step 10 - Provost'!G31)</f>
        <v/>
      </c>
      <c r="E484" s="17" t="str">
        <f>IF('Step 10 - Provost'!B31="","",'Step 10 - Provost'!H31)</f>
        <v/>
      </c>
      <c r="F484" s="18" t="str">
        <f>IF('Step 10 - Provost'!B31="","",IF('Step 10 - Provost'!C31="","","Fund Code"))</f>
        <v/>
      </c>
      <c r="G484" s="17" t="str">
        <f>IF('Step 10 - Provost'!B31="","",IF('Step 10 - Provost'!C31="","","Equals"))</f>
        <v/>
      </c>
      <c r="H484" s="18" t="str">
        <f>IF('Step 10 - Provost'!B31="","",IF('Step 10 - Provost'!C31="","",'Step 10 - Provost'!C31))</f>
        <v/>
      </c>
      <c r="I484" s="18" t="str">
        <f>IF('Step 10 - Provost'!B31="","","Organization Code")</f>
        <v/>
      </c>
      <c r="J484" s="17" t="str">
        <f>IF('Step 10 - Provost'!B31="","","Equals")</f>
        <v/>
      </c>
      <c r="K484" s="18" t="str">
        <f>IF('Step 10 - Provost'!B31="","",'Step 10 - Provost'!D31)</f>
        <v/>
      </c>
      <c r="L484" s="18" t="str">
        <f>IF('Step 10 - Provost'!B31="","","Other Criteria")</f>
        <v/>
      </c>
      <c r="M484" s="17" t="str">
        <f>IF('Step 10 - Provost'!B31="","","Equals")</f>
        <v/>
      </c>
      <c r="N484" s="18" t="str">
        <f>IF('Step 10 - Provost'!B31="","",'Step 10 - Provost'!E31)</f>
        <v/>
      </c>
      <c r="O484" s="18" t="str">
        <f>IF('Step 10 - Provost'!B31="","",IF('Step 10 - Provost'!F31="","","Total"))</f>
        <v/>
      </c>
      <c r="P484" s="17" t="str">
        <f>IF('Step 10 - Provost'!B31="","",IF('Step 10 - Provost'!F31="","","&gt;="))</f>
        <v/>
      </c>
      <c r="Q484" s="18" t="str">
        <f>IF('Step 10 - Provost'!B31="","",IF('Step 10 - Provost'!F31="","",'Step 10 - Provost'!F31))</f>
        <v/>
      </c>
      <c r="R484" s="18" t="str">
        <f>""</f>
        <v/>
      </c>
      <c r="S484" s="18" t="str">
        <f>""</f>
        <v/>
      </c>
      <c r="T484" s="18" t="str">
        <f>""</f>
        <v/>
      </c>
      <c r="U484" s="18" t="str">
        <f>IF('Step 10 - Provost'!B31="","",'Step 10 - Provost'!I31)</f>
        <v/>
      </c>
      <c r="V484" s="17" t="str">
        <f>IF('Step 10 - Provost'!B31="","",'Step 10 - Provost'!K31)</f>
        <v/>
      </c>
      <c r="W484" s="18" t="str">
        <f>IF('Step 10 - Provost'!B31="","",'Step 10 - Provost'!L31)</f>
        <v/>
      </c>
      <c r="X484" s="17" t="str">
        <f>IF('Step 10 - Provost'!B31="","",'Step 10 - Provost'!N31)</f>
        <v/>
      </c>
      <c r="Y484" s="18" t="str">
        <f>""</f>
        <v/>
      </c>
      <c r="Z484" s="18" t="str">
        <f>""</f>
        <v/>
      </c>
      <c r="AA484" s="18" t="str">
        <f>""</f>
        <v/>
      </c>
      <c r="AB484" s="18" t="str">
        <f>""</f>
        <v/>
      </c>
      <c r="AC484" s="18" t="str">
        <f>""</f>
        <v/>
      </c>
      <c r="AD484" s="18" t="str">
        <f>""</f>
        <v/>
      </c>
      <c r="AE484" s="18" t="str">
        <f>""</f>
        <v/>
      </c>
      <c r="AF484" s="18" t="str">
        <f>""</f>
        <v/>
      </c>
      <c r="AG484" s="18" t="str">
        <f>""</f>
        <v/>
      </c>
      <c r="AH484" s="18" t="str">
        <f>""</f>
        <v/>
      </c>
      <c r="AI484" s="18" t="str">
        <f>""</f>
        <v/>
      </c>
      <c r="AJ484" s="18" t="str">
        <f>""</f>
        <v/>
      </c>
      <c r="AK484" s="18" t="str">
        <f>""</f>
        <v/>
      </c>
      <c r="AL484" s="18" t="str">
        <f>""</f>
        <v/>
      </c>
      <c r="AM484" s="18" t="str">
        <f>""</f>
        <v/>
      </c>
    </row>
    <row r="485" spans="1:39" ht="15.75" customHeight="1" x14ac:dyDescent="0.25">
      <c r="A485" s="19" t="str">
        <f>IF('Step 10 - Provost'!B32="","","Active")</f>
        <v/>
      </c>
      <c r="B485" s="20" t="str">
        <f>IF('Step 10 - Provost'!B32="","",'Step 10 - Provost'!B32)</f>
        <v/>
      </c>
      <c r="C485" s="20" t="str">
        <f>IF('Step 10 - Provost'!B32="","",'Step 10 - Provost'!B32)</f>
        <v/>
      </c>
      <c r="D485" s="19" t="str">
        <f>IF('Step 10 - Provost'!B32="","",'Step 10 - Provost'!G32)</f>
        <v/>
      </c>
      <c r="E485" s="19" t="str">
        <f>IF('Step 10 - Provost'!B32="","",'Step 10 - Provost'!H32)</f>
        <v/>
      </c>
      <c r="F485" s="20" t="str">
        <f>IF('Step 10 - Provost'!B32="","",IF('Step 10 - Provost'!C32="","","Fund Code"))</f>
        <v/>
      </c>
      <c r="G485" s="19" t="str">
        <f>IF('Step 10 - Provost'!B32="","",IF('Step 10 - Provost'!C32="","","Equals"))</f>
        <v/>
      </c>
      <c r="H485" s="20" t="str">
        <f>IF('Step 10 - Provost'!B32="","",IF('Step 10 - Provost'!C32="","",'Step 10 - Provost'!C32))</f>
        <v/>
      </c>
      <c r="I485" s="20" t="str">
        <f>IF('Step 10 - Provost'!B32="","","Organization Code")</f>
        <v/>
      </c>
      <c r="J485" s="19" t="str">
        <f>IF('Step 10 - Provost'!B32="","","Equals")</f>
        <v/>
      </c>
      <c r="K485" s="20" t="str">
        <f>IF('Step 10 - Provost'!B32="","",'Step 10 - Provost'!D32)</f>
        <v/>
      </c>
      <c r="L485" s="20" t="str">
        <f>IF('Step 10 - Provost'!B32="","","Other Criteria")</f>
        <v/>
      </c>
      <c r="M485" s="19" t="str">
        <f>IF('Step 10 - Provost'!B32="","","Equals")</f>
        <v/>
      </c>
      <c r="N485" s="20" t="str">
        <f>IF('Step 10 - Provost'!B32="","",'Step 10 - Provost'!E32)</f>
        <v/>
      </c>
      <c r="O485" s="20" t="str">
        <f>IF('Step 10 - Provost'!B32="","",IF('Step 10 - Provost'!F32="","","Total"))</f>
        <v/>
      </c>
      <c r="P485" s="19" t="str">
        <f>IF('Step 10 - Provost'!B32="","",IF('Step 10 - Provost'!F32="","","&gt;="))</f>
        <v/>
      </c>
      <c r="Q485" s="20" t="str">
        <f>IF('Step 10 - Provost'!B32="","",IF('Step 10 - Provost'!F32="","",'Step 10 - Provost'!F32))</f>
        <v/>
      </c>
      <c r="R485" s="20" t="str">
        <f>""</f>
        <v/>
      </c>
      <c r="S485" s="20" t="str">
        <f>""</f>
        <v/>
      </c>
      <c r="T485" s="20" t="str">
        <f>""</f>
        <v/>
      </c>
      <c r="U485" s="20" t="str">
        <f>IF('Step 10 - Provost'!B32="","",'Step 10 - Provost'!I32)</f>
        <v/>
      </c>
      <c r="V485" s="19" t="str">
        <f>IF('Step 10 - Provost'!B32="","",'Step 10 - Provost'!K32)</f>
        <v/>
      </c>
      <c r="W485" s="20" t="str">
        <f>IF('Step 10 - Provost'!B32="","",'Step 10 - Provost'!L32)</f>
        <v/>
      </c>
      <c r="X485" s="19" t="str">
        <f>IF('Step 10 - Provost'!B32="","",'Step 10 - Provost'!N32)</f>
        <v/>
      </c>
      <c r="Y485" s="20" t="str">
        <f>""</f>
        <v/>
      </c>
      <c r="Z485" s="20" t="str">
        <f>""</f>
        <v/>
      </c>
      <c r="AA485" s="20" t="str">
        <f>""</f>
        <v/>
      </c>
      <c r="AB485" s="20" t="str">
        <f>""</f>
        <v/>
      </c>
      <c r="AC485" s="20" t="str">
        <f>""</f>
        <v/>
      </c>
      <c r="AD485" s="20" t="str">
        <f>""</f>
        <v/>
      </c>
      <c r="AE485" s="20" t="str">
        <f>""</f>
        <v/>
      </c>
      <c r="AF485" s="20" t="str">
        <f>""</f>
        <v/>
      </c>
      <c r="AG485" s="20" t="str">
        <f>""</f>
        <v/>
      </c>
      <c r="AH485" s="20" t="str">
        <f>""</f>
        <v/>
      </c>
      <c r="AI485" s="20" t="str">
        <f>""</f>
        <v/>
      </c>
      <c r="AJ485" s="20" t="str">
        <f>""</f>
        <v/>
      </c>
      <c r="AK485" s="20" t="str">
        <f>""</f>
        <v/>
      </c>
      <c r="AL485" s="20" t="str">
        <f>""</f>
        <v/>
      </c>
      <c r="AM485" s="20" t="str">
        <f>""</f>
        <v/>
      </c>
    </row>
    <row r="486" spans="1:39" ht="15.75" customHeight="1" x14ac:dyDescent="0.25">
      <c r="A486" s="17" t="str">
        <f>IF('Step 10 - Provost'!B33="","","Active")</f>
        <v/>
      </c>
      <c r="B486" s="18" t="str">
        <f>IF('Step 10 - Provost'!B33="","",'Step 10 - Provost'!B33)</f>
        <v/>
      </c>
      <c r="C486" s="18" t="str">
        <f>IF('Step 10 - Provost'!B33="","",'Step 10 - Provost'!B33)</f>
        <v/>
      </c>
      <c r="D486" s="17" t="str">
        <f>IF('Step 10 - Provost'!B33="","",'Step 10 - Provost'!G33)</f>
        <v/>
      </c>
      <c r="E486" s="17" t="str">
        <f>IF('Step 10 - Provost'!B33="","",'Step 10 - Provost'!H33)</f>
        <v/>
      </c>
      <c r="F486" s="18" t="str">
        <f>IF('Step 10 - Provost'!B33="","",IF('Step 10 - Provost'!C33="","","Fund Code"))</f>
        <v/>
      </c>
      <c r="G486" s="17" t="str">
        <f>IF('Step 10 - Provost'!B33="","",IF('Step 10 - Provost'!C33="","","Equals"))</f>
        <v/>
      </c>
      <c r="H486" s="18" t="str">
        <f>IF('Step 10 - Provost'!B33="","",IF('Step 10 - Provost'!C33="","",'Step 10 - Provost'!C33))</f>
        <v/>
      </c>
      <c r="I486" s="18" t="str">
        <f>IF('Step 10 - Provost'!B33="","","Organization Code")</f>
        <v/>
      </c>
      <c r="J486" s="17" t="str">
        <f>IF('Step 10 - Provost'!B33="","","Equals")</f>
        <v/>
      </c>
      <c r="K486" s="18" t="str">
        <f>IF('Step 10 - Provost'!B33="","",'Step 10 - Provost'!D33)</f>
        <v/>
      </c>
      <c r="L486" s="18" t="str">
        <f>IF('Step 10 - Provost'!B33="","","Other Criteria")</f>
        <v/>
      </c>
      <c r="M486" s="17" t="str">
        <f>IF('Step 10 - Provost'!B33="","","Equals")</f>
        <v/>
      </c>
      <c r="N486" s="18" t="str">
        <f>IF('Step 10 - Provost'!B33="","",'Step 10 - Provost'!E33)</f>
        <v/>
      </c>
      <c r="O486" s="18" t="str">
        <f>IF('Step 10 - Provost'!B33="","",IF('Step 10 - Provost'!F33="","","Total"))</f>
        <v/>
      </c>
      <c r="P486" s="17" t="str">
        <f>IF('Step 10 - Provost'!B33="","",IF('Step 10 - Provost'!F33="","","&gt;="))</f>
        <v/>
      </c>
      <c r="Q486" s="18" t="str">
        <f>IF('Step 10 - Provost'!B33="","",IF('Step 10 - Provost'!F33="","",'Step 10 - Provost'!F33))</f>
        <v/>
      </c>
      <c r="R486" s="18" t="str">
        <f>""</f>
        <v/>
      </c>
      <c r="S486" s="18" t="str">
        <f>""</f>
        <v/>
      </c>
      <c r="T486" s="18" t="str">
        <f>""</f>
        <v/>
      </c>
      <c r="U486" s="18" t="str">
        <f>IF('Step 10 - Provost'!B33="","",'Step 10 - Provost'!I33)</f>
        <v/>
      </c>
      <c r="V486" s="17" t="str">
        <f>IF('Step 10 - Provost'!B33="","",'Step 10 - Provost'!K33)</f>
        <v/>
      </c>
      <c r="W486" s="18" t="str">
        <f>IF('Step 10 - Provost'!B33="","",'Step 10 - Provost'!L33)</f>
        <v/>
      </c>
      <c r="X486" s="17" t="str">
        <f>IF('Step 10 - Provost'!B33="","",'Step 10 - Provost'!N33)</f>
        <v/>
      </c>
      <c r="Y486" s="18" t="str">
        <f>""</f>
        <v/>
      </c>
      <c r="Z486" s="18" t="str">
        <f>""</f>
        <v/>
      </c>
      <c r="AA486" s="18" t="str">
        <f>""</f>
        <v/>
      </c>
      <c r="AB486" s="18" t="str">
        <f>""</f>
        <v/>
      </c>
      <c r="AC486" s="18" t="str">
        <f>""</f>
        <v/>
      </c>
      <c r="AD486" s="18" t="str">
        <f>""</f>
        <v/>
      </c>
      <c r="AE486" s="18" t="str">
        <f>""</f>
        <v/>
      </c>
      <c r="AF486" s="18" t="str">
        <f>""</f>
        <v/>
      </c>
      <c r="AG486" s="18" t="str">
        <f>""</f>
        <v/>
      </c>
      <c r="AH486" s="18" t="str">
        <f>""</f>
        <v/>
      </c>
      <c r="AI486" s="18" t="str">
        <f>""</f>
        <v/>
      </c>
      <c r="AJ486" s="18" t="str">
        <f>""</f>
        <v/>
      </c>
      <c r="AK486" s="18" t="str">
        <f>""</f>
        <v/>
      </c>
      <c r="AL486" s="18" t="str">
        <f>""</f>
        <v/>
      </c>
      <c r="AM486" s="18" t="str">
        <f>""</f>
        <v/>
      </c>
    </row>
    <row r="487" spans="1:39" ht="15.75" customHeight="1" x14ac:dyDescent="0.25">
      <c r="A487" s="19" t="str">
        <f>IF('Step 10 - Provost'!B34="","","Active")</f>
        <v/>
      </c>
      <c r="B487" s="20" t="str">
        <f>IF('Step 10 - Provost'!B34="","",'Step 10 - Provost'!B34)</f>
        <v/>
      </c>
      <c r="C487" s="20" t="str">
        <f>IF('Step 10 - Provost'!B34="","",'Step 10 - Provost'!B34)</f>
        <v/>
      </c>
      <c r="D487" s="19" t="str">
        <f>IF('Step 10 - Provost'!B34="","",'Step 10 - Provost'!G34)</f>
        <v/>
      </c>
      <c r="E487" s="19" t="str">
        <f>IF('Step 10 - Provost'!B34="","",'Step 10 - Provost'!H34)</f>
        <v/>
      </c>
      <c r="F487" s="20" t="str">
        <f>IF('Step 10 - Provost'!B34="","",IF('Step 10 - Provost'!C34="","","Fund Code"))</f>
        <v/>
      </c>
      <c r="G487" s="19" t="str">
        <f>IF('Step 10 - Provost'!B34="","",IF('Step 10 - Provost'!C34="","","Equals"))</f>
        <v/>
      </c>
      <c r="H487" s="20" t="str">
        <f>IF('Step 10 - Provost'!B34="","",IF('Step 10 - Provost'!C34="","",'Step 10 - Provost'!C34))</f>
        <v/>
      </c>
      <c r="I487" s="20" t="str">
        <f>IF('Step 10 - Provost'!B34="","","Organization Code")</f>
        <v/>
      </c>
      <c r="J487" s="19" t="str">
        <f>IF('Step 10 - Provost'!B34="","","Equals")</f>
        <v/>
      </c>
      <c r="K487" s="20" t="str">
        <f>IF('Step 10 - Provost'!B34="","",'Step 10 - Provost'!D34)</f>
        <v/>
      </c>
      <c r="L487" s="20" t="str">
        <f>IF('Step 10 - Provost'!B34="","","Other Criteria")</f>
        <v/>
      </c>
      <c r="M487" s="19" t="str">
        <f>IF('Step 10 - Provost'!B34="","","Equals")</f>
        <v/>
      </c>
      <c r="N487" s="20" t="str">
        <f>IF('Step 10 - Provost'!B34="","",'Step 10 - Provost'!E34)</f>
        <v/>
      </c>
      <c r="O487" s="20" t="str">
        <f>IF('Step 10 - Provost'!B34="","",IF('Step 10 - Provost'!F34="","","Total"))</f>
        <v/>
      </c>
      <c r="P487" s="19" t="str">
        <f>IF('Step 10 - Provost'!B34="","",IF('Step 10 - Provost'!F34="","","&gt;="))</f>
        <v/>
      </c>
      <c r="Q487" s="20" t="str">
        <f>IF('Step 10 - Provost'!B34="","",IF('Step 10 - Provost'!F34="","",'Step 10 - Provost'!F34))</f>
        <v/>
      </c>
      <c r="R487" s="20" t="str">
        <f>""</f>
        <v/>
      </c>
      <c r="S487" s="20" t="str">
        <f>""</f>
        <v/>
      </c>
      <c r="T487" s="20" t="str">
        <f>""</f>
        <v/>
      </c>
      <c r="U487" s="20" t="str">
        <f>IF('Step 10 - Provost'!B34="","",'Step 10 - Provost'!I34)</f>
        <v/>
      </c>
      <c r="V487" s="19" t="str">
        <f>IF('Step 10 - Provost'!B34="","",'Step 10 - Provost'!K34)</f>
        <v/>
      </c>
      <c r="W487" s="20" t="str">
        <f>IF('Step 10 - Provost'!B34="","",'Step 10 - Provost'!L34)</f>
        <v/>
      </c>
      <c r="X487" s="19" t="str">
        <f>IF('Step 10 - Provost'!B34="","",'Step 10 - Provost'!N34)</f>
        <v/>
      </c>
      <c r="Y487" s="20" t="str">
        <f>""</f>
        <v/>
      </c>
      <c r="Z487" s="20" t="str">
        <f>""</f>
        <v/>
      </c>
      <c r="AA487" s="20" t="str">
        <f>""</f>
        <v/>
      </c>
      <c r="AB487" s="20" t="str">
        <f>""</f>
        <v/>
      </c>
      <c r="AC487" s="20" t="str">
        <f>""</f>
        <v/>
      </c>
      <c r="AD487" s="20" t="str">
        <f>""</f>
        <v/>
      </c>
      <c r="AE487" s="20" t="str">
        <f>""</f>
        <v/>
      </c>
      <c r="AF487" s="20" t="str">
        <f>""</f>
        <v/>
      </c>
      <c r="AG487" s="20" t="str">
        <f>""</f>
        <v/>
      </c>
      <c r="AH487" s="20" t="str">
        <f>""</f>
        <v/>
      </c>
      <c r="AI487" s="20" t="str">
        <f>""</f>
        <v/>
      </c>
      <c r="AJ487" s="20" t="str">
        <f>""</f>
        <v/>
      </c>
      <c r="AK487" s="20" t="str">
        <f>""</f>
        <v/>
      </c>
      <c r="AL487" s="20" t="str">
        <f>""</f>
        <v/>
      </c>
      <c r="AM487" s="20" t="str">
        <f>""</f>
        <v/>
      </c>
    </row>
    <row r="488" spans="1:39" ht="15.75" customHeight="1" x14ac:dyDescent="0.25">
      <c r="A488" s="17" t="str">
        <f>IF('Step 10 - Provost'!B35="","","Active")</f>
        <v/>
      </c>
      <c r="B488" s="18" t="str">
        <f>IF('Step 10 - Provost'!B35="","",'Step 10 - Provost'!B35)</f>
        <v/>
      </c>
      <c r="C488" s="18" t="str">
        <f>IF('Step 10 - Provost'!B35="","",'Step 10 - Provost'!B35)</f>
        <v/>
      </c>
      <c r="D488" s="17" t="str">
        <f>IF('Step 10 - Provost'!B35="","",'Step 10 - Provost'!G35)</f>
        <v/>
      </c>
      <c r="E488" s="17" t="str">
        <f>IF('Step 10 - Provost'!B35="","",'Step 10 - Provost'!H35)</f>
        <v/>
      </c>
      <c r="F488" s="18" t="str">
        <f>IF('Step 10 - Provost'!B35="","",IF('Step 10 - Provost'!C35="","","Fund Code"))</f>
        <v/>
      </c>
      <c r="G488" s="17" t="str">
        <f>IF('Step 10 - Provost'!B35="","",IF('Step 10 - Provost'!C35="","","Equals"))</f>
        <v/>
      </c>
      <c r="H488" s="18" t="str">
        <f>IF('Step 10 - Provost'!B35="","",IF('Step 10 - Provost'!C35="","",'Step 10 - Provost'!C35))</f>
        <v/>
      </c>
      <c r="I488" s="18" t="str">
        <f>IF('Step 10 - Provost'!B35="","","Organization Code")</f>
        <v/>
      </c>
      <c r="J488" s="17" t="str">
        <f>IF('Step 10 - Provost'!B35="","","Equals")</f>
        <v/>
      </c>
      <c r="K488" s="18" t="str">
        <f>IF('Step 10 - Provost'!B35="","",'Step 10 - Provost'!D35)</f>
        <v/>
      </c>
      <c r="L488" s="18" t="str">
        <f>IF('Step 10 - Provost'!B35="","","Other Criteria")</f>
        <v/>
      </c>
      <c r="M488" s="17" t="str">
        <f>IF('Step 10 - Provost'!B35="","","Equals")</f>
        <v/>
      </c>
      <c r="N488" s="18" t="str">
        <f>IF('Step 10 - Provost'!B35="","",'Step 10 - Provost'!E35)</f>
        <v/>
      </c>
      <c r="O488" s="18" t="str">
        <f>IF('Step 10 - Provost'!B35="","",IF('Step 10 - Provost'!F35="","","Total"))</f>
        <v/>
      </c>
      <c r="P488" s="17" t="str">
        <f>IF('Step 10 - Provost'!B35="","",IF('Step 10 - Provost'!F35="","","&gt;="))</f>
        <v/>
      </c>
      <c r="Q488" s="18" t="str">
        <f>IF('Step 10 - Provost'!B35="","",IF('Step 10 - Provost'!F35="","",'Step 10 - Provost'!F35))</f>
        <v/>
      </c>
      <c r="R488" s="18" t="str">
        <f>""</f>
        <v/>
      </c>
      <c r="S488" s="18" t="str">
        <f>""</f>
        <v/>
      </c>
      <c r="T488" s="18" t="str">
        <f>""</f>
        <v/>
      </c>
      <c r="U488" s="18" t="str">
        <f>IF('Step 10 - Provost'!B35="","",'Step 10 - Provost'!I35)</f>
        <v/>
      </c>
      <c r="V488" s="17" t="str">
        <f>IF('Step 10 - Provost'!B35="","",'Step 10 - Provost'!K35)</f>
        <v/>
      </c>
      <c r="W488" s="18" t="str">
        <f>IF('Step 10 - Provost'!B35="","",'Step 10 - Provost'!L35)</f>
        <v/>
      </c>
      <c r="X488" s="17" t="str">
        <f>IF('Step 10 - Provost'!B35="","",'Step 10 - Provost'!N35)</f>
        <v/>
      </c>
      <c r="Y488" s="18" t="str">
        <f>""</f>
        <v/>
      </c>
      <c r="Z488" s="18" t="str">
        <f>""</f>
        <v/>
      </c>
      <c r="AA488" s="18" t="str">
        <f>""</f>
        <v/>
      </c>
      <c r="AB488" s="18" t="str">
        <f>""</f>
        <v/>
      </c>
      <c r="AC488" s="18" t="str">
        <f>""</f>
        <v/>
      </c>
      <c r="AD488" s="18" t="str">
        <f>""</f>
        <v/>
      </c>
      <c r="AE488" s="18" t="str">
        <f>""</f>
        <v/>
      </c>
      <c r="AF488" s="18" t="str">
        <f>""</f>
        <v/>
      </c>
      <c r="AG488" s="18" t="str">
        <f>""</f>
        <v/>
      </c>
      <c r="AH488" s="18" t="str">
        <f>""</f>
        <v/>
      </c>
      <c r="AI488" s="18" t="str">
        <f>""</f>
        <v/>
      </c>
      <c r="AJ488" s="18" t="str">
        <f>""</f>
        <v/>
      </c>
      <c r="AK488" s="18" t="str">
        <f>""</f>
        <v/>
      </c>
      <c r="AL488" s="18" t="str">
        <f>""</f>
        <v/>
      </c>
      <c r="AM488" s="18" t="str">
        <f>""</f>
        <v/>
      </c>
    </row>
    <row r="489" spans="1:39" ht="15.75" customHeight="1" x14ac:dyDescent="0.25">
      <c r="A489" s="19" t="str">
        <f>IF('Step 10 - Provost'!B36="","","Active")</f>
        <v/>
      </c>
      <c r="B489" s="20" t="str">
        <f>IF('Step 10 - Provost'!B36="","",'Step 10 - Provost'!B36)</f>
        <v/>
      </c>
      <c r="C489" s="20" t="str">
        <f>IF('Step 10 - Provost'!B36="","",'Step 10 - Provost'!B36)</f>
        <v/>
      </c>
      <c r="D489" s="19" t="str">
        <f>IF('Step 10 - Provost'!B36="","",'Step 10 - Provost'!G36)</f>
        <v/>
      </c>
      <c r="E489" s="19" t="str">
        <f>IF('Step 10 - Provost'!B36="","",'Step 10 - Provost'!H36)</f>
        <v/>
      </c>
      <c r="F489" s="20" t="str">
        <f>IF('Step 10 - Provost'!B36="","",IF('Step 10 - Provost'!C36="","","Fund Code"))</f>
        <v/>
      </c>
      <c r="G489" s="19" t="str">
        <f>IF('Step 10 - Provost'!B36="","",IF('Step 10 - Provost'!C36="","","Equals"))</f>
        <v/>
      </c>
      <c r="H489" s="20" t="str">
        <f>IF('Step 10 - Provost'!B36="","",IF('Step 10 - Provost'!C36="","",'Step 10 - Provost'!C36))</f>
        <v/>
      </c>
      <c r="I489" s="20" t="str">
        <f>IF('Step 10 - Provost'!B36="","","Organization Code")</f>
        <v/>
      </c>
      <c r="J489" s="19" t="str">
        <f>IF('Step 10 - Provost'!B36="","","Equals")</f>
        <v/>
      </c>
      <c r="K489" s="20" t="str">
        <f>IF('Step 10 - Provost'!B36="","",'Step 10 - Provost'!D36)</f>
        <v/>
      </c>
      <c r="L489" s="20" t="str">
        <f>IF('Step 10 - Provost'!B36="","","Other Criteria")</f>
        <v/>
      </c>
      <c r="M489" s="19" t="str">
        <f>IF('Step 10 - Provost'!B36="","","Equals")</f>
        <v/>
      </c>
      <c r="N489" s="20" t="str">
        <f>IF('Step 10 - Provost'!B36="","",'Step 10 - Provost'!E36)</f>
        <v/>
      </c>
      <c r="O489" s="20" t="str">
        <f>IF('Step 10 - Provost'!B36="","",IF('Step 10 - Provost'!F36="","","Total"))</f>
        <v/>
      </c>
      <c r="P489" s="19" t="str">
        <f>IF('Step 10 - Provost'!B36="","",IF('Step 10 - Provost'!F36="","","&gt;="))</f>
        <v/>
      </c>
      <c r="Q489" s="20" t="str">
        <f>IF('Step 10 - Provost'!B36="","",IF('Step 10 - Provost'!F36="","",'Step 10 - Provost'!F36))</f>
        <v/>
      </c>
      <c r="R489" s="20" t="str">
        <f>""</f>
        <v/>
      </c>
      <c r="S489" s="20" t="str">
        <f>""</f>
        <v/>
      </c>
      <c r="T489" s="20" t="str">
        <f>""</f>
        <v/>
      </c>
      <c r="U489" s="20" t="str">
        <f>IF('Step 10 - Provost'!B36="","",'Step 10 - Provost'!I36)</f>
        <v/>
      </c>
      <c r="V489" s="19" t="str">
        <f>IF('Step 10 - Provost'!B36="","",'Step 10 - Provost'!K36)</f>
        <v/>
      </c>
      <c r="W489" s="20" t="str">
        <f>IF('Step 10 - Provost'!B36="","",'Step 10 - Provost'!L36)</f>
        <v/>
      </c>
      <c r="X489" s="19" t="str">
        <f>IF('Step 10 - Provost'!B36="","",'Step 10 - Provost'!N36)</f>
        <v/>
      </c>
      <c r="Y489" s="20" t="str">
        <f>""</f>
        <v/>
      </c>
      <c r="Z489" s="20" t="str">
        <f>""</f>
        <v/>
      </c>
      <c r="AA489" s="20" t="str">
        <f>""</f>
        <v/>
      </c>
      <c r="AB489" s="20" t="str">
        <f>""</f>
        <v/>
      </c>
      <c r="AC489" s="20" t="str">
        <f>""</f>
        <v/>
      </c>
      <c r="AD489" s="20" t="str">
        <f>""</f>
        <v/>
      </c>
      <c r="AE489" s="20" t="str">
        <f>""</f>
        <v/>
      </c>
      <c r="AF489" s="20" t="str">
        <f>""</f>
        <v/>
      </c>
      <c r="AG489" s="20" t="str">
        <f>""</f>
        <v/>
      </c>
      <c r="AH489" s="20" t="str">
        <f>""</f>
        <v/>
      </c>
      <c r="AI489" s="20" t="str">
        <f>""</f>
        <v/>
      </c>
      <c r="AJ489" s="20" t="str">
        <f>""</f>
        <v/>
      </c>
      <c r="AK489" s="20" t="str">
        <f>""</f>
        <v/>
      </c>
      <c r="AL489" s="20" t="str">
        <f>""</f>
        <v/>
      </c>
      <c r="AM489" s="20" t="str">
        <f>""</f>
        <v/>
      </c>
    </row>
    <row r="490" spans="1:39" ht="15.75" customHeight="1" x14ac:dyDescent="0.25">
      <c r="A490" s="17" t="str">
        <f>IF('Step 10 - Provost'!B37="","","Active")</f>
        <v/>
      </c>
      <c r="B490" s="18" t="str">
        <f>IF('Step 10 - Provost'!B37="","",'Step 10 - Provost'!B37)</f>
        <v/>
      </c>
      <c r="C490" s="18" t="str">
        <f>IF('Step 10 - Provost'!B37="","",'Step 10 - Provost'!B37)</f>
        <v/>
      </c>
      <c r="D490" s="17" t="str">
        <f>IF('Step 10 - Provost'!B37="","",'Step 10 - Provost'!G37)</f>
        <v/>
      </c>
      <c r="E490" s="17" t="str">
        <f>IF('Step 10 - Provost'!B37="","",'Step 10 - Provost'!H37)</f>
        <v/>
      </c>
      <c r="F490" s="18" t="str">
        <f>IF('Step 10 - Provost'!B37="","",IF('Step 10 - Provost'!C37="","","Fund Code"))</f>
        <v/>
      </c>
      <c r="G490" s="17" t="str">
        <f>IF('Step 10 - Provost'!B37="","",IF('Step 10 - Provost'!C37="","","Equals"))</f>
        <v/>
      </c>
      <c r="H490" s="18" t="str">
        <f>IF('Step 10 - Provost'!B37="","",IF('Step 10 - Provost'!C37="","",'Step 10 - Provost'!C37))</f>
        <v/>
      </c>
      <c r="I490" s="18" t="str">
        <f>IF('Step 10 - Provost'!B37="","","Organization Code")</f>
        <v/>
      </c>
      <c r="J490" s="17" t="str">
        <f>IF('Step 10 - Provost'!B37="","","Equals")</f>
        <v/>
      </c>
      <c r="K490" s="18" t="str">
        <f>IF('Step 10 - Provost'!B37="","",'Step 10 - Provost'!D37)</f>
        <v/>
      </c>
      <c r="L490" s="18" t="str">
        <f>IF('Step 10 - Provost'!B37="","","Other Criteria")</f>
        <v/>
      </c>
      <c r="M490" s="17" t="str">
        <f>IF('Step 10 - Provost'!B37="","","Equals")</f>
        <v/>
      </c>
      <c r="N490" s="18" t="str">
        <f>IF('Step 10 - Provost'!B37="","",'Step 10 - Provost'!E37)</f>
        <v/>
      </c>
      <c r="O490" s="18" t="str">
        <f>IF('Step 10 - Provost'!B37="","",IF('Step 10 - Provost'!F37="","","Total"))</f>
        <v/>
      </c>
      <c r="P490" s="17" t="str">
        <f>IF('Step 10 - Provost'!B37="","",IF('Step 10 - Provost'!F37="","","&gt;="))</f>
        <v/>
      </c>
      <c r="Q490" s="18" t="str">
        <f>IF('Step 10 - Provost'!B37="","",IF('Step 10 - Provost'!F37="","",'Step 10 - Provost'!F37))</f>
        <v/>
      </c>
      <c r="R490" s="18" t="str">
        <f>""</f>
        <v/>
      </c>
      <c r="S490" s="18" t="str">
        <f>""</f>
        <v/>
      </c>
      <c r="T490" s="18" t="str">
        <f>""</f>
        <v/>
      </c>
      <c r="U490" s="18" t="str">
        <f>IF('Step 10 - Provost'!B37="","",'Step 10 - Provost'!I37)</f>
        <v/>
      </c>
      <c r="V490" s="17" t="str">
        <f>IF('Step 10 - Provost'!B37="","",'Step 10 - Provost'!K37)</f>
        <v/>
      </c>
      <c r="W490" s="18" t="str">
        <f>IF('Step 10 - Provost'!B37="","",'Step 10 - Provost'!L37)</f>
        <v/>
      </c>
      <c r="X490" s="17" t="str">
        <f>IF('Step 10 - Provost'!B37="","",'Step 10 - Provost'!N37)</f>
        <v/>
      </c>
      <c r="Y490" s="18" t="str">
        <f>""</f>
        <v/>
      </c>
      <c r="Z490" s="18" t="str">
        <f>""</f>
        <v/>
      </c>
      <c r="AA490" s="18" t="str">
        <f>""</f>
        <v/>
      </c>
      <c r="AB490" s="18" t="str">
        <f>""</f>
        <v/>
      </c>
      <c r="AC490" s="18" t="str">
        <f>""</f>
        <v/>
      </c>
      <c r="AD490" s="18" t="str">
        <f>""</f>
        <v/>
      </c>
      <c r="AE490" s="18" t="str">
        <f>""</f>
        <v/>
      </c>
      <c r="AF490" s="18" t="str">
        <f>""</f>
        <v/>
      </c>
      <c r="AG490" s="18" t="str">
        <f>""</f>
        <v/>
      </c>
      <c r="AH490" s="18" t="str">
        <f>""</f>
        <v/>
      </c>
      <c r="AI490" s="18" t="str">
        <f>""</f>
        <v/>
      </c>
      <c r="AJ490" s="18" t="str">
        <f>""</f>
        <v/>
      </c>
      <c r="AK490" s="18" t="str">
        <f>""</f>
        <v/>
      </c>
      <c r="AL490" s="18" t="str">
        <f>""</f>
        <v/>
      </c>
      <c r="AM490" s="18" t="str">
        <f>""</f>
        <v/>
      </c>
    </row>
    <row r="491" spans="1:39" ht="15.75" customHeight="1" x14ac:dyDescent="0.25">
      <c r="A491" s="19" t="str">
        <f>IF('Step 10 - Provost'!B38="","","Active")</f>
        <v/>
      </c>
      <c r="B491" s="20" t="str">
        <f>IF('Step 10 - Provost'!B38="","",'Step 10 - Provost'!B38)</f>
        <v/>
      </c>
      <c r="C491" s="20" t="str">
        <f>IF('Step 10 - Provost'!B38="","",'Step 10 - Provost'!B38)</f>
        <v/>
      </c>
      <c r="D491" s="19" t="str">
        <f>IF('Step 10 - Provost'!B38="","",'Step 10 - Provost'!G38)</f>
        <v/>
      </c>
      <c r="E491" s="19" t="str">
        <f>IF('Step 10 - Provost'!B38="","",'Step 10 - Provost'!H38)</f>
        <v/>
      </c>
      <c r="F491" s="20" t="str">
        <f>IF('Step 10 - Provost'!B38="","",IF('Step 10 - Provost'!C38="","","Fund Code"))</f>
        <v/>
      </c>
      <c r="G491" s="19" t="str">
        <f>IF('Step 10 - Provost'!B38="","",IF('Step 10 - Provost'!C38="","","Equals"))</f>
        <v/>
      </c>
      <c r="H491" s="20" t="str">
        <f>IF('Step 10 - Provost'!B38="","",IF('Step 10 - Provost'!C38="","",'Step 10 - Provost'!C38))</f>
        <v/>
      </c>
      <c r="I491" s="20" t="str">
        <f>IF('Step 10 - Provost'!B38="","","Organization Code")</f>
        <v/>
      </c>
      <c r="J491" s="19" t="str">
        <f>IF('Step 10 - Provost'!B38="","","Equals")</f>
        <v/>
      </c>
      <c r="K491" s="20" t="str">
        <f>IF('Step 10 - Provost'!B38="","",'Step 10 - Provost'!D38)</f>
        <v/>
      </c>
      <c r="L491" s="20" t="str">
        <f>IF('Step 10 - Provost'!B38="","","Other Criteria")</f>
        <v/>
      </c>
      <c r="M491" s="19" t="str">
        <f>IF('Step 10 - Provost'!B38="","","Equals")</f>
        <v/>
      </c>
      <c r="N491" s="20" t="str">
        <f>IF('Step 10 - Provost'!B38="","",'Step 10 - Provost'!E38)</f>
        <v/>
      </c>
      <c r="O491" s="20" t="str">
        <f>IF('Step 10 - Provost'!B38="","",IF('Step 10 - Provost'!F38="","","Total"))</f>
        <v/>
      </c>
      <c r="P491" s="19" t="str">
        <f>IF('Step 10 - Provost'!B38="","",IF('Step 10 - Provost'!F38="","","&gt;="))</f>
        <v/>
      </c>
      <c r="Q491" s="20" t="str">
        <f>IF('Step 10 - Provost'!B38="","",IF('Step 10 - Provost'!F38="","",'Step 10 - Provost'!F38))</f>
        <v/>
      </c>
      <c r="R491" s="20" t="str">
        <f>""</f>
        <v/>
      </c>
      <c r="S491" s="20" t="str">
        <f>""</f>
        <v/>
      </c>
      <c r="T491" s="20" t="str">
        <f>""</f>
        <v/>
      </c>
      <c r="U491" s="20" t="str">
        <f>IF('Step 10 - Provost'!B38="","",'Step 10 - Provost'!I38)</f>
        <v/>
      </c>
      <c r="V491" s="19" t="str">
        <f>IF('Step 10 - Provost'!B38="","",'Step 10 - Provost'!K38)</f>
        <v/>
      </c>
      <c r="W491" s="20" t="str">
        <f>IF('Step 10 - Provost'!B38="","",'Step 10 - Provost'!L38)</f>
        <v/>
      </c>
      <c r="X491" s="19" t="str">
        <f>IF('Step 10 - Provost'!B38="","",'Step 10 - Provost'!N38)</f>
        <v/>
      </c>
      <c r="Y491" s="20" t="str">
        <f>""</f>
        <v/>
      </c>
      <c r="Z491" s="20" t="str">
        <f>""</f>
        <v/>
      </c>
      <c r="AA491" s="20" t="str">
        <f>""</f>
        <v/>
      </c>
      <c r="AB491" s="20" t="str">
        <f>""</f>
        <v/>
      </c>
      <c r="AC491" s="20" t="str">
        <f>""</f>
        <v/>
      </c>
      <c r="AD491" s="20" t="str">
        <f>""</f>
        <v/>
      </c>
      <c r="AE491" s="20" t="str">
        <f>""</f>
        <v/>
      </c>
      <c r="AF491" s="20" t="str">
        <f>""</f>
        <v/>
      </c>
      <c r="AG491" s="20" t="str">
        <f>""</f>
        <v/>
      </c>
      <c r="AH491" s="20" t="str">
        <f>""</f>
        <v/>
      </c>
      <c r="AI491" s="20" t="str">
        <f>""</f>
        <v/>
      </c>
      <c r="AJ491" s="20" t="str">
        <f>""</f>
        <v/>
      </c>
      <c r="AK491" s="20" t="str">
        <f>""</f>
        <v/>
      </c>
      <c r="AL491" s="20" t="str">
        <f>""</f>
        <v/>
      </c>
      <c r="AM491" s="20" t="str">
        <f>""</f>
        <v/>
      </c>
    </row>
    <row r="492" spans="1:39" ht="15.75" customHeight="1" x14ac:dyDescent="0.25">
      <c r="A492" s="17" t="str">
        <f>IF('Step 10 - Provost'!B39="","","Active")</f>
        <v/>
      </c>
      <c r="B492" s="18" t="str">
        <f>IF('Step 10 - Provost'!B39="","",'Step 10 - Provost'!B39)</f>
        <v/>
      </c>
      <c r="C492" s="18" t="str">
        <f>IF('Step 10 - Provost'!B39="","",'Step 10 - Provost'!B39)</f>
        <v/>
      </c>
      <c r="D492" s="17" t="str">
        <f>IF('Step 10 - Provost'!B39="","",'Step 10 - Provost'!G39)</f>
        <v/>
      </c>
      <c r="E492" s="17" t="str">
        <f>IF('Step 10 - Provost'!B39="","",'Step 10 - Provost'!H39)</f>
        <v/>
      </c>
      <c r="F492" s="18" t="str">
        <f>IF('Step 10 - Provost'!B39="","",IF('Step 10 - Provost'!C39="","","Fund Code"))</f>
        <v/>
      </c>
      <c r="G492" s="17" t="str">
        <f>IF('Step 10 - Provost'!B39="","",IF('Step 10 - Provost'!C39="","","Equals"))</f>
        <v/>
      </c>
      <c r="H492" s="18" t="str">
        <f>IF('Step 10 - Provost'!B39="","",IF('Step 10 - Provost'!C39="","",'Step 10 - Provost'!C39))</f>
        <v/>
      </c>
      <c r="I492" s="18" t="str">
        <f>IF('Step 10 - Provost'!B39="","","Organization Code")</f>
        <v/>
      </c>
      <c r="J492" s="17" t="str">
        <f>IF('Step 10 - Provost'!B39="","","Equals")</f>
        <v/>
      </c>
      <c r="K492" s="18" t="str">
        <f>IF('Step 10 - Provost'!B39="","",'Step 10 - Provost'!D39)</f>
        <v/>
      </c>
      <c r="L492" s="18" t="str">
        <f>IF('Step 10 - Provost'!B39="","","Other Criteria")</f>
        <v/>
      </c>
      <c r="M492" s="17" t="str">
        <f>IF('Step 10 - Provost'!B39="","","Equals")</f>
        <v/>
      </c>
      <c r="N492" s="18" t="str">
        <f>IF('Step 10 - Provost'!B39="","",'Step 10 - Provost'!E39)</f>
        <v/>
      </c>
      <c r="O492" s="18" t="str">
        <f>IF('Step 10 - Provost'!B39="","",IF('Step 10 - Provost'!F39="","","Total"))</f>
        <v/>
      </c>
      <c r="P492" s="17" t="str">
        <f>IF('Step 10 - Provost'!B39="","",IF('Step 10 - Provost'!F39="","","&gt;="))</f>
        <v/>
      </c>
      <c r="Q492" s="18" t="str">
        <f>IF('Step 10 - Provost'!B39="","",IF('Step 10 - Provost'!F39="","",'Step 10 - Provost'!F39))</f>
        <v/>
      </c>
      <c r="R492" s="18" t="str">
        <f>""</f>
        <v/>
      </c>
      <c r="S492" s="18" t="str">
        <f>""</f>
        <v/>
      </c>
      <c r="T492" s="18" t="str">
        <f>""</f>
        <v/>
      </c>
      <c r="U492" s="18" t="str">
        <f>IF('Step 10 - Provost'!B39="","",'Step 10 - Provost'!I39)</f>
        <v/>
      </c>
      <c r="V492" s="17" t="str">
        <f>IF('Step 10 - Provost'!B39="","",'Step 10 - Provost'!K39)</f>
        <v/>
      </c>
      <c r="W492" s="18" t="str">
        <f>IF('Step 10 - Provost'!B39="","",'Step 10 - Provost'!L39)</f>
        <v/>
      </c>
      <c r="X492" s="17" t="str">
        <f>IF('Step 10 - Provost'!B39="","",'Step 10 - Provost'!N39)</f>
        <v/>
      </c>
      <c r="Y492" s="18" t="str">
        <f>""</f>
        <v/>
      </c>
      <c r="Z492" s="18" t="str">
        <f>""</f>
        <v/>
      </c>
      <c r="AA492" s="18" t="str">
        <f>""</f>
        <v/>
      </c>
      <c r="AB492" s="18" t="str">
        <f>""</f>
        <v/>
      </c>
      <c r="AC492" s="18" t="str">
        <f>""</f>
        <v/>
      </c>
      <c r="AD492" s="18" t="str">
        <f>""</f>
        <v/>
      </c>
      <c r="AE492" s="18" t="str">
        <f>""</f>
        <v/>
      </c>
      <c r="AF492" s="18" t="str">
        <f>""</f>
        <v/>
      </c>
      <c r="AG492" s="18" t="str">
        <f>""</f>
        <v/>
      </c>
      <c r="AH492" s="18" t="str">
        <f>""</f>
        <v/>
      </c>
      <c r="AI492" s="18" t="str">
        <f>""</f>
        <v/>
      </c>
      <c r="AJ492" s="18" t="str">
        <f>""</f>
        <v/>
      </c>
      <c r="AK492" s="18" t="str">
        <f>""</f>
        <v/>
      </c>
      <c r="AL492" s="18" t="str">
        <f>""</f>
        <v/>
      </c>
      <c r="AM492" s="18" t="str">
        <f>""</f>
        <v/>
      </c>
    </row>
    <row r="493" spans="1:39" ht="15.75" customHeight="1" x14ac:dyDescent="0.25">
      <c r="A493" s="19" t="str">
        <f>IF('Step 10 - Provost'!B40="","","Active")</f>
        <v/>
      </c>
      <c r="B493" s="20" t="str">
        <f>IF('Step 10 - Provost'!B40="","",'Step 10 - Provost'!B40)</f>
        <v/>
      </c>
      <c r="C493" s="20" t="str">
        <f>IF('Step 10 - Provost'!B40="","",'Step 10 - Provost'!B40)</f>
        <v/>
      </c>
      <c r="D493" s="19" t="str">
        <f>IF('Step 10 - Provost'!B40="","",'Step 10 - Provost'!G40)</f>
        <v/>
      </c>
      <c r="E493" s="19" t="str">
        <f>IF('Step 10 - Provost'!B40="","",'Step 10 - Provost'!H40)</f>
        <v/>
      </c>
      <c r="F493" s="20" t="str">
        <f>IF('Step 10 - Provost'!B40="","",IF('Step 10 - Provost'!C40="","","Fund Code"))</f>
        <v/>
      </c>
      <c r="G493" s="19" t="str">
        <f>IF('Step 10 - Provost'!B40="","",IF('Step 10 - Provost'!C40="","","Equals"))</f>
        <v/>
      </c>
      <c r="H493" s="20" t="str">
        <f>IF('Step 10 - Provost'!B40="","",IF('Step 10 - Provost'!C40="","",'Step 10 - Provost'!C40))</f>
        <v/>
      </c>
      <c r="I493" s="20" t="str">
        <f>IF('Step 10 - Provost'!B40="","","Organization Code")</f>
        <v/>
      </c>
      <c r="J493" s="19" t="str">
        <f>IF('Step 10 - Provost'!B40="","","Equals")</f>
        <v/>
      </c>
      <c r="K493" s="20" t="str">
        <f>IF('Step 10 - Provost'!B40="","",'Step 10 - Provost'!D40)</f>
        <v/>
      </c>
      <c r="L493" s="20" t="str">
        <f>IF('Step 10 - Provost'!B40="","","Other Criteria")</f>
        <v/>
      </c>
      <c r="M493" s="19" t="str">
        <f>IF('Step 10 - Provost'!B40="","","Equals")</f>
        <v/>
      </c>
      <c r="N493" s="20" t="str">
        <f>IF('Step 10 - Provost'!B40="","",'Step 10 - Provost'!E40)</f>
        <v/>
      </c>
      <c r="O493" s="20" t="str">
        <f>IF('Step 10 - Provost'!B40="","",IF('Step 10 - Provost'!F40="","","Total"))</f>
        <v/>
      </c>
      <c r="P493" s="19" t="str">
        <f>IF('Step 10 - Provost'!B40="","",IF('Step 10 - Provost'!F40="","","&gt;="))</f>
        <v/>
      </c>
      <c r="Q493" s="20" t="str">
        <f>IF('Step 10 - Provost'!B40="","",IF('Step 10 - Provost'!F40="","",'Step 10 - Provost'!F40))</f>
        <v/>
      </c>
      <c r="R493" s="20" t="str">
        <f>""</f>
        <v/>
      </c>
      <c r="S493" s="20" t="str">
        <f>""</f>
        <v/>
      </c>
      <c r="T493" s="20" t="str">
        <f>""</f>
        <v/>
      </c>
      <c r="U493" s="20" t="str">
        <f>IF('Step 10 - Provost'!B40="","",'Step 10 - Provost'!I40)</f>
        <v/>
      </c>
      <c r="V493" s="19" t="str">
        <f>IF('Step 10 - Provost'!B40="","",'Step 10 - Provost'!K40)</f>
        <v/>
      </c>
      <c r="W493" s="20" t="str">
        <f>IF('Step 10 - Provost'!B40="","",'Step 10 - Provost'!L40)</f>
        <v/>
      </c>
      <c r="X493" s="19" t="str">
        <f>IF('Step 10 - Provost'!B40="","",'Step 10 - Provost'!N40)</f>
        <v/>
      </c>
      <c r="Y493" s="20" t="str">
        <f>""</f>
        <v/>
      </c>
      <c r="Z493" s="20" t="str">
        <f>""</f>
        <v/>
      </c>
      <c r="AA493" s="20" t="str">
        <f>""</f>
        <v/>
      </c>
      <c r="AB493" s="20" t="str">
        <f>""</f>
        <v/>
      </c>
      <c r="AC493" s="20" t="str">
        <f>""</f>
        <v/>
      </c>
      <c r="AD493" s="20" t="str">
        <f>""</f>
        <v/>
      </c>
      <c r="AE493" s="20" t="str">
        <f>""</f>
        <v/>
      </c>
      <c r="AF493" s="20" t="str">
        <f>""</f>
        <v/>
      </c>
      <c r="AG493" s="20" t="str">
        <f>""</f>
        <v/>
      </c>
      <c r="AH493" s="20" t="str">
        <f>""</f>
        <v/>
      </c>
      <c r="AI493" s="20" t="str">
        <f>""</f>
        <v/>
      </c>
      <c r="AJ493" s="20" t="str">
        <f>""</f>
        <v/>
      </c>
      <c r="AK493" s="20" t="str">
        <f>""</f>
        <v/>
      </c>
      <c r="AL493" s="20" t="str">
        <f>""</f>
        <v/>
      </c>
      <c r="AM493" s="20" t="str">
        <f>""</f>
        <v/>
      </c>
    </row>
    <row r="494" spans="1:39" ht="15.75" customHeight="1" x14ac:dyDescent="0.25">
      <c r="A494" s="17" t="str">
        <f>IF('Step 10 - Provost'!B41="","","Active")</f>
        <v/>
      </c>
      <c r="B494" s="18" t="str">
        <f>IF('Step 10 - Provost'!B41="","",'Step 10 - Provost'!B41)</f>
        <v/>
      </c>
      <c r="C494" s="18" t="str">
        <f>IF('Step 10 - Provost'!B41="","",'Step 10 - Provost'!B41)</f>
        <v/>
      </c>
      <c r="D494" s="17" t="str">
        <f>IF('Step 10 - Provost'!B41="","",'Step 10 - Provost'!G41)</f>
        <v/>
      </c>
      <c r="E494" s="17" t="str">
        <f>IF('Step 10 - Provost'!B41="","",'Step 10 - Provost'!H41)</f>
        <v/>
      </c>
      <c r="F494" s="18" t="str">
        <f>IF('Step 10 - Provost'!B41="","",IF('Step 10 - Provost'!C41="","","Fund Code"))</f>
        <v/>
      </c>
      <c r="G494" s="17" t="str">
        <f>IF('Step 10 - Provost'!B41="","",IF('Step 10 - Provost'!C41="","","Equals"))</f>
        <v/>
      </c>
      <c r="H494" s="18" t="str">
        <f>IF('Step 10 - Provost'!B41="","",IF('Step 10 - Provost'!C41="","",'Step 10 - Provost'!C41))</f>
        <v/>
      </c>
      <c r="I494" s="18" t="str">
        <f>IF('Step 10 - Provost'!B41="","","Organization Code")</f>
        <v/>
      </c>
      <c r="J494" s="17" t="str">
        <f>IF('Step 10 - Provost'!B41="","","Equals")</f>
        <v/>
      </c>
      <c r="K494" s="18" t="str">
        <f>IF('Step 10 - Provost'!B41="","",'Step 10 - Provost'!D41)</f>
        <v/>
      </c>
      <c r="L494" s="18" t="str">
        <f>IF('Step 10 - Provost'!B41="","","Other Criteria")</f>
        <v/>
      </c>
      <c r="M494" s="17" t="str">
        <f>IF('Step 10 - Provost'!B41="","","Equals")</f>
        <v/>
      </c>
      <c r="N494" s="18" t="str">
        <f>IF('Step 10 - Provost'!B41="","",'Step 10 - Provost'!E41)</f>
        <v/>
      </c>
      <c r="O494" s="18" t="str">
        <f>IF('Step 10 - Provost'!B41="","",IF('Step 10 - Provost'!F41="","","Total"))</f>
        <v/>
      </c>
      <c r="P494" s="17" t="str">
        <f>IF('Step 10 - Provost'!B41="","",IF('Step 10 - Provost'!F41="","","&gt;="))</f>
        <v/>
      </c>
      <c r="Q494" s="18" t="str">
        <f>IF('Step 10 - Provost'!B41="","",IF('Step 10 - Provost'!F41="","",'Step 10 - Provost'!F41))</f>
        <v/>
      </c>
      <c r="R494" s="18" t="str">
        <f>""</f>
        <v/>
      </c>
      <c r="S494" s="18" t="str">
        <f>""</f>
        <v/>
      </c>
      <c r="T494" s="18" t="str">
        <f>""</f>
        <v/>
      </c>
      <c r="U494" s="18" t="str">
        <f>IF('Step 10 - Provost'!B41="","",'Step 10 - Provost'!I41)</f>
        <v/>
      </c>
      <c r="V494" s="17" t="str">
        <f>IF('Step 10 - Provost'!B41="","",'Step 10 - Provost'!K41)</f>
        <v/>
      </c>
      <c r="W494" s="18" t="str">
        <f>IF('Step 10 - Provost'!B41="","",'Step 10 - Provost'!L41)</f>
        <v/>
      </c>
      <c r="X494" s="17" t="str">
        <f>IF('Step 10 - Provost'!B41="","",'Step 10 - Provost'!N41)</f>
        <v/>
      </c>
      <c r="Y494" s="18" t="str">
        <f>""</f>
        <v/>
      </c>
      <c r="Z494" s="18" t="str">
        <f>""</f>
        <v/>
      </c>
      <c r="AA494" s="18" t="str">
        <f>""</f>
        <v/>
      </c>
      <c r="AB494" s="18" t="str">
        <f>""</f>
        <v/>
      </c>
      <c r="AC494" s="18" t="str">
        <f>""</f>
        <v/>
      </c>
      <c r="AD494" s="18" t="str">
        <f>""</f>
        <v/>
      </c>
      <c r="AE494" s="18" t="str">
        <f>""</f>
        <v/>
      </c>
      <c r="AF494" s="18" t="str">
        <f>""</f>
        <v/>
      </c>
      <c r="AG494" s="18" t="str">
        <f>""</f>
        <v/>
      </c>
      <c r="AH494" s="18" t="str">
        <f>""</f>
        <v/>
      </c>
      <c r="AI494" s="18" t="str">
        <f>""</f>
        <v/>
      </c>
      <c r="AJ494" s="18" t="str">
        <f>""</f>
        <v/>
      </c>
      <c r="AK494" s="18" t="str">
        <f>""</f>
        <v/>
      </c>
      <c r="AL494" s="18" t="str">
        <f>""</f>
        <v/>
      </c>
      <c r="AM494" s="18" t="str">
        <f>""</f>
        <v/>
      </c>
    </row>
    <row r="495" spans="1:39" ht="15.75" customHeight="1" x14ac:dyDescent="0.25">
      <c r="A495" s="19" t="str">
        <f>IF('Step 10 - Provost'!B42="","","Active")</f>
        <v/>
      </c>
      <c r="B495" s="20" t="str">
        <f>IF('Step 10 - Provost'!B42="","",'Step 10 - Provost'!B42)</f>
        <v/>
      </c>
      <c r="C495" s="20" t="str">
        <f>IF('Step 10 - Provost'!B42="","",'Step 10 - Provost'!B42)</f>
        <v/>
      </c>
      <c r="D495" s="19" t="str">
        <f>IF('Step 10 - Provost'!B42="","",'Step 10 - Provost'!G42)</f>
        <v/>
      </c>
      <c r="E495" s="19" t="str">
        <f>IF('Step 10 - Provost'!B42="","",'Step 10 - Provost'!H42)</f>
        <v/>
      </c>
      <c r="F495" s="20" t="str">
        <f>IF('Step 10 - Provost'!B42="","",IF('Step 10 - Provost'!C42="","","Fund Code"))</f>
        <v/>
      </c>
      <c r="G495" s="19" t="str">
        <f>IF('Step 10 - Provost'!B42="","",IF('Step 10 - Provost'!C42="","","Equals"))</f>
        <v/>
      </c>
      <c r="H495" s="20" t="str">
        <f>IF('Step 10 - Provost'!B42="","",IF('Step 10 - Provost'!C42="","",'Step 10 - Provost'!C42))</f>
        <v/>
      </c>
      <c r="I495" s="20" t="str">
        <f>IF('Step 10 - Provost'!B42="","","Organization Code")</f>
        <v/>
      </c>
      <c r="J495" s="19" t="str">
        <f>IF('Step 10 - Provost'!B42="","","Equals")</f>
        <v/>
      </c>
      <c r="K495" s="20" t="str">
        <f>IF('Step 10 - Provost'!B42="","",'Step 10 - Provost'!D42)</f>
        <v/>
      </c>
      <c r="L495" s="20" t="str">
        <f>IF('Step 10 - Provost'!B42="","","Other Criteria")</f>
        <v/>
      </c>
      <c r="M495" s="19" t="str">
        <f>IF('Step 10 - Provost'!B42="","","Equals")</f>
        <v/>
      </c>
      <c r="N495" s="20" t="str">
        <f>IF('Step 10 - Provost'!B42="","",'Step 10 - Provost'!E42)</f>
        <v/>
      </c>
      <c r="O495" s="20" t="str">
        <f>IF('Step 10 - Provost'!B42="","",IF('Step 10 - Provost'!F42="","","Total"))</f>
        <v/>
      </c>
      <c r="P495" s="19" t="str">
        <f>IF('Step 10 - Provost'!B42="","",IF('Step 10 - Provost'!F42="","","&gt;="))</f>
        <v/>
      </c>
      <c r="Q495" s="20" t="str">
        <f>IF('Step 10 - Provost'!B42="","",IF('Step 10 - Provost'!F42="","",'Step 10 - Provost'!F42))</f>
        <v/>
      </c>
      <c r="R495" s="20" t="str">
        <f>""</f>
        <v/>
      </c>
      <c r="S495" s="20" t="str">
        <f>""</f>
        <v/>
      </c>
      <c r="T495" s="20" t="str">
        <f>""</f>
        <v/>
      </c>
      <c r="U495" s="20" t="str">
        <f>IF('Step 10 - Provost'!B42="","",'Step 10 - Provost'!I42)</f>
        <v/>
      </c>
      <c r="V495" s="19" t="str">
        <f>IF('Step 10 - Provost'!B42="","",'Step 10 - Provost'!K42)</f>
        <v/>
      </c>
      <c r="W495" s="20" t="str">
        <f>IF('Step 10 - Provost'!B42="","",'Step 10 - Provost'!L42)</f>
        <v/>
      </c>
      <c r="X495" s="19" t="str">
        <f>IF('Step 10 - Provost'!B42="","",'Step 10 - Provost'!N42)</f>
        <v/>
      </c>
      <c r="Y495" s="20" t="str">
        <f>""</f>
        <v/>
      </c>
      <c r="Z495" s="20" t="str">
        <f>""</f>
        <v/>
      </c>
      <c r="AA495" s="20" t="str">
        <f>""</f>
        <v/>
      </c>
      <c r="AB495" s="20" t="str">
        <f>""</f>
        <v/>
      </c>
      <c r="AC495" s="20" t="str">
        <f>""</f>
        <v/>
      </c>
      <c r="AD495" s="20" t="str">
        <f>""</f>
        <v/>
      </c>
      <c r="AE495" s="20" t="str">
        <f>""</f>
        <v/>
      </c>
      <c r="AF495" s="20" t="str">
        <f>""</f>
        <v/>
      </c>
      <c r="AG495" s="20" t="str">
        <f>""</f>
        <v/>
      </c>
      <c r="AH495" s="20" t="str">
        <f>""</f>
        <v/>
      </c>
      <c r="AI495" s="20" t="str">
        <f>""</f>
        <v/>
      </c>
      <c r="AJ495" s="20" t="str">
        <f>""</f>
        <v/>
      </c>
      <c r="AK495" s="20" t="str">
        <f>""</f>
        <v/>
      </c>
      <c r="AL495" s="20" t="str">
        <f>""</f>
        <v/>
      </c>
      <c r="AM495" s="20" t="str">
        <f>""</f>
        <v/>
      </c>
    </row>
    <row r="496" spans="1:39" ht="15.75" customHeight="1" x14ac:dyDescent="0.25">
      <c r="A496" s="17" t="str">
        <f>IF('Step 10 - Provost'!B43="","","Active")</f>
        <v/>
      </c>
      <c r="B496" s="18" t="str">
        <f>IF('Step 10 - Provost'!B43="","",'Step 10 - Provost'!B43)</f>
        <v/>
      </c>
      <c r="C496" s="18" t="str">
        <f>IF('Step 10 - Provost'!B43="","",'Step 10 - Provost'!B43)</f>
        <v/>
      </c>
      <c r="D496" s="17" t="str">
        <f>IF('Step 10 - Provost'!B43="","",'Step 10 - Provost'!G43)</f>
        <v/>
      </c>
      <c r="E496" s="17" t="str">
        <f>IF('Step 10 - Provost'!B43="","",'Step 10 - Provost'!H43)</f>
        <v/>
      </c>
      <c r="F496" s="18" t="str">
        <f>IF('Step 10 - Provost'!B43="","",IF('Step 10 - Provost'!C43="","","Fund Code"))</f>
        <v/>
      </c>
      <c r="G496" s="17" t="str">
        <f>IF('Step 10 - Provost'!B43="","",IF('Step 10 - Provost'!C43="","","Equals"))</f>
        <v/>
      </c>
      <c r="H496" s="18" t="str">
        <f>IF('Step 10 - Provost'!B43="","",IF('Step 10 - Provost'!C43="","",'Step 10 - Provost'!C43))</f>
        <v/>
      </c>
      <c r="I496" s="18" t="str">
        <f>IF('Step 10 - Provost'!B43="","","Organization Code")</f>
        <v/>
      </c>
      <c r="J496" s="17" t="str">
        <f>IF('Step 10 - Provost'!B43="","","Equals")</f>
        <v/>
      </c>
      <c r="K496" s="18" t="str">
        <f>IF('Step 10 - Provost'!B43="","",'Step 10 - Provost'!D43)</f>
        <v/>
      </c>
      <c r="L496" s="18" t="str">
        <f>IF('Step 10 - Provost'!B43="","","Other Criteria")</f>
        <v/>
      </c>
      <c r="M496" s="17" t="str">
        <f>IF('Step 10 - Provost'!B43="","","Equals")</f>
        <v/>
      </c>
      <c r="N496" s="18" t="str">
        <f>IF('Step 10 - Provost'!B43="","",'Step 10 - Provost'!E43)</f>
        <v/>
      </c>
      <c r="O496" s="18" t="str">
        <f>IF('Step 10 - Provost'!B43="","",IF('Step 10 - Provost'!F43="","","Total"))</f>
        <v/>
      </c>
      <c r="P496" s="17" t="str">
        <f>IF('Step 10 - Provost'!B43="","",IF('Step 10 - Provost'!F43="","","&gt;="))</f>
        <v/>
      </c>
      <c r="Q496" s="18" t="str">
        <f>IF('Step 10 - Provost'!B43="","",IF('Step 10 - Provost'!F43="","",'Step 10 - Provost'!F43))</f>
        <v/>
      </c>
      <c r="R496" s="18" t="str">
        <f>""</f>
        <v/>
      </c>
      <c r="S496" s="18" t="str">
        <f>""</f>
        <v/>
      </c>
      <c r="T496" s="18" t="str">
        <f>""</f>
        <v/>
      </c>
      <c r="U496" s="18" t="str">
        <f>IF('Step 10 - Provost'!B43="","",'Step 10 - Provost'!I43)</f>
        <v/>
      </c>
      <c r="V496" s="17" t="str">
        <f>IF('Step 10 - Provost'!B43="","",'Step 10 - Provost'!K43)</f>
        <v/>
      </c>
      <c r="W496" s="18" t="str">
        <f>IF('Step 10 - Provost'!B43="","",'Step 10 - Provost'!L43)</f>
        <v/>
      </c>
      <c r="X496" s="17" t="str">
        <f>IF('Step 10 - Provost'!B43="","",'Step 10 - Provost'!N43)</f>
        <v/>
      </c>
      <c r="Y496" s="18" t="str">
        <f>""</f>
        <v/>
      </c>
      <c r="Z496" s="18" t="str">
        <f>""</f>
        <v/>
      </c>
      <c r="AA496" s="18" t="str">
        <f>""</f>
        <v/>
      </c>
      <c r="AB496" s="18" t="str">
        <f>""</f>
        <v/>
      </c>
      <c r="AC496" s="18" t="str">
        <f>""</f>
        <v/>
      </c>
      <c r="AD496" s="18" t="str">
        <f>""</f>
        <v/>
      </c>
      <c r="AE496" s="18" t="str">
        <f>""</f>
        <v/>
      </c>
      <c r="AF496" s="18" t="str">
        <f>""</f>
        <v/>
      </c>
      <c r="AG496" s="18" t="str">
        <f>""</f>
        <v/>
      </c>
      <c r="AH496" s="18" t="str">
        <f>""</f>
        <v/>
      </c>
      <c r="AI496" s="18" t="str">
        <f>""</f>
        <v/>
      </c>
      <c r="AJ496" s="18" t="str">
        <f>""</f>
        <v/>
      </c>
      <c r="AK496" s="18" t="str">
        <f>""</f>
        <v/>
      </c>
      <c r="AL496" s="18" t="str">
        <f>""</f>
        <v/>
      </c>
      <c r="AM496" s="18" t="str">
        <f>""</f>
        <v/>
      </c>
    </row>
    <row r="497" spans="1:39" ht="15.75" customHeight="1" x14ac:dyDescent="0.25">
      <c r="A497" s="19" t="str">
        <f>IF('Step 10 - Provost'!B44="","","Active")</f>
        <v/>
      </c>
      <c r="B497" s="20" t="str">
        <f>IF('Step 10 - Provost'!B44="","",'Step 10 - Provost'!B44)</f>
        <v/>
      </c>
      <c r="C497" s="20" t="str">
        <f>IF('Step 10 - Provost'!B44="","",'Step 10 - Provost'!B44)</f>
        <v/>
      </c>
      <c r="D497" s="19" t="str">
        <f>IF('Step 10 - Provost'!B44="","",'Step 10 - Provost'!G44)</f>
        <v/>
      </c>
      <c r="E497" s="19" t="str">
        <f>IF('Step 10 - Provost'!B44="","",'Step 10 - Provost'!H44)</f>
        <v/>
      </c>
      <c r="F497" s="20" t="str">
        <f>IF('Step 10 - Provost'!B44="","",IF('Step 10 - Provost'!C44="","","Fund Code"))</f>
        <v/>
      </c>
      <c r="G497" s="19" t="str">
        <f>IF('Step 10 - Provost'!B44="","",IF('Step 10 - Provost'!C44="","","Equals"))</f>
        <v/>
      </c>
      <c r="H497" s="20" t="str">
        <f>IF('Step 10 - Provost'!B44="","",IF('Step 10 - Provost'!C44="","",'Step 10 - Provost'!C44))</f>
        <v/>
      </c>
      <c r="I497" s="20" t="str">
        <f>IF('Step 10 - Provost'!B44="","","Organization Code")</f>
        <v/>
      </c>
      <c r="J497" s="19" t="str">
        <f>IF('Step 10 - Provost'!B44="","","Equals")</f>
        <v/>
      </c>
      <c r="K497" s="20" t="str">
        <f>IF('Step 10 - Provost'!B44="","",'Step 10 - Provost'!D44)</f>
        <v/>
      </c>
      <c r="L497" s="20" t="str">
        <f>IF('Step 10 - Provost'!B44="","","Other Criteria")</f>
        <v/>
      </c>
      <c r="M497" s="19" t="str">
        <f>IF('Step 10 - Provost'!B44="","","Equals")</f>
        <v/>
      </c>
      <c r="N497" s="20" t="str">
        <f>IF('Step 10 - Provost'!B44="","",'Step 10 - Provost'!E44)</f>
        <v/>
      </c>
      <c r="O497" s="20" t="str">
        <f>IF('Step 10 - Provost'!B44="","",IF('Step 10 - Provost'!F44="","","Total"))</f>
        <v/>
      </c>
      <c r="P497" s="19" t="str">
        <f>IF('Step 10 - Provost'!B44="","",IF('Step 10 - Provost'!F44="","","&gt;="))</f>
        <v/>
      </c>
      <c r="Q497" s="20" t="str">
        <f>IF('Step 10 - Provost'!B44="","",IF('Step 10 - Provost'!F44="","",'Step 10 - Provost'!F44))</f>
        <v/>
      </c>
      <c r="R497" s="20" t="str">
        <f>""</f>
        <v/>
      </c>
      <c r="S497" s="20" t="str">
        <f>""</f>
        <v/>
      </c>
      <c r="T497" s="20" t="str">
        <f>""</f>
        <v/>
      </c>
      <c r="U497" s="20" t="str">
        <f>IF('Step 10 - Provost'!B44="","",'Step 10 - Provost'!I44)</f>
        <v/>
      </c>
      <c r="V497" s="19" t="str">
        <f>IF('Step 10 - Provost'!B44="","",'Step 10 - Provost'!K44)</f>
        <v/>
      </c>
      <c r="W497" s="20" t="str">
        <f>IF('Step 10 - Provost'!B44="","",'Step 10 - Provost'!L44)</f>
        <v/>
      </c>
      <c r="X497" s="19" t="str">
        <f>IF('Step 10 - Provost'!B44="","",'Step 10 - Provost'!N44)</f>
        <v/>
      </c>
      <c r="Y497" s="20" t="str">
        <f>""</f>
        <v/>
      </c>
      <c r="Z497" s="20" t="str">
        <f>""</f>
        <v/>
      </c>
      <c r="AA497" s="20" t="str">
        <f>""</f>
        <v/>
      </c>
      <c r="AB497" s="20" t="str">
        <f>""</f>
        <v/>
      </c>
      <c r="AC497" s="20" t="str">
        <f>""</f>
        <v/>
      </c>
      <c r="AD497" s="20" t="str">
        <f>""</f>
        <v/>
      </c>
      <c r="AE497" s="20" t="str">
        <f>""</f>
        <v/>
      </c>
      <c r="AF497" s="20" t="str">
        <f>""</f>
        <v/>
      </c>
      <c r="AG497" s="20" t="str">
        <f>""</f>
        <v/>
      </c>
      <c r="AH497" s="20" t="str">
        <f>""</f>
        <v/>
      </c>
      <c r="AI497" s="20" t="str">
        <f>""</f>
        <v/>
      </c>
      <c r="AJ497" s="20" t="str">
        <f>""</f>
        <v/>
      </c>
      <c r="AK497" s="20" t="str">
        <f>""</f>
        <v/>
      </c>
      <c r="AL497" s="20" t="str">
        <f>""</f>
        <v/>
      </c>
      <c r="AM497" s="20" t="str">
        <f>""</f>
        <v/>
      </c>
    </row>
    <row r="498" spans="1:39" ht="15.75" customHeight="1" x14ac:dyDescent="0.25">
      <c r="A498" s="17" t="str">
        <f>IF('Step 10 - Provost'!B45="","","Active")</f>
        <v/>
      </c>
      <c r="B498" s="18" t="str">
        <f>IF('Step 10 - Provost'!B45="","",'Step 10 - Provost'!B45)</f>
        <v/>
      </c>
      <c r="C498" s="18" t="str">
        <f>IF('Step 10 - Provost'!B45="","",'Step 10 - Provost'!B45)</f>
        <v/>
      </c>
      <c r="D498" s="17" t="str">
        <f>IF('Step 10 - Provost'!B45="","",'Step 10 - Provost'!G45)</f>
        <v/>
      </c>
      <c r="E498" s="17" t="str">
        <f>IF('Step 10 - Provost'!B45="","",'Step 10 - Provost'!H45)</f>
        <v/>
      </c>
      <c r="F498" s="18" t="str">
        <f>IF('Step 10 - Provost'!B45="","",IF('Step 10 - Provost'!C45="","","Fund Code"))</f>
        <v/>
      </c>
      <c r="G498" s="17" t="str">
        <f>IF('Step 10 - Provost'!B45="","",IF('Step 10 - Provost'!C45="","","Equals"))</f>
        <v/>
      </c>
      <c r="H498" s="18" t="str">
        <f>IF('Step 10 - Provost'!B45="","",IF('Step 10 - Provost'!C45="","",'Step 10 - Provost'!C45))</f>
        <v/>
      </c>
      <c r="I498" s="18" t="str">
        <f>IF('Step 10 - Provost'!B45="","","Organization Code")</f>
        <v/>
      </c>
      <c r="J498" s="17" t="str">
        <f>IF('Step 10 - Provost'!B45="","","Equals")</f>
        <v/>
      </c>
      <c r="K498" s="18" t="str">
        <f>IF('Step 10 - Provost'!B45="","",'Step 10 - Provost'!D45)</f>
        <v/>
      </c>
      <c r="L498" s="18" t="str">
        <f>IF('Step 10 - Provost'!B45="","","Other Criteria")</f>
        <v/>
      </c>
      <c r="M498" s="17" t="str">
        <f>IF('Step 10 - Provost'!B45="","","Equals")</f>
        <v/>
      </c>
      <c r="N498" s="18" t="str">
        <f>IF('Step 10 - Provost'!B45="","",'Step 10 - Provost'!E45)</f>
        <v/>
      </c>
      <c r="O498" s="18" t="str">
        <f>IF('Step 10 - Provost'!B45="","",IF('Step 10 - Provost'!F45="","","Total"))</f>
        <v/>
      </c>
      <c r="P498" s="17" t="str">
        <f>IF('Step 10 - Provost'!B45="","",IF('Step 10 - Provost'!F45="","","&gt;="))</f>
        <v/>
      </c>
      <c r="Q498" s="18" t="str">
        <f>IF('Step 10 - Provost'!B45="","",IF('Step 10 - Provost'!F45="","",'Step 10 - Provost'!F45))</f>
        <v/>
      </c>
      <c r="R498" s="18" t="str">
        <f>""</f>
        <v/>
      </c>
      <c r="S498" s="18" t="str">
        <f>""</f>
        <v/>
      </c>
      <c r="T498" s="18" t="str">
        <f>""</f>
        <v/>
      </c>
      <c r="U498" s="18" t="str">
        <f>IF('Step 10 - Provost'!B45="","",'Step 10 - Provost'!I45)</f>
        <v/>
      </c>
      <c r="V498" s="17" t="str">
        <f>IF('Step 10 - Provost'!B45="","",'Step 10 - Provost'!K45)</f>
        <v/>
      </c>
      <c r="W498" s="18" t="str">
        <f>IF('Step 10 - Provost'!B45="","",'Step 10 - Provost'!L45)</f>
        <v/>
      </c>
      <c r="X498" s="17" t="str">
        <f>IF('Step 10 - Provost'!B45="","",'Step 10 - Provost'!N45)</f>
        <v/>
      </c>
      <c r="Y498" s="18" t="str">
        <f>""</f>
        <v/>
      </c>
      <c r="Z498" s="18" t="str">
        <f>""</f>
        <v/>
      </c>
      <c r="AA498" s="18" t="str">
        <f>""</f>
        <v/>
      </c>
      <c r="AB498" s="18" t="str">
        <f>""</f>
        <v/>
      </c>
      <c r="AC498" s="18" t="str">
        <f>""</f>
        <v/>
      </c>
      <c r="AD498" s="18" t="str">
        <f>""</f>
        <v/>
      </c>
      <c r="AE498" s="18" t="str">
        <f>""</f>
        <v/>
      </c>
      <c r="AF498" s="18" t="str">
        <f>""</f>
        <v/>
      </c>
      <c r="AG498" s="18" t="str">
        <f>""</f>
        <v/>
      </c>
      <c r="AH498" s="18" t="str">
        <f>""</f>
        <v/>
      </c>
      <c r="AI498" s="18" t="str">
        <f>""</f>
        <v/>
      </c>
      <c r="AJ498" s="18" t="str">
        <f>""</f>
        <v/>
      </c>
      <c r="AK498" s="18" t="str">
        <f>""</f>
        <v/>
      </c>
      <c r="AL498" s="18" t="str">
        <f>""</f>
        <v/>
      </c>
      <c r="AM498" s="18" t="str">
        <f>""</f>
        <v/>
      </c>
    </row>
    <row r="499" spans="1:39" ht="15.75" customHeight="1" x14ac:dyDescent="0.25">
      <c r="A499" s="19" t="str">
        <f>IF('Step 10 - Provost'!B46="","","Active")</f>
        <v/>
      </c>
      <c r="B499" s="20" t="str">
        <f>IF('Step 10 - Provost'!B46="","",'Step 10 - Provost'!B46)</f>
        <v/>
      </c>
      <c r="C499" s="20" t="str">
        <f>IF('Step 10 - Provost'!B46="","",'Step 10 - Provost'!B46)</f>
        <v/>
      </c>
      <c r="D499" s="19" t="str">
        <f>IF('Step 10 - Provost'!B46="","",'Step 10 - Provost'!G46)</f>
        <v/>
      </c>
      <c r="E499" s="19" t="str">
        <f>IF('Step 10 - Provost'!B46="","",'Step 10 - Provost'!H46)</f>
        <v/>
      </c>
      <c r="F499" s="20" t="str">
        <f>IF('Step 10 - Provost'!B46="","",IF('Step 10 - Provost'!C46="","","Fund Code"))</f>
        <v/>
      </c>
      <c r="G499" s="19" t="str">
        <f>IF('Step 10 - Provost'!B46="","",IF('Step 10 - Provost'!C46="","","Equals"))</f>
        <v/>
      </c>
      <c r="H499" s="20" t="str">
        <f>IF('Step 10 - Provost'!B46="","",IF('Step 10 - Provost'!C46="","",'Step 10 - Provost'!C46))</f>
        <v/>
      </c>
      <c r="I499" s="20" t="str">
        <f>IF('Step 10 - Provost'!B46="","","Organization Code")</f>
        <v/>
      </c>
      <c r="J499" s="19" t="str">
        <f>IF('Step 10 - Provost'!B46="","","Equals")</f>
        <v/>
      </c>
      <c r="K499" s="20" t="str">
        <f>IF('Step 10 - Provost'!B46="","",'Step 10 - Provost'!D46)</f>
        <v/>
      </c>
      <c r="L499" s="20" t="str">
        <f>IF('Step 10 - Provost'!B46="","","Other Criteria")</f>
        <v/>
      </c>
      <c r="M499" s="19" t="str">
        <f>IF('Step 10 - Provost'!B46="","","Equals")</f>
        <v/>
      </c>
      <c r="N499" s="20" t="str">
        <f>IF('Step 10 - Provost'!B46="","",'Step 10 - Provost'!E46)</f>
        <v/>
      </c>
      <c r="O499" s="20" t="str">
        <f>IF('Step 10 - Provost'!B46="","",IF('Step 10 - Provost'!F46="","","Total"))</f>
        <v/>
      </c>
      <c r="P499" s="19" t="str">
        <f>IF('Step 10 - Provost'!B46="","",IF('Step 10 - Provost'!F46="","","&gt;="))</f>
        <v/>
      </c>
      <c r="Q499" s="20" t="str">
        <f>IF('Step 10 - Provost'!B46="","",IF('Step 10 - Provost'!F46="","",'Step 10 - Provost'!F46))</f>
        <v/>
      </c>
      <c r="R499" s="20" t="str">
        <f>""</f>
        <v/>
      </c>
      <c r="S499" s="20" t="str">
        <f>""</f>
        <v/>
      </c>
      <c r="T499" s="20" t="str">
        <f>""</f>
        <v/>
      </c>
      <c r="U499" s="20" t="str">
        <f>IF('Step 10 - Provost'!B46="","",'Step 10 - Provost'!I46)</f>
        <v/>
      </c>
      <c r="V499" s="19" t="str">
        <f>IF('Step 10 - Provost'!B46="","",'Step 10 - Provost'!K46)</f>
        <v/>
      </c>
      <c r="W499" s="20" t="str">
        <f>IF('Step 10 - Provost'!B46="","",'Step 10 - Provost'!L46)</f>
        <v/>
      </c>
      <c r="X499" s="19" t="str">
        <f>IF('Step 10 - Provost'!B46="","",'Step 10 - Provost'!N46)</f>
        <v/>
      </c>
      <c r="Y499" s="20" t="str">
        <f>""</f>
        <v/>
      </c>
      <c r="Z499" s="20" t="str">
        <f>""</f>
        <v/>
      </c>
      <c r="AA499" s="20" t="str">
        <f>""</f>
        <v/>
      </c>
      <c r="AB499" s="20" t="str">
        <f>""</f>
        <v/>
      </c>
      <c r="AC499" s="20" t="str">
        <f>""</f>
        <v/>
      </c>
      <c r="AD499" s="20" t="str">
        <f>""</f>
        <v/>
      </c>
      <c r="AE499" s="20" t="str">
        <f>""</f>
        <v/>
      </c>
      <c r="AF499" s="20" t="str">
        <f>""</f>
        <v/>
      </c>
      <c r="AG499" s="20" t="str">
        <f>""</f>
        <v/>
      </c>
      <c r="AH499" s="20" t="str">
        <f>""</f>
        <v/>
      </c>
      <c r="AI499" s="20" t="str">
        <f>""</f>
        <v/>
      </c>
      <c r="AJ499" s="20" t="str">
        <f>""</f>
        <v/>
      </c>
      <c r="AK499" s="20" t="str">
        <f>""</f>
        <v/>
      </c>
      <c r="AL499" s="20" t="str">
        <f>""</f>
        <v/>
      </c>
      <c r="AM499" s="20" t="str">
        <f>""</f>
        <v/>
      </c>
    </row>
    <row r="500" spans="1:39" ht="15.75" customHeight="1" x14ac:dyDescent="0.25">
      <c r="A500" s="17" t="str">
        <f>IF('Step 10 - Provost'!B47="","","Active")</f>
        <v/>
      </c>
      <c r="B500" s="18" t="str">
        <f>IF('Step 10 - Provost'!B47="","",'Step 10 - Provost'!B47)</f>
        <v/>
      </c>
      <c r="C500" s="18" t="str">
        <f>IF('Step 10 - Provost'!B47="","",'Step 10 - Provost'!B47)</f>
        <v/>
      </c>
      <c r="D500" s="17" t="str">
        <f>IF('Step 10 - Provost'!B47="","",'Step 10 - Provost'!G47)</f>
        <v/>
      </c>
      <c r="E500" s="17" t="str">
        <f>IF('Step 10 - Provost'!B47="","",'Step 10 - Provost'!H47)</f>
        <v/>
      </c>
      <c r="F500" s="18" t="str">
        <f>IF('Step 10 - Provost'!B47="","",IF('Step 10 - Provost'!C47="","","Fund Code"))</f>
        <v/>
      </c>
      <c r="G500" s="17" t="str">
        <f>IF('Step 10 - Provost'!B47="","",IF('Step 10 - Provost'!C47="","","Equals"))</f>
        <v/>
      </c>
      <c r="H500" s="18" t="str">
        <f>IF('Step 10 - Provost'!B47="","",IF('Step 10 - Provost'!C47="","",'Step 10 - Provost'!C47))</f>
        <v/>
      </c>
      <c r="I500" s="18" t="str">
        <f>IF('Step 10 - Provost'!B47="","","Organization Code")</f>
        <v/>
      </c>
      <c r="J500" s="17" t="str">
        <f>IF('Step 10 - Provost'!B47="","","Equals")</f>
        <v/>
      </c>
      <c r="K500" s="18" t="str">
        <f>IF('Step 10 - Provost'!B47="","",'Step 10 - Provost'!D47)</f>
        <v/>
      </c>
      <c r="L500" s="18" t="str">
        <f>IF('Step 10 - Provost'!B47="","","Other Criteria")</f>
        <v/>
      </c>
      <c r="M500" s="17" t="str">
        <f>IF('Step 10 - Provost'!B47="","","Equals")</f>
        <v/>
      </c>
      <c r="N500" s="18" t="str">
        <f>IF('Step 10 - Provost'!B47="","",'Step 10 - Provost'!E47)</f>
        <v/>
      </c>
      <c r="O500" s="18" t="str">
        <f>IF('Step 10 - Provost'!B47="","",IF('Step 10 - Provost'!F47="","","Total"))</f>
        <v/>
      </c>
      <c r="P500" s="17" t="str">
        <f>IF('Step 10 - Provost'!B47="","",IF('Step 10 - Provost'!F47="","","&gt;="))</f>
        <v/>
      </c>
      <c r="Q500" s="18" t="str">
        <f>IF('Step 10 - Provost'!B47="","",IF('Step 10 - Provost'!F47="","",'Step 10 - Provost'!F47))</f>
        <v/>
      </c>
      <c r="R500" s="18" t="str">
        <f>""</f>
        <v/>
      </c>
      <c r="S500" s="18" t="str">
        <f>""</f>
        <v/>
      </c>
      <c r="T500" s="18" t="str">
        <f>""</f>
        <v/>
      </c>
      <c r="U500" s="18" t="str">
        <f>IF('Step 10 - Provost'!B47="","",'Step 10 - Provost'!I47)</f>
        <v/>
      </c>
      <c r="V500" s="17" t="str">
        <f>IF('Step 10 - Provost'!B47="","",'Step 10 - Provost'!K47)</f>
        <v/>
      </c>
      <c r="W500" s="18" t="str">
        <f>IF('Step 10 - Provost'!B47="","",'Step 10 - Provost'!L47)</f>
        <v/>
      </c>
      <c r="X500" s="17" t="str">
        <f>IF('Step 10 - Provost'!B47="","",'Step 10 - Provost'!N47)</f>
        <v/>
      </c>
      <c r="Y500" s="18" t="str">
        <f>""</f>
        <v/>
      </c>
      <c r="Z500" s="18" t="str">
        <f>""</f>
        <v/>
      </c>
      <c r="AA500" s="18" t="str">
        <f>""</f>
        <v/>
      </c>
      <c r="AB500" s="18" t="str">
        <f>""</f>
        <v/>
      </c>
      <c r="AC500" s="18" t="str">
        <f>""</f>
        <v/>
      </c>
      <c r="AD500" s="18" t="str">
        <f>""</f>
        <v/>
      </c>
      <c r="AE500" s="18" t="str">
        <f>""</f>
        <v/>
      </c>
      <c r="AF500" s="18" t="str">
        <f>""</f>
        <v/>
      </c>
      <c r="AG500" s="18" t="str">
        <f>""</f>
        <v/>
      </c>
      <c r="AH500" s="18" t="str">
        <f>""</f>
        <v/>
      </c>
      <c r="AI500" s="18" t="str">
        <f>""</f>
        <v/>
      </c>
      <c r="AJ500" s="18" t="str">
        <f>""</f>
        <v/>
      </c>
      <c r="AK500" s="18" t="str">
        <f>""</f>
        <v/>
      </c>
      <c r="AL500" s="18" t="str">
        <f>""</f>
        <v/>
      </c>
      <c r="AM500" s="18" t="str">
        <f>""</f>
        <v/>
      </c>
    </row>
    <row r="501" spans="1:39" ht="15.75" customHeight="1" x14ac:dyDescent="0.25">
      <c r="A501" s="19" t="str">
        <f>IF('Step 10 - Provost'!B48="","","Active")</f>
        <v/>
      </c>
      <c r="B501" s="20" t="str">
        <f>IF('Step 10 - Provost'!B48="","",'Step 10 - Provost'!B48)</f>
        <v/>
      </c>
      <c r="C501" s="20" t="str">
        <f>IF('Step 10 - Provost'!B48="","",'Step 10 - Provost'!B48)</f>
        <v/>
      </c>
      <c r="D501" s="19" t="str">
        <f>IF('Step 10 - Provost'!B48="","",'Step 10 - Provost'!G48)</f>
        <v/>
      </c>
      <c r="E501" s="19" t="str">
        <f>IF('Step 10 - Provost'!B48="","",'Step 10 - Provost'!H48)</f>
        <v/>
      </c>
      <c r="F501" s="20" t="str">
        <f>IF('Step 10 - Provost'!B48="","",IF('Step 10 - Provost'!C48="","","Fund Code"))</f>
        <v/>
      </c>
      <c r="G501" s="19" t="str">
        <f>IF('Step 10 - Provost'!B48="","",IF('Step 10 - Provost'!C48="","","Equals"))</f>
        <v/>
      </c>
      <c r="H501" s="20" t="str">
        <f>IF('Step 10 - Provost'!B48="","",IF('Step 10 - Provost'!C48="","",'Step 10 - Provost'!C48))</f>
        <v/>
      </c>
      <c r="I501" s="20" t="str">
        <f>IF('Step 10 - Provost'!B48="","","Organization Code")</f>
        <v/>
      </c>
      <c r="J501" s="19" t="str">
        <f>IF('Step 10 - Provost'!B48="","","Equals")</f>
        <v/>
      </c>
      <c r="K501" s="20" t="str">
        <f>IF('Step 10 - Provost'!B48="","",'Step 10 - Provost'!D48)</f>
        <v/>
      </c>
      <c r="L501" s="20" t="str">
        <f>IF('Step 10 - Provost'!B48="","","Other Criteria")</f>
        <v/>
      </c>
      <c r="M501" s="19" t="str">
        <f>IF('Step 10 - Provost'!B48="","","Equals")</f>
        <v/>
      </c>
      <c r="N501" s="20" t="str">
        <f>IF('Step 10 - Provost'!B48="","",'Step 10 - Provost'!E48)</f>
        <v/>
      </c>
      <c r="O501" s="20" t="str">
        <f>IF('Step 10 - Provost'!B48="","",IF('Step 10 - Provost'!F48="","","Total"))</f>
        <v/>
      </c>
      <c r="P501" s="19" t="str">
        <f>IF('Step 10 - Provost'!B48="","",IF('Step 10 - Provost'!F48="","","&gt;="))</f>
        <v/>
      </c>
      <c r="Q501" s="20" t="str">
        <f>IF('Step 10 - Provost'!B48="","",IF('Step 10 - Provost'!F48="","",'Step 10 - Provost'!F48))</f>
        <v/>
      </c>
      <c r="R501" s="20" t="str">
        <f>""</f>
        <v/>
      </c>
      <c r="S501" s="20" t="str">
        <f>""</f>
        <v/>
      </c>
      <c r="T501" s="20" t="str">
        <f>""</f>
        <v/>
      </c>
      <c r="U501" s="20" t="str">
        <f>IF('Step 10 - Provost'!B48="","",'Step 10 - Provost'!I48)</f>
        <v/>
      </c>
      <c r="V501" s="19" t="str">
        <f>IF('Step 10 - Provost'!B48="","",'Step 10 - Provost'!K48)</f>
        <v/>
      </c>
      <c r="W501" s="20" t="str">
        <f>IF('Step 10 - Provost'!B48="","",'Step 10 - Provost'!L48)</f>
        <v/>
      </c>
      <c r="X501" s="19" t="str">
        <f>IF('Step 10 - Provost'!B48="","",'Step 10 - Provost'!N48)</f>
        <v/>
      </c>
      <c r="Y501" s="20" t="str">
        <f>""</f>
        <v/>
      </c>
      <c r="Z501" s="20" t="str">
        <f>""</f>
        <v/>
      </c>
      <c r="AA501" s="20" t="str">
        <f>""</f>
        <v/>
      </c>
      <c r="AB501" s="20" t="str">
        <f>""</f>
        <v/>
      </c>
      <c r="AC501" s="20" t="str">
        <f>""</f>
        <v/>
      </c>
      <c r="AD501" s="20" t="str">
        <f>""</f>
        <v/>
      </c>
      <c r="AE501" s="20" t="str">
        <f>""</f>
        <v/>
      </c>
      <c r="AF501" s="20" t="str">
        <f>""</f>
        <v/>
      </c>
      <c r="AG501" s="20" t="str">
        <f>""</f>
        <v/>
      </c>
      <c r="AH501" s="20" t="str">
        <f>""</f>
        <v/>
      </c>
      <c r="AI501" s="20" t="str">
        <f>""</f>
        <v/>
      </c>
      <c r="AJ501" s="20" t="str">
        <f>""</f>
        <v/>
      </c>
      <c r="AK501" s="20" t="str">
        <f>""</f>
        <v/>
      </c>
      <c r="AL501" s="20" t="str">
        <f>""</f>
        <v/>
      </c>
      <c r="AM501" s="20" t="str">
        <f>""</f>
        <v/>
      </c>
    </row>
    <row r="502" spans="1:39" ht="15.75" customHeight="1" x14ac:dyDescent="0.25">
      <c r="A502" s="17" t="str">
        <f>IF('Step 10 - Provost'!B49="","","Active")</f>
        <v/>
      </c>
      <c r="B502" s="18" t="str">
        <f>IF('Step 10 - Provost'!B49="","",'Step 10 - Provost'!B49)</f>
        <v/>
      </c>
      <c r="C502" s="18" t="str">
        <f>IF('Step 10 - Provost'!B49="","",'Step 10 - Provost'!B49)</f>
        <v/>
      </c>
      <c r="D502" s="17" t="str">
        <f>IF('Step 10 - Provost'!B49="","",'Step 10 - Provost'!G49)</f>
        <v/>
      </c>
      <c r="E502" s="17" t="str">
        <f>IF('Step 10 - Provost'!B49="","",'Step 10 - Provost'!H49)</f>
        <v/>
      </c>
      <c r="F502" s="18" t="str">
        <f>IF('Step 10 - Provost'!B49="","",IF('Step 10 - Provost'!C49="","","Fund Code"))</f>
        <v/>
      </c>
      <c r="G502" s="17" t="str">
        <f>IF('Step 10 - Provost'!B49="","",IF('Step 10 - Provost'!C49="","","Equals"))</f>
        <v/>
      </c>
      <c r="H502" s="18" t="str">
        <f>IF('Step 10 - Provost'!B49="","",IF('Step 10 - Provost'!C49="","",'Step 10 - Provost'!C49))</f>
        <v/>
      </c>
      <c r="I502" s="18" t="str">
        <f>IF('Step 10 - Provost'!B49="","","Organization Code")</f>
        <v/>
      </c>
      <c r="J502" s="17" t="str">
        <f>IF('Step 10 - Provost'!B49="","","Equals")</f>
        <v/>
      </c>
      <c r="K502" s="18" t="str">
        <f>IF('Step 10 - Provost'!B49="","",'Step 10 - Provost'!D49)</f>
        <v/>
      </c>
      <c r="L502" s="18" t="str">
        <f>IF('Step 10 - Provost'!B49="","","Other Criteria")</f>
        <v/>
      </c>
      <c r="M502" s="17" t="str">
        <f>IF('Step 10 - Provost'!B49="","","Equals")</f>
        <v/>
      </c>
      <c r="N502" s="18" t="str">
        <f>IF('Step 10 - Provost'!B49="","",'Step 10 - Provost'!E49)</f>
        <v/>
      </c>
      <c r="O502" s="18" t="str">
        <f>IF('Step 10 - Provost'!B49="","",IF('Step 10 - Provost'!F49="","","Total"))</f>
        <v/>
      </c>
      <c r="P502" s="17" t="str">
        <f>IF('Step 10 - Provost'!B49="","",IF('Step 10 - Provost'!F49="","","&gt;="))</f>
        <v/>
      </c>
      <c r="Q502" s="18" t="str">
        <f>IF('Step 10 - Provost'!B49="","",IF('Step 10 - Provost'!F49="","",'Step 10 - Provost'!F49))</f>
        <v/>
      </c>
      <c r="R502" s="18" t="str">
        <f>""</f>
        <v/>
      </c>
      <c r="S502" s="18" t="str">
        <f>""</f>
        <v/>
      </c>
      <c r="T502" s="18" t="str">
        <f>""</f>
        <v/>
      </c>
      <c r="U502" s="18" t="str">
        <f>IF('Step 10 - Provost'!B49="","",'Step 10 - Provost'!I49)</f>
        <v/>
      </c>
      <c r="V502" s="17" t="str">
        <f>IF('Step 10 - Provost'!B49="","",'Step 10 - Provost'!K49)</f>
        <v/>
      </c>
      <c r="W502" s="18" t="str">
        <f>IF('Step 10 - Provost'!B49="","",'Step 10 - Provost'!L49)</f>
        <v/>
      </c>
      <c r="X502" s="17" t="str">
        <f>IF('Step 10 - Provost'!B49="","",'Step 10 - Provost'!N49)</f>
        <v/>
      </c>
      <c r="Y502" s="18" t="str">
        <f>""</f>
        <v/>
      </c>
      <c r="Z502" s="18" t="str">
        <f>""</f>
        <v/>
      </c>
      <c r="AA502" s="18" t="str">
        <f>""</f>
        <v/>
      </c>
      <c r="AB502" s="18" t="str">
        <f>""</f>
        <v/>
      </c>
      <c r="AC502" s="18" t="str">
        <f>""</f>
        <v/>
      </c>
      <c r="AD502" s="18" t="str">
        <f>""</f>
        <v/>
      </c>
      <c r="AE502" s="18" t="str">
        <f>""</f>
        <v/>
      </c>
      <c r="AF502" s="18" t="str">
        <f>""</f>
        <v/>
      </c>
      <c r="AG502" s="18" t="str">
        <f>""</f>
        <v/>
      </c>
      <c r="AH502" s="18" t="str">
        <f>""</f>
        <v/>
      </c>
      <c r="AI502" s="18" t="str">
        <f>""</f>
        <v/>
      </c>
      <c r="AJ502" s="18" t="str">
        <f>""</f>
        <v/>
      </c>
      <c r="AK502" s="18" t="str">
        <f>""</f>
        <v/>
      </c>
      <c r="AL502" s="18" t="str">
        <f>""</f>
        <v/>
      </c>
      <c r="AM502" s="18" t="str">
        <f>""</f>
        <v/>
      </c>
    </row>
    <row r="503" spans="1:39" ht="15.75" customHeight="1" x14ac:dyDescent="0.25">
      <c r="A503" s="19" t="str">
        <f>IF('Step 10 - Provost'!B50="","","Active")</f>
        <v/>
      </c>
      <c r="B503" s="20" t="str">
        <f>IF('Step 10 - Provost'!B50="","",'Step 10 - Provost'!B50)</f>
        <v/>
      </c>
      <c r="C503" s="20" t="str">
        <f>IF('Step 10 - Provost'!B50="","",'Step 10 - Provost'!B50)</f>
        <v/>
      </c>
      <c r="D503" s="19" t="str">
        <f>IF('Step 10 - Provost'!B50="","",'Step 10 - Provost'!G50)</f>
        <v/>
      </c>
      <c r="E503" s="19" t="str">
        <f>IF('Step 10 - Provost'!B50="","",'Step 10 - Provost'!H50)</f>
        <v/>
      </c>
      <c r="F503" s="20" t="str">
        <f>IF('Step 10 - Provost'!B50="","",IF('Step 10 - Provost'!C50="","","Fund Code"))</f>
        <v/>
      </c>
      <c r="G503" s="19" t="str">
        <f>IF('Step 10 - Provost'!B50="","",IF('Step 10 - Provost'!C50="","","Equals"))</f>
        <v/>
      </c>
      <c r="H503" s="20" t="str">
        <f>IF('Step 10 - Provost'!B50="","",IF('Step 10 - Provost'!C50="","",'Step 10 - Provost'!C50))</f>
        <v/>
      </c>
      <c r="I503" s="20" t="str">
        <f>IF('Step 10 - Provost'!B50="","","Organization Code")</f>
        <v/>
      </c>
      <c r="J503" s="19" t="str">
        <f>IF('Step 10 - Provost'!B50="","","Equals")</f>
        <v/>
      </c>
      <c r="K503" s="20" t="str">
        <f>IF('Step 10 - Provost'!B50="","",'Step 10 - Provost'!D50)</f>
        <v/>
      </c>
      <c r="L503" s="20" t="str">
        <f>IF('Step 10 - Provost'!B50="","","Other Criteria")</f>
        <v/>
      </c>
      <c r="M503" s="19" t="str">
        <f>IF('Step 10 - Provost'!B50="","","Equals")</f>
        <v/>
      </c>
      <c r="N503" s="20" t="str">
        <f>IF('Step 10 - Provost'!B50="","",'Step 10 - Provost'!E50)</f>
        <v/>
      </c>
      <c r="O503" s="20" t="str">
        <f>IF('Step 10 - Provost'!B50="","",IF('Step 10 - Provost'!F50="","","Total"))</f>
        <v/>
      </c>
      <c r="P503" s="19" t="str">
        <f>IF('Step 10 - Provost'!B50="","",IF('Step 10 - Provost'!F50="","","&gt;="))</f>
        <v/>
      </c>
      <c r="Q503" s="20" t="str">
        <f>IF('Step 10 - Provost'!B50="","",IF('Step 10 - Provost'!F50="","",'Step 10 - Provost'!F50))</f>
        <v/>
      </c>
      <c r="R503" s="20" t="str">
        <f>""</f>
        <v/>
      </c>
      <c r="S503" s="20" t="str">
        <f>""</f>
        <v/>
      </c>
      <c r="T503" s="20" t="str">
        <f>""</f>
        <v/>
      </c>
      <c r="U503" s="20" t="str">
        <f>IF('Step 10 - Provost'!B50="","",'Step 10 - Provost'!I50)</f>
        <v/>
      </c>
      <c r="V503" s="19" t="str">
        <f>IF('Step 10 - Provost'!B50="","",'Step 10 - Provost'!K50)</f>
        <v/>
      </c>
      <c r="W503" s="20" t="str">
        <f>IF('Step 10 - Provost'!B50="","",'Step 10 - Provost'!L50)</f>
        <v/>
      </c>
      <c r="X503" s="19" t="str">
        <f>IF('Step 10 - Provost'!B50="","",'Step 10 - Provost'!N50)</f>
        <v/>
      </c>
      <c r="Y503" s="20" t="str">
        <f>""</f>
        <v/>
      </c>
      <c r="Z503" s="20" t="str">
        <f>""</f>
        <v/>
      </c>
      <c r="AA503" s="20" t="str">
        <f>""</f>
        <v/>
      </c>
      <c r="AB503" s="20" t="str">
        <f>""</f>
        <v/>
      </c>
      <c r="AC503" s="20" t="str">
        <f>""</f>
        <v/>
      </c>
      <c r="AD503" s="20" t="str">
        <f>""</f>
        <v/>
      </c>
      <c r="AE503" s="20" t="str">
        <f>""</f>
        <v/>
      </c>
      <c r="AF503" s="20" t="str">
        <f>""</f>
        <v/>
      </c>
      <c r="AG503" s="20" t="str">
        <f>""</f>
        <v/>
      </c>
      <c r="AH503" s="20" t="str">
        <f>""</f>
        <v/>
      </c>
      <c r="AI503" s="20" t="str">
        <f>""</f>
        <v/>
      </c>
      <c r="AJ503" s="20" t="str">
        <f>""</f>
        <v/>
      </c>
      <c r="AK503" s="20" t="str">
        <f>""</f>
        <v/>
      </c>
      <c r="AL503" s="20" t="str">
        <f>""</f>
        <v/>
      </c>
      <c r="AM503" s="20" t="str">
        <f>""</f>
        <v/>
      </c>
    </row>
    <row r="504" spans="1:39" ht="15.75" customHeight="1" x14ac:dyDescent="0.25">
      <c r="A504" s="17" t="str">
        <f>IF('Step 10 - Provost'!B51="","","Active")</f>
        <v/>
      </c>
      <c r="B504" s="18" t="str">
        <f>IF('Step 10 - Provost'!B51="","",'Step 10 - Provost'!B51)</f>
        <v/>
      </c>
      <c r="C504" s="18" t="str">
        <f>IF('Step 10 - Provost'!B51="","",'Step 10 - Provost'!B51)</f>
        <v/>
      </c>
      <c r="D504" s="17" t="str">
        <f>IF('Step 10 - Provost'!B51="","",'Step 10 - Provost'!G51)</f>
        <v/>
      </c>
      <c r="E504" s="17" t="str">
        <f>IF('Step 10 - Provost'!B51="","",'Step 10 - Provost'!H51)</f>
        <v/>
      </c>
      <c r="F504" s="18" t="str">
        <f>IF('Step 10 - Provost'!B51="","",IF('Step 10 - Provost'!C51="","","Fund Code"))</f>
        <v/>
      </c>
      <c r="G504" s="17" t="str">
        <f>IF('Step 10 - Provost'!B51="","",IF('Step 10 - Provost'!C51="","","Equals"))</f>
        <v/>
      </c>
      <c r="H504" s="18" t="str">
        <f>IF('Step 10 - Provost'!B51="","",IF('Step 10 - Provost'!C51="","",'Step 10 - Provost'!C51))</f>
        <v/>
      </c>
      <c r="I504" s="18" t="str">
        <f>IF('Step 10 - Provost'!B51="","","Organization Code")</f>
        <v/>
      </c>
      <c r="J504" s="17" t="str">
        <f>IF('Step 10 - Provost'!B51="","","Equals")</f>
        <v/>
      </c>
      <c r="K504" s="18" t="str">
        <f>IF('Step 10 - Provost'!B51="","",'Step 10 - Provost'!D51)</f>
        <v/>
      </c>
      <c r="L504" s="18" t="str">
        <f>IF('Step 10 - Provost'!B51="","","Other Criteria")</f>
        <v/>
      </c>
      <c r="M504" s="17" t="str">
        <f>IF('Step 10 - Provost'!B51="","","Equals")</f>
        <v/>
      </c>
      <c r="N504" s="18" t="str">
        <f>IF('Step 10 - Provost'!B51="","",'Step 10 - Provost'!E51)</f>
        <v/>
      </c>
      <c r="O504" s="18" t="str">
        <f>IF('Step 10 - Provost'!B51="","",IF('Step 10 - Provost'!F51="","","Total"))</f>
        <v/>
      </c>
      <c r="P504" s="17" t="str">
        <f>IF('Step 10 - Provost'!B51="","",IF('Step 10 - Provost'!F51="","","&gt;="))</f>
        <v/>
      </c>
      <c r="Q504" s="18" t="str">
        <f>IF('Step 10 - Provost'!B51="","",IF('Step 10 - Provost'!F51="","",'Step 10 - Provost'!F51))</f>
        <v/>
      </c>
      <c r="R504" s="18" t="str">
        <f>""</f>
        <v/>
      </c>
      <c r="S504" s="18" t="str">
        <f>""</f>
        <v/>
      </c>
      <c r="T504" s="18" t="str">
        <f>""</f>
        <v/>
      </c>
      <c r="U504" s="18" t="str">
        <f>IF('Step 10 - Provost'!B51="","",'Step 10 - Provost'!I51)</f>
        <v/>
      </c>
      <c r="V504" s="17" t="str">
        <f>IF('Step 10 - Provost'!B51="","",'Step 10 - Provost'!K51)</f>
        <v/>
      </c>
      <c r="W504" s="18" t="str">
        <f>IF('Step 10 - Provost'!B51="","",'Step 10 - Provost'!L51)</f>
        <v/>
      </c>
      <c r="X504" s="17" t="str">
        <f>IF('Step 10 - Provost'!B51="","",'Step 10 - Provost'!N51)</f>
        <v/>
      </c>
      <c r="Y504" s="18" t="str">
        <f>""</f>
        <v/>
      </c>
      <c r="Z504" s="18" t="str">
        <f>""</f>
        <v/>
      </c>
      <c r="AA504" s="18" t="str">
        <f>""</f>
        <v/>
      </c>
      <c r="AB504" s="18" t="str">
        <f>""</f>
        <v/>
      </c>
      <c r="AC504" s="18" t="str">
        <f>""</f>
        <v/>
      </c>
      <c r="AD504" s="18" t="str">
        <f>""</f>
        <v/>
      </c>
      <c r="AE504" s="18" t="str">
        <f>""</f>
        <v/>
      </c>
      <c r="AF504" s="18" t="str">
        <f>""</f>
        <v/>
      </c>
      <c r="AG504" s="18" t="str">
        <f>""</f>
        <v/>
      </c>
      <c r="AH504" s="18" t="str">
        <f>""</f>
        <v/>
      </c>
      <c r="AI504" s="18" t="str">
        <f>""</f>
        <v/>
      </c>
      <c r="AJ504" s="18" t="str">
        <f>""</f>
        <v/>
      </c>
      <c r="AK504" s="18" t="str">
        <f>""</f>
        <v/>
      </c>
      <c r="AL504" s="18" t="str">
        <f>""</f>
        <v/>
      </c>
      <c r="AM504" s="18" t="str">
        <f>""</f>
        <v/>
      </c>
    </row>
    <row r="505" spans="1:39" ht="15.75" customHeight="1" x14ac:dyDescent="0.25">
      <c r="A505" s="19" t="str">
        <f>IF('Step 10 - Provost'!B52="","","Active")</f>
        <v/>
      </c>
      <c r="B505" s="20" t="str">
        <f>IF('Step 10 - Provost'!B52="","",'Step 10 - Provost'!B52)</f>
        <v/>
      </c>
      <c r="C505" s="20" t="str">
        <f>IF('Step 10 - Provost'!B52="","",'Step 10 - Provost'!B52)</f>
        <v/>
      </c>
      <c r="D505" s="19" t="str">
        <f>IF('Step 10 - Provost'!B52="","",'Step 10 - Provost'!G52)</f>
        <v/>
      </c>
      <c r="E505" s="19" t="str">
        <f>IF('Step 10 - Provost'!B52="","",'Step 10 - Provost'!H52)</f>
        <v/>
      </c>
      <c r="F505" s="20" t="str">
        <f>IF('Step 10 - Provost'!B52="","",IF('Step 10 - Provost'!C52="","","Fund Code"))</f>
        <v/>
      </c>
      <c r="G505" s="19" t="str">
        <f>IF('Step 10 - Provost'!B52="","",IF('Step 10 - Provost'!C52="","","Equals"))</f>
        <v/>
      </c>
      <c r="H505" s="20" t="str">
        <f>IF('Step 10 - Provost'!B52="","",IF('Step 10 - Provost'!C52="","",'Step 10 - Provost'!C52))</f>
        <v/>
      </c>
      <c r="I505" s="20" t="str">
        <f>IF('Step 10 - Provost'!B52="","","Organization Code")</f>
        <v/>
      </c>
      <c r="J505" s="19" t="str">
        <f>IF('Step 10 - Provost'!B52="","","Equals")</f>
        <v/>
      </c>
      <c r="K505" s="20" t="str">
        <f>IF('Step 10 - Provost'!B52="","",'Step 10 - Provost'!D52)</f>
        <v/>
      </c>
      <c r="L505" s="20" t="str">
        <f>IF('Step 10 - Provost'!B52="","","Other Criteria")</f>
        <v/>
      </c>
      <c r="M505" s="19" t="str">
        <f>IF('Step 10 - Provost'!B52="","","Equals")</f>
        <v/>
      </c>
      <c r="N505" s="20" t="str">
        <f>IF('Step 10 - Provost'!B52="","",'Step 10 - Provost'!E52)</f>
        <v/>
      </c>
      <c r="O505" s="20" t="str">
        <f>IF('Step 10 - Provost'!B52="","",IF('Step 10 - Provost'!F52="","","Total"))</f>
        <v/>
      </c>
      <c r="P505" s="19" t="str">
        <f>IF('Step 10 - Provost'!B52="","",IF('Step 10 - Provost'!F52="","","&gt;="))</f>
        <v/>
      </c>
      <c r="Q505" s="20" t="str">
        <f>IF('Step 10 - Provost'!B52="","",IF('Step 10 - Provost'!F52="","",'Step 10 - Provost'!F52))</f>
        <v/>
      </c>
      <c r="R505" s="20" t="str">
        <f>""</f>
        <v/>
      </c>
      <c r="S505" s="20" t="str">
        <f>""</f>
        <v/>
      </c>
      <c r="T505" s="20" t="str">
        <f>""</f>
        <v/>
      </c>
      <c r="U505" s="20" t="str">
        <f>IF('Step 10 - Provost'!B52="","",'Step 10 - Provost'!I52)</f>
        <v/>
      </c>
      <c r="V505" s="19" t="str">
        <f>IF('Step 10 - Provost'!B52="","",'Step 10 - Provost'!K52)</f>
        <v/>
      </c>
      <c r="W505" s="20" t="str">
        <f>IF('Step 10 - Provost'!B52="","",'Step 10 - Provost'!L52)</f>
        <v/>
      </c>
      <c r="X505" s="19" t="str">
        <f>IF('Step 10 - Provost'!B52="","",'Step 10 - Provost'!N52)</f>
        <v/>
      </c>
      <c r="Y505" s="20" t="str">
        <f>""</f>
        <v/>
      </c>
      <c r="Z505" s="20" t="str">
        <f>""</f>
        <v/>
      </c>
      <c r="AA505" s="20" t="str">
        <f>""</f>
        <v/>
      </c>
      <c r="AB505" s="20" t="str">
        <f>""</f>
        <v/>
      </c>
      <c r="AC505" s="20" t="str">
        <f>""</f>
        <v/>
      </c>
      <c r="AD505" s="20" t="str">
        <f>""</f>
        <v/>
      </c>
      <c r="AE505" s="20" t="str">
        <f>""</f>
        <v/>
      </c>
      <c r="AF505" s="20" t="str">
        <f>""</f>
        <v/>
      </c>
      <c r="AG505" s="20" t="str">
        <f>""</f>
        <v/>
      </c>
      <c r="AH505" s="20" t="str">
        <f>""</f>
        <v/>
      </c>
      <c r="AI505" s="20" t="str">
        <f>""</f>
        <v/>
      </c>
      <c r="AJ505" s="20" t="str">
        <f>""</f>
        <v/>
      </c>
      <c r="AK505" s="20" t="str">
        <f>""</f>
        <v/>
      </c>
      <c r="AL505" s="20" t="str">
        <f>""</f>
        <v/>
      </c>
      <c r="AM505" s="20" t="str">
        <f>""</f>
        <v/>
      </c>
    </row>
    <row r="506" spans="1:39" ht="15.75" customHeight="1" x14ac:dyDescent="0.25">
      <c r="A506" s="17" t="str">
        <f>IF('Step 10 - Provost'!B53="","","Active")</f>
        <v/>
      </c>
      <c r="B506" s="18" t="str">
        <f>IF('Step 10 - Provost'!B53="","",'Step 10 - Provost'!B53)</f>
        <v/>
      </c>
      <c r="C506" s="18" t="str">
        <f>IF('Step 10 - Provost'!B53="","",'Step 10 - Provost'!B53)</f>
        <v/>
      </c>
      <c r="D506" s="17" t="str">
        <f>IF('Step 10 - Provost'!B53="","",'Step 10 - Provost'!G53)</f>
        <v/>
      </c>
      <c r="E506" s="17" t="str">
        <f>IF('Step 10 - Provost'!B53="","",'Step 10 - Provost'!H53)</f>
        <v/>
      </c>
      <c r="F506" s="18" t="str">
        <f>IF('Step 10 - Provost'!B53="","",IF('Step 10 - Provost'!C53="","","Fund Code"))</f>
        <v/>
      </c>
      <c r="G506" s="17" t="str">
        <f>IF('Step 10 - Provost'!B53="","",IF('Step 10 - Provost'!C53="","","Equals"))</f>
        <v/>
      </c>
      <c r="H506" s="18" t="str">
        <f>IF('Step 10 - Provost'!B53="","",IF('Step 10 - Provost'!C53="","",'Step 10 - Provost'!C53))</f>
        <v/>
      </c>
      <c r="I506" s="18" t="str">
        <f>IF('Step 10 - Provost'!B53="","","Organization Code")</f>
        <v/>
      </c>
      <c r="J506" s="17" t="str">
        <f>IF('Step 10 - Provost'!B53="","","Equals")</f>
        <v/>
      </c>
      <c r="K506" s="18" t="str">
        <f>IF('Step 10 - Provost'!B53="","",'Step 10 - Provost'!D53)</f>
        <v/>
      </c>
      <c r="L506" s="18" t="str">
        <f>IF('Step 10 - Provost'!B53="","","Other Criteria")</f>
        <v/>
      </c>
      <c r="M506" s="17" t="str">
        <f>IF('Step 10 - Provost'!B53="","","Equals")</f>
        <v/>
      </c>
      <c r="N506" s="18" t="str">
        <f>IF('Step 10 - Provost'!B53="","",'Step 10 - Provost'!E53)</f>
        <v/>
      </c>
      <c r="O506" s="18" t="str">
        <f>IF('Step 10 - Provost'!B53="","",IF('Step 10 - Provost'!F53="","","Total"))</f>
        <v/>
      </c>
      <c r="P506" s="17" t="str">
        <f>IF('Step 10 - Provost'!B53="","",IF('Step 10 - Provost'!F53="","","&gt;="))</f>
        <v/>
      </c>
      <c r="Q506" s="18" t="str">
        <f>IF('Step 10 - Provost'!B53="","",IF('Step 10 - Provost'!F53="","",'Step 10 - Provost'!F53))</f>
        <v/>
      </c>
      <c r="R506" s="18" t="str">
        <f>""</f>
        <v/>
      </c>
      <c r="S506" s="18" t="str">
        <f>""</f>
        <v/>
      </c>
      <c r="T506" s="18" t="str">
        <f>""</f>
        <v/>
      </c>
      <c r="U506" s="18" t="str">
        <f>IF('Step 10 - Provost'!B53="","",'Step 10 - Provost'!I53)</f>
        <v/>
      </c>
      <c r="V506" s="17" t="str">
        <f>IF('Step 10 - Provost'!B53="","",'Step 10 - Provost'!K53)</f>
        <v/>
      </c>
      <c r="W506" s="18" t="str">
        <f>IF('Step 10 - Provost'!B53="","",'Step 10 - Provost'!L53)</f>
        <v/>
      </c>
      <c r="X506" s="17" t="str">
        <f>IF('Step 10 - Provost'!B53="","",'Step 10 - Provost'!N53)</f>
        <v/>
      </c>
      <c r="Y506" s="18" t="str">
        <f>""</f>
        <v/>
      </c>
      <c r="Z506" s="18" t="str">
        <f>""</f>
        <v/>
      </c>
      <c r="AA506" s="18" t="str">
        <f>""</f>
        <v/>
      </c>
      <c r="AB506" s="18" t="str">
        <f>""</f>
        <v/>
      </c>
      <c r="AC506" s="18" t="str">
        <f>""</f>
        <v/>
      </c>
      <c r="AD506" s="18" t="str">
        <f>""</f>
        <v/>
      </c>
      <c r="AE506" s="18" t="str">
        <f>""</f>
        <v/>
      </c>
      <c r="AF506" s="18" t="str">
        <f>""</f>
        <v/>
      </c>
      <c r="AG506" s="18" t="str">
        <f>""</f>
        <v/>
      </c>
      <c r="AH506" s="18" t="str">
        <f>""</f>
        <v/>
      </c>
      <c r="AI506" s="18" t="str">
        <f>""</f>
        <v/>
      </c>
      <c r="AJ506" s="18" t="str">
        <f>""</f>
        <v/>
      </c>
      <c r="AK506" s="18" t="str">
        <f>""</f>
        <v/>
      </c>
      <c r="AL506" s="18" t="str">
        <f>""</f>
        <v/>
      </c>
      <c r="AM506" s="18" t="str">
        <f>""</f>
        <v/>
      </c>
    </row>
    <row r="507" spans="1:39" ht="13.5" customHeight="1" x14ac:dyDescent="0.25">
      <c r="A507" s="29" t="s">
        <v>197</v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</row>
    <row r="508" spans="1:39" ht="15.75" customHeight="1" x14ac:dyDescent="0.25">
      <c r="A508" s="17" t="str">
        <f>IF('Step 11 - Board'!B5="","","Active")</f>
        <v/>
      </c>
      <c r="B508" s="18" t="str">
        <f>IF('Step 11 - Board'!B5="","",'Step 11 - Board'!B5)</f>
        <v/>
      </c>
      <c r="C508" s="18" t="str">
        <f>IF('Step 11 - Board'!B5="","",'Step 11 - Board'!B5)</f>
        <v/>
      </c>
      <c r="D508" s="17" t="str">
        <f>IF('Step 11 - Board'!B5="","",'Step 11 - Board'!G5)</f>
        <v/>
      </c>
      <c r="E508" s="17" t="str">
        <f>IF('Step 11 - Board'!B5="","",'Step 11 - Board'!H5)</f>
        <v/>
      </c>
      <c r="F508" s="18" t="str">
        <f>IF('Step 11 - Board'!B5="","",IF('Step 11 - Board'!C5="","","Fund Code"))</f>
        <v/>
      </c>
      <c r="G508" s="17" t="str">
        <f>IF('Step 11 - Board'!B5="","",IF('Step 11 - Board'!C5="","","Equals"))</f>
        <v/>
      </c>
      <c r="H508" s="18" t="str">
        <f>IF('Step 11 - Board'!B5="","",IF('Step 11 - Board'!C5="","",'Step 11 - Board'!C5))</f>
        <v/>
      </c>
      <c r="I508" s="18" t="str">
        <f>IF('Step 11 - Board'!B5="","","Organization Code")</f>
        <v/>
      </c>
      <c r="J508" s="17" t="str">
        <f>IF('Step 11 - Board'!B5="","","Equals")</f>
        <v/>
      </c>
      <c r="K508" s="18" t="str">
        <f>IF('Step 11 - Board'!B5="","",'Step 11 - Board'!D5)</f>
        <v/>
      </c>
      <c r="L508" s="18" t="str">
        <f>IF('Step 11 - Board'!B5="","","Other Criteria")</f>
        <v/>
      </c>
      <c r="M508" s="17" t="str">
        <f>IF('Step 11 - Board'!B5="","","Equals")</f>
        <v/>
      </c>
      <c r="N508" s="18" t="str">
        <f>IF('Step 11 - Board'!B5="","",'Step 11 - Board'!E5)</f>
        <v/>
      </c>
      <c r="O508" s="18" t="str">
        <f>IF('Step 11 - Board'!B5="","",IF('Step 11 - Board'!F5="","","Total"))</f>
        <v/>
      </c>
      <c r="P508" s="17" t="str">
        <f>IF('Step 11 - Board'!B5="","",IF('Step 11 - Board'!F5="","","&gt;="))</f>
        <v/>
      </c>
      <c r="Q508" s="18" t="str">
        <f>IF('Step 11 - Board'!B5="","",IF('Step 11 - Board'!F5="","",'Step 11 - Board'!F5))</f>
        <v/>
      </c>
      <c r="R508" s="18" t="str">
        <f>""</f>
        <v/>
      </c>
      <c r="S508" s="18" t="str">
        <f>""</f>
        <v/>
      </c>
      <c r="T508" s="18" t="str">
        <f>""</f>
        <v/>
      </c>
      <c r="U508" s="18" t="str">
        <f>IF('Step 11 - Board'!B5="","",'Step 11 - Board'!I5)</f>
        <v/>
      </c>
      <c r="V508" s="17" t="str">
        <f>IF('Step 11 - Board'!B5="","",'Step 11 - Board'!K5)</f>
        <v/>
      </c>
      <c r="W508" s="18" t="str">
        <f>IF('Step 11 - Board'!B5="","",'Step 11 - Board'!L5)</f>
        <v/>
      </c>
      <c r="X508" s="17" t="str">
        <f>IF('Step 11 - Board'!B5="","",'Step 11 - Board'!N5)</f>
        <v/>
      </c>
      <c r="Y508" s="18" t="str">
        <f>""</f>
        <v/>
      </c>
      <c r="Z508" s="18" t="str">
        <f>""</f>
        <v/>
      </c>
      <c r="AA508" s="18" t="str">
        <f>""</f>
        <v/>
      </c>
      <c r="AB508" s="18" t="str">
        <f>""</f>
        <v/>
      </c>
      <c r="AC508" s="18" t="str">
        <f>""</f>
        <v/>
      </c>
      <c r="AD508" s="18" t="str">
        <f>""</f>
        <v/>
      </c>
      <c r="AE508" s="18" t="str">
        <f>""</f>
        <v/>
      </c>
      <c r="AF508" s="18" t="str">
        <f>""</f>
        <v/>
      </c>
      <c r="AG508" s="18" t="str">
        <f>""</f>
        <v/>
      </c>
      <c r="AH508" s="18" t="str">
        <f>""</f>
        <v/>
      </c>
      <c r="AI508" s="18" t="str">
        <f>""</f>
        <v/>
      </c>
      <c r="AJ508" s="18" t="str">
        <f>""</f>
        <v/>
      </c>
      <c r="AK508" s="18" t="str">
        <f>""</f>
        <v/>
      </c>
      <c r="AL508" s="18" t="str">
        <f>""</f>
        <v/>
      </c>
      <c r="AM508" s="18" t="str">
        <f>""</f>
        <v/>
      </c>
    </row>
    <row r="509" spans="1:39" ht="15.75" customHeight="1" x14ac:dyDescent="0.25">
      <c r="A509" s="19" t="str">
        <f>IF('Step 11 - Board'!B6="","","Active")</f>
        <v/>
      </c>
      <c r="B509" s="20" t="str">
        <f>IF('Step 11 - Board'!B6="","",'Step 11 - Board'!B6)</f>
        <v/>
      </c>
      <c r="C509" s="20" t="str">
        <f>IF('Step 11 - Board'!B6="","",'Step 11 - Board'!B6)</f>
        <v/>
      </c>
      <c r="D509" s="19" t="str">
        <f>IF('Step 11 - Board'!B6="","",'Step 11 - Board'!G6)</f>
        <v/>
      </c>
      <c r="E509" s="19" t="str">
        <f>IF('Step 11 - Board'!B6="","",'Step 11 - Board'!H6)</f>
        <v/>
      </c>
      <c r="F509" s="20" t="str">
        <f>IF('Step 11 - Board'!B6="","",IF('Step 11 - Board'!C6="","","Fund Code"))</f>
        <v/>
      </c>
      <c r="G509" s="19" t="str">
        <f>IF('Step 11 - Board'!B6="","",IF('Step 11 - Board'!C6="","","Equals"))</f>
        <v/>
      </c>
      <c r="H509" s="20" t="str">
        <f>IF('Step 11 - Board'!B6="","",IF('Step 11 - Board'!C6="","",'Step 11 - Board'!C6))</f>
        <v/>
      </c>
      <c r="I509" s="20" t="str">
        <f>IF('Step 11 - Board'!B6="","","Organization Code")</f>
        <v/>
      </c>
      <c r="J509" s="19" t="str">
        <f>IF('Step 11 - Board'!B6="","","Equals")</f>
        <v/>
      </c>
      <c r="K509" s="20" t="str">
        <f>IF('Step 11 - Board'!B6="","",'Step 11 - Board'!D6)</f>
        <v/>
      </c>
      <c r="L509" s="20" t="str">
        <f>IF('Step 11 - Board'!B6="","","Other Criteria")</f>
        <v/>
      </c>
      <c r="M509" s="19" t="str">
        <f>IF('Step 11 - Board'!B6="","","Equals")</f>
        <v/>
      </c>
      <c r="N509" s="20" t="str">
        <f>IF('Step 11 - Board'!B6="","",'Step 11 - Board'!E6)</f>
        <v/>
      </c>
      <c r="O509" s="20" t="str">
        <f>IF('Step 11 - Board'!B6="","",IF('Step 11 - Board'!F6="","","Total"))</f>
        <v/>
      </c>
      <c r="P509" s="19" t="str">
        <f>IF('Step 11 - Board'!B6="","",IF('Step 11 - Board'!F6="","","&gt;="))</f>
        <v/>
      </c>
      <c r="Q509" s="20" t="str">
        <f>IF('Step 11 - Board'!B6="","",IF('Step 11 - Board'!F6="","",'Step 11 - Board'!F6))</f>
        <v/>
      </c>
      <c r="R509" s="20" t="str">
        <f>""</f>
        <v/>
      </c>
      <c r="S509" s="20" t="str">
        <f>""</f>
        <v/>
      </c>
      <c r="T509" s="20" t="str">
        <f>""</f>
        <v/>
      </c>
      <c r="U509" s="20" t="str">
        <f>IF('Step 11 - Board'!B6="","",'Step 11 - Board'!I6)</f>
        <v/>
      </c>
      <c r="V509" s="19" t="str">
        <f>IF('Step 11 - Board'!B6="","",'Step 11 - Board'!K6)</f>
        <v/>
      </c>
      <c r="W509" s="20" t="str">
        <f>IF('Step 11 - Board'!B6="","",'Step 11 - Board'!L6)</f>
        <v/>
      </c>
      <c r="X509" s="19" t="str">
        <f>IF('Step 11 - Board'!B6="","",'Step 11 - Board'!N6)</f>
        <v/>
      </c>
      <c r="Y509" s="20" t="str">
        <f>""</f>
        <v/>
      </c>
      <c r="Z509" s="20" t="str">
        <f>""</f>
        <v/>
      </c>
      <c r="AA509" s="20" t="str">
        <f>""</f>
        <v/>
      </c>
      <c r="AB509" s="20" t="str">
        <f>""</f>
        <v/>
      </c>
      <c r="AC509" s="20" t="str">
        <f>""</f>
        <v/>
      </c>
      <c r="AD509" s="20" t="str">
        <f>""</f>
        <v/>
      </c>
      <c r="AE509" s="20" t="str">
        <f>""</f>
        <v/>
      </c>
      <c r="AF509" s="20" t="str">
        <f>""</f>
        <v/>
      </c>
      <c r="AG509" s="20" t="str">
        <f>""</f>
        <v/>
      </c>
      <c r="AH509" s="20" t="str">
        <f>""</f>
        <v/>
      </c>
      <c r="AI509" s="20" t="str">
        <f>""</f>
        <v/>
      </c>
      <c r="AJ509" s="20" t="str">
        <f>""</f>
        <v/>
      </c>
      <c r="AK509" s="20" t="str">
        <f>""</f>
        <v/>
      </c>
      <c r="AL509" s="20" t="str">
        <f>""</f>
        <v/>
      </c>
      <c r="AM509" s="20" t="str">
        <f>""</f>
        <v/>
      </c>
    </row>
    <row r="510" spans="1:39" ht="15.75" customHeight="1" x14ac:dyDescent="0.25">
      <c r="A510" s="17" t="str">
        <f>IF('Step 11 - Board'!B7="","","Active")</f>
        <v/>
      </c>
      <c r="B510" s="18" t="str">
        <f>IF('Step 11 - Board'!B7="","",'Step 11 - Board'!B7)</f>
        <v/>
      </c>
      <c r="C510" s="18" t="str">
        <f>IF('Step 11 - Board'!B7="","",'Step 11 - Board'!B7)</f>
        <v/>
      </c>
      <c r="D510" s="17" t="str">
        <f>IF('Step 11 - Board'!B7="","",'Step 11 - Board'!G7)</f>
        <v/>
      </c>
      <c r="E510" s="17" t="str">
        <f>IF('Step 11 - Board'!B7="","",'Step 11 - Board'!H7)</f>
        <v/>
      </c>
      <c r="F510" s="18" t="str">
        <f>IF('Step 11 - Board'!B7="","",IF('Step 11 - Board'!C7="","","Fund Code"))</f>
        <v/>
      </c>
      <c r="G510" s="17" t="str">
        <f>IF('Step 11 - Board'!B7="","",IF('Step 11 - Board'!C7="","","Equals"))</f>
        <v/>
      </c>
      <c r="H510" s="18" t="str">
        <f>IF('Step 11 - Board'!B7="","",IF('Step 11 - Board'!C7="","",'Step 11 - Board'!C7))</f>
        <v/>
      </c>
      <c r="I510" s="18" t="str">
        <f>IF('Step 11 - Board'!B7="","","Organization Code")</f>
        <v/>
      </c>
      <c r="J510" s="17" t="str">
        <f>IF('Step 11 - Board'!B7="","","Equals")</f>
        <v/>
      </c>
      <c r="K510" s="18" t="str">
        <f>IF('Step 11 - Board'!B7="","",'Step 11 - Board'!D7)</f>
        <v/>
      </c>
      <c r="L510" s="18" t="str">
        <f>IF('Step 11 - Board'!B7="","","Other Criteria")</f>
        <v/>
      </c>
      <c r="M510" s="17" t="str">
        <f>IF('Step 11 - Board'!B7="","","Equals")</f>
        <v/>
      </c>
      <c r="N510" s="18" t="str">
        <f>IF('Step 11 - Board'!B7="","",'Step 11 - Board'!E7)</f>
        <v/>
      </c>
      <c r="O510" s="18" t="str">
        <f>IF('Step 11 - Board'!B7="","",IF('Step 11 - Board'!F7="","","Total"))</f>
        <v/>
      </c>
      <c r="P510" s="17" t="str">
        <f>IF('Step 11 - Board'!B7="","",IF('Step 11 - Board'!F7="","","&gt;="))</f>
        <v/>
      </c>
      <c r="Q510" s="18" t="str">
        <f>IF('Step 11 - Board'!B7="","",IF('Step 11 - Board'!F7="","",'Step 11 - Board'!F7))</f>
        <v/>
      </c>
      <c r="R510" s="18" t="str">
        <f>""</f>
        <v/>
      </c>
      <c r="S510" s="18" t="str">
        <f>""</f>
        <v/>
      </c>
      <c r="T510" s="18" t="str">
        <f>""</f>
        <v/>
      </c>
      <c r="U510" s="18" t="str">
        <f>IF('Step 11 - Board'!B7="","",'Step 11 - Board'!I7)</f>
        <v/>
      </c>
      <c r="V510" s="17" t="str">
        <f>IF('Step 11 - Board'!B7="","",'Step 11 - Board'!K7)</f>
        <v/>
      </c>
      <c r="W510" s="18" t="str">
        <f>IF('Step 11 - Board'!B7="","",'Step 11 - Board'!L7)</f>
        <v/>
      </c>
      <c r="X510" s="17" t="str">
        <f>IF('Step 11 - Board'!B7="","",'Step 11 - Board'!N7)</f>
        <v/>
      </c>
      <c r="Y510" s="18" t="str">
        <f>""</f>
        <v/>
      </c>
      <c r="Z510" s="18" t="str">
        <f>""</f>
        <v/>
      </c>
      <c r="AA510" s="18" t="str">
        <f>""</f>
        <v/>
      </c>
      <c r="AB510" s="18" t="str">
        <f>""</f>
        <v/>
      </c>
      <c r="AC510" s="18" t="str">
        <f>""</f>
        <v/>
      </c>
      <c r="AD510" s="18" t="str">
        <f>""</f>
        <v/>
      </c>
      <c r="AE510" s="18" t="str">
        <f>""</f>
        <v/>
      </c>
      <c r="AF510" s="18" t="str">
        <f>""</f>
        <v/>
      </c>
      <c r="AG510" s="18" t="str">
        <f>""</f>
        <v/>
      </c>
      <c r="AH510" s="18" t="str">
        <f>""</f>
        <v/>
      </c>
      <c r="AI510" s="18" t="str">
        <f>""</f>
        <v/>
      </c>
      <c r="AJ510" s="18" t="str">
        <f>""</f>
        <v/>
      </c>
      <c r="AK510" s="18" t="str">
        <f>""</f>
        <v/>
      </c>
      <c r="AL510" s="18" t="str">
        <f>""</f>
        <v/>
      </c>
      <c r="AM510" s="18" t="str">
        <f>""</f>
        <v/>
      </c>
    </row>
    <row r="511" spans="1:39" ht="15.75" customHeight="1" x14ac:dyDescent="0.25">
      <c r="A511" s="19" t="str">
        <f>IF('Step 11 - Board'!B8="","","Active")</f>
        <v/>
      </c>
      <c r="B511" s="20" t="str">
        <f>IF('Step 11 - Board'!B8="","",'Step 11 - Board'!B8)</f>
        <v/>
      </c>
      <c r="C511" s="20" t="str">
        <f>IF('Step 11 - Board'!B8="","",'Step 11 - Board'!B8)</f>
        <v/>
      </c>
      <c r="D511" s="19" t="str">
        <f>IF('Step 11 - Board'!B8="","",'Step 11 - Board'!G8)</f>
        <v/>
      </c>
      <c r="E511" s="19" t="str">
        <f>IF('Step 11 - Board'!B8="","",'Step 11 - Board'!H8)</f>
        <v/>
      </c>
      <c r="F511" s="20" t="str">
        <f>IF('Step 11 - Board'!B8="","",IF('Step 11 - Board'!C8="","","Fund Code"))</f>
        <v/>
      </c>
      <c r="G511" s="19" t="str">
        <f>IF('Step 11 - Board'!B8="","",IF('Step 11 - Board'!C8="","","Equals"))</f>
        <v/>
      </c>
      <c r="H511" s="20" t="str">
        <f>IF('Step 11 - Board'!B8="","",IF('Step 11 - Board'!C8="","",'Step 11 - Board'!C8))</f>
        <v/>
      </c>
      <c r="I511" s="20" t="str">
        <f>IF('Step 11 - Board'!B8="","","Organization Code")</f>
        <v/>
      </c>
      <c r="J511" s="19" t="str">
        <f>IF('Step 11 - Board'!B8="","","Equals")</f>
        <v/>
      </c>
      <c r="K511" s="20" t="str">
        <f>IF('Step 11 - Board'!B8="","",'Step 11 - Board'!D8)</f>
        <v/>
      </c>
      <c r="L511" s="20" t="str">
        <f>IF('Step 11 - Board'!B8="","","Other Criteria")</f>
        <v/>
      </c>
      <c r="M511" s="19" t="str">
        <f>IF('Step 11 - Board'!B8="","","Equals")</f>
        <v/>
      </c>
      <c r="N511" s="20" t="str">
        <f>IF('Step 11 - Board'!B8="","",'Step 11 - Board'!E8)</f>
        <v/>
      </c>
      <c r="O511" s="20" t="str">
        <f>IF('Step 11 - Board'!B8="","",IF('Step 11 - Board'!F8="","","Total"))</f>
        <v/>
      </c>
      <c r="P511" s="19" t="str">
        <f>IF('Step 11 - Board'!B8="","",IF('Step 11 - Board'!F8="","","&gt;="))</f>
        <v/>
      </c>
      <c r="Q511" s="20" t="str">
        <f>IF('Step 11 - Board'!B8="","",IF('Step 11 - Board'!F8="","",'Step 11 - Board'!F8))</f>
        <v/>
      </c>
      <c r="R511" s="20" t="str">
        <f>""</f>
        <v/>
      </c>
      <c r="S511" s="20" t="str">
        <f>""</f>
        <v/>
      </c>
      <c r="T511" s="20" t="str">
        <f>""</f>
        <v/>
      </c>
      <c r="U511" s="20" t="str">
        <f>IF('Step 11 - Board'!B8="","",'Step 11 - Board'!I8)</f>
        <v/>
      </c>
      <c r="V511" s="19" t="str">
        <f>IF('Step 11 - Board'!B8="","",'Step 11 - Board'!K8)</f>
        <v/>
      </c>
      <c r="W511" s="20" t="str">
        <f>IF('Step 11 - Board'!B8="","",'Step 11 - Board'!L8)</f>
        <v/>
      </c>
      <c r="X511" s="19" t="str">
        <f>IF('Step 11 - Board'!B8="","",'Step 11 - Board'!N8)</f>
        <v/>
      </c>
      <c r="Y511" s="20" t="str">
        <f>""</f>
        <v/>
      </c>
      <c r="Z511" s="20" t="str">
        <f>""</f>
        <v/>
      </c>
      <c r="AA511" s="20" t="str">
        <f>""</f>
        <v/>
      </c>
      <c r="AB511" s="20" t="str">
        <f>""</f>
        <v/>
      </c>
      <c r="AC511" s="20" t="str">
        <f>""</f>
        <v/>
      </c>
      <c r="AD511" s="20" t="str">
        <f>""</f>
        <v/>
      </c>
      <c r="AE511" s="20" t="str">
        <f>""</f>
        <v/>
      </c>
      <c r="AF511" s="20" t="str">
        <f>""</f>
        <v/>
      </c>
      <c r="AG511" s="20" t="str">
        <f>""</f>
        <v/>
      </c>
      <c r="AH511" s="20" t="str">
        <f>""</f>
        <v/>
      </c>
      <c r="AI511" s="20" t="str">
        <f>""</f>
        <v/>
      </c>
      <c r="AJ511" s="20" t="str">
        <f>""</f>
        <v/>
      </c>
      <c r="AK511" s="20" t="str">
        <f>""</f>
        <v/>
      </c>
      <c r="AL511" s="20" t="str">
        <f>""</f>
        <v/>
      </c>
      <c r="AM511" s="20" t="str">
        <f>""</f>
        <v/>
      </c>
    </row>
    <row r="512" spans="1:39" ht="15.75" customHeight="1" x14ac:dyDescent="0.25">
      <c r="A512" s="17" t="str">
        <f>IF('Step 11 - Board'!B9="","","Active")</f>
        <v/>
      </c>
      <c r="B512" s="18" t="str">
        <f>IF('Step 11 - Board'!B9="","",'Step 11 - Board'!B9)</f>
        <v/>
      </c>
      <c r="C512" s="18" t="str">
        <f>IF('Step 11 - Board'!B9="","",'Step 11 - Board'!B9)</f>
        <v/>
      </c>
      <c r="D512" s="17" t="str">
        <f>IF('Step 11 - Board'!B9="","",'Step 11 - Board'!G9)</f>
        <v/>
      </c>
      <c r="E512" s="17" t="str">
        <f>IF('Step 11 - Board'!B9="","",'Step 11 - Board'!H9)</f>
        <v/>
      </c>
      <c r="F512" s="18" t="str">
        <f>IF('Step 11 - Board'!B9="","",IF('Step 11 - Board'!C9="","","Fund Code"))</f>
        <v/>
      </c>
      <c r="G512" s="17" t="str">
        <f>IF('Step 11 - Board'!B9="","",IF('Step 11 - Board'!C9="","","Equals"))</f>
        <v/>
      </c>
      <c r="H512" s="18" t="str">
        <f>IF('Step 11 - Board'!B9="","",IF('Step 11 - Board'!C9="","",'Step 11 - Board'!C9))</f>
        <v/>
      </c>
      <c r="I512" s="18" t="str">
        <f>IF('Step 11 - Board'!B9="","","Organization Code")</f>
        <v/>
      </c>
      <c r="J512" s="17" t="str">
        <f>IF('Step 11 - Board'!B9="","","Equals")</f>
        <v/>
      </c>
      <c r="K512" s="18" t="str">
        <f>IF('Step 11 - Board'!B9="","",'Step 11 - Board'!D9)</f>
        <v/>
      </c>
      <c r="L512" s="18" t="str">
        <f>IF('Step 11 - Board'!B9="","","Other Criteria")</f>
        <v/>
      </c>
      <c r="M512" s="17" t="str">
        <f>IF('Step 11 - Board'!B9="","","Equals")</f>
        <v/>
      </c>
      <c r="N512" s="18" t="str">
        <f>IF('Step 11 - Board'!B9="","",'Step 11 - Board'!E9)</f>
        <v/>
      </c>
      <c r="O512" s="18" t="str">
        <f>IF('Step 11 - Board'!B9="","",IF('Step 11 - Board'!F9="","","Total"))</f>
        <v/>
      </c>
      <c r="P512" s="17" t="str">
        <f>IF('Step 11 - Board'!B9="","",IF('Step 11 - Board'!F9="","","&gt;="))</f>
        <v/>
      </c>
      <c r="Q512" s="18" t="str">
        <f>IF('Step 11 - Board'!B9="","",IF('Step 11 - Board'!F9="","",'Step 11 - Board'!F9))</f>
        <v/>
      </c>
      <c r="R512" s="18" t="str">
        <f>""</f>
        <v/>
      </c>
      <c r="S512" s="18" t="str">
        <f>""</f>
        <v/>
      </c>
      <c r="T512" s="18" t="str">
        <f>""</f>
        <v/>
      </c>
      <c r="U512" s="18" t="str">
        <f>IF('Step 11 - Board'!B9="","",'Step 11 - Board'!I9)</f>
        <v/>
      </c>
      <c r="V512" s="17" t="str">
        <f>IF('Step 11 - Board'!B9="","",'Step 11 - Board'!K9)</f>
        <v/>
      </c>
      <c r="W512" s="18" t="str">
        <f>IF('Step 11 - Board'!B9="","",'Step 11 - Board'!L9)</f>
        <v/>
      </c>
      <c r="X512" s="17" t="str">
        <f>IF('Step 11 - Board'!B9="","",'Step 11 - Board'!N9)</f>
        <v/>
      </c>
      <c r="Y512" s="18" t="str">
        <f>""</f>
        <v/>
      </c>
      <c r="Z512" s="18" t="str">
        <f>""</f>
        <v/>
      </c>
      <c r="AA512" s="18" t="str">
        <f>""</f>
        <v/>
      </c>
      <c r="AB512" s="18" t="str">
        <f>""</f>
        <v/>
      </c>
      <c r="AC512" s="18" t="str">
        <f>""</f>
        <v/>
      </c>
      <c r="AD512" s="18" t="str">
        <f>""</f>
        <v/>
      </c>
      <c r="AE512" s="18" t="str">
        <f>""</f>
        <v/>
      </c>
      <c r="AF512" s="18" t="str">
        <f>""</f>
        <v/>
      </c>
      <c r="AG512" s="18" t="str">
        <f>""</f>
        <v/>
      </c>
      <c r="AH512" s="18" t="str">
        <f>""</f>
        <v/>
      </c>
      <c r="AI512" s="18" t="str">
        <f>""</f>
        <v/>
      </c>
      <c r="AJ512" s="18" t="str">
        <f>""</f>
        <v/>
      </c>
      <c r="AK512" s="18" t="str">
        <f>""</f>
        <v/>
      </c>
      <c r="AL512" s="18" t="str">
        <f>""</f>
        <v/>
      </c>
      <c r="AM512" s="18" t="str">
        <f>""</f>
        <v/>
      </c>
    </row>
    <row r="513" spans="1:39" ht="15.75" customHeight="1" x14ac:dyDescent="0.25">
      <c r="A513" s="19" t="str">
        <f>IF('Step 11 - Board'!B10="","","Active")</f>
        <v/>
      </c>
      <c r="B513" s="20" t="str">
        <f>IF('Step 11 - Board'!B10="","",'Step 11 - Board'!B10)</f>
        <v/>
      </c>
      <c r="C513" s="20" t="str">
        <f>IF('Step 11 - Board'!B10="","",'Step 11 - Board'!B10)</f>
        <v/>
      </c>
      <c r="D513" s="19" t="str">
        <f>IF('Step 11 - Board'!B10="","",'Step 11 - Board'!G10)</f>
        <v/>
      </c>
      <c r="E513" s="19" t="str">
        <f>IF('Step 11 - Board'!B10="","",'Step 11 - Board'!H10)</f>
        <v/>
      </c>
      <c r="F513" s="20" t="str">
        <f>IF('Step 11 - Board'!B10="","",IF('Step 11 - Board'!C10="","","Fund Code"))</f>
        <v/>
      </c>
      <c r="G513" s="19" t="str">
        <f>IF('Step 11 - Board'!B10="","",IF('Step 11 - Board'!C10="","","Equals"))</f>
        <v/>
      </c>
      <c r="H513" s="20" t="str">
        <f>IF('Step 11 - Board'!B10="","",IF('Step 11 - Board'!C10="","",'Step 11 - Board'!C10))</f>
        <v/>
      </c>
      <c r="I513" s="20" t="str">
        <f>IF('Step 11 - Board'!B10="","","Organization Code")</f>
        <v/>
      </c>
      <c r="J513" s="19" t="str">
        <f>IF('Step 11 - Board'!B10="","","Equals")</f>
        <v/>
      </c>
      <c r="K513" s="20" t="str">
        <f>IF('Step 11 - Board'!B10="","",'Step 11 - Board'!D10)</f>
        <v/>
      </c>
      <c r="L513" s="20" t="str">
        <f>IF('Step 11 - Board'!B10="","","Other Criteria")</f>
        <v/>
      </c>
      <c r="M513" s="19" t="str">
        <f>IF('Step 11 - Board'!B10="","","Equals")</f>
        <v/>
      </c>
      <c r="N513" s="20" t="str">
        <f>IF('Step 11 - Board'!B10="","",'Step 11 - Board'!E10)</f>
        <v/>
      </c>
      <c r="O513" s="20" t="str">
        <f>IF('Step 11 - Board'!B10="","",IF('Step 11 - Board'!F10="","","Total"))</f>
        <v/>
      </c>
      <c r="P513" s="19" t="str">
        <f>IF('Step 11 - Board'!B10="","",IF('Step 11 - Board'!F10="","","&gt;="))</f>
        <v/>
      </c>
      <c r="Q513" s="20" t="str">
        <f>IF('Step 11 - Board'!B10="","",IF('Step 11 - Board'!F10="","",'Step 11 - Board'!F10))</f>
        <v/>
      </c>
      <c r="R513" s="20" t="str">
        <f>""</f>
        <v/>
      </c>
      <c r="S513" s="20" t="str">
        <f>""</f>
        <v/>
      </c>
      <c r="T513" s="20" t="str">
        <f>""</f>
        <v/>
      </c>
      <c r="U513" s="20" t="str">
        <f>IF('Step 11 - Board'!B10="","",'Step 11 - Board'!I10)</f>
        <v/>
      </c>
      <c r="V513" s="19" t="str">
        <f>IF('Step 11 - Board'!B10="","",'Step 11 - Board'!K10)</f>
        <v/>
      </c>
      <c r="W513" s="20" t="str">
        <f>IF('Step 11 - Board'!B10="","",'Step 11 - Board'!L10)</f>
        <v/>
      </c>
      <c r="X513" s="19" t="str">
        <f>IF('Step 11 - Board'!B10="","",'Step 11 - Board'!N10)</f>
        <v/>
      </c>
      <c r="Y513" s="20" t="str">
        <f>""</f>
        <v/>
      </c>
      <c r="Z513" s="20" t="str">
        <f>""</f>
        <v/>
      </c>
      <c r="AA513" s="20" t="str">
        <f>""</f>
        <v/>
      </c>
      <c r="AB513" s="20" t="str">
        <f>""</f>
        <v/>
      </c>
      <c r="AC513" s="20" t="str">
        <f>""</f>
        <v/>
      </c>
      <c r="AD513" s="20" t="str">
        <f>""</f>
        <v/>
      </c>
      <c r="AE513" s="20" t="str">
        <f>""</f>
        <v/>
      </c>
      <c r="AF513" s="20" t="str">
        <f>""</f>
        <v/>
      </c>
      <c r="AG513" s="20" t="str">
        <f>""</f>
        <v/>
      </c>
      <c r="AH513" s="20" t="str">
        <f>""</f>
        <v/>
      </c>
      <c r="AI513" s="20" t="str">
        <f>""</f>
        <v/>
      </c>
      <c r="AJ513" s="20" t="str">
        <f>""</f>
        <v/>
      </c>
      <c r="AK513" s="20" t="str">
        <f>""</f>
        <v/>
      </c>
      <c r="AL513" s="20" t="str">
        <f>""</f>
        <v/>
      </c>
      <c r="AM513" s="20" t="str">
        <f>""</f>
        <v/>
      </c>
    </row>
    <row r="514" spans="1:39" ht="15.75" customHeight="1" x14ac:dyDescent="0.25">
      <c r="A514" s="17" t="str">
        <f>IF('Step 11 - Board'!B11="","","Active")</f>
        <v/>
      </c>
      <c r="B514" s="18" t="str">
        <f>IF('Step 11 - Board'!B11="","",'Step 11 - Board'!B11)</f>
        <v/>
      </c>
      <c r="C514" s="18" t="str">
        <f>IF('Step 11 - Board'!B11="","",'Step 11 - Board'!B11)</f>
        <v/>
      </c>
      <c r="D514" s="17" t="str">
        <f>IF('Step 11 - Board'!B11="","",'Step 11 - Board'!G11)</f>
        <v/>
      </c>
      <c r="E514" s="17" t="str">
        <f>IF('Step 11 - Board'!B11="","",'Step 11 - Board'!H11)</f>
        <v/>
      </c>
      <c r="F514" s="18" t="str">
        <f>IF('Step 11 - Board'!B11="","",IF('Step 11 - Board'!C11="","","Fund Code"))</f>
        <v/>
      </c>
      <c r="G514" s="17" t="str">
        <f>IF('Step 11 - Board'!B11="","",IF('Step 11 - Board'!C11="","","Equals"))</f>
        <v/>
      </c>
      <c r="H514" s="18" t="str">
        <f>IF('Step 11 - Board'!B11="","",IF('Step 11 - Board'!C11="","",'Step 11 - Board'!C11))</f>
        <v/>
      </c>
      <c r="I514" s="18" t="str">
        <f>IF('Step 11 - Board'!B11="","","Organization Code")</f>
        <v/>
      </c>
      <c r="J514" s="17" t="str">
        <f>IF('Step 11 - Board'!B11="","","Equals")</f>
        <v/>
      </c>
      <c r="K514" s="18" t="str">
        <f>IF('Step 11 - Board'!B11="","",'Step 11 - Board'!D11)</f>
        <v/>
      </c>
      <c r="L514" s="18" t="str">
        <f>IF('Step 11 - Board'!B11="","","Other Criteria")</f>
        <v/>
      </c>
      <c r="M514" s="17" t="str">
        <f>IF('Step 11 - Board'!B11="","","Equals")</f>
        <v/>
      </c>
      <c r="N514" s="18" t="str">
        <f>IF('Step 11 - Board'!B11="","",'Step 11 - Board'!E11)</f>
        <v/>
      </c>
      <c r="O514" s="18" t="str">
        <f>IF('Step 11 - Board'!B11="","",IF('Step 11 - Board'!F11="","","Total"))</f>
        <v/>
      </c>
      <c r="P514" s="17" t="str">
        <f>IF('Step 11 - Board'!B11="","",IF('Step 11 - Board'!F11="","","&gt;="))</f>
        <v/>
      </c>
      <c r="Q514" s="18" t="str">
        <f>IF('Step 11 - Board'!B11="","",IF('Step 11 - Board'!F11="","",'Step 11 - Board'!F11))</f>
        <v/>
      </c>
      <c r="R514" s="18" t="str">
        <f>""</f>
        <v/>
      </c>
      <c r="S514" s="18" t="str">
        <f>""</f>
        <v/>
      </c>
      <c r="T514" s="18" t="str">
        <f>""</f>
        <v/>
      </c>
      <c r="U514" s="18" t="str">
        <f>IF('Step 11 - Board'!B11="","",'Step 11 - Board'!I11)</f>
        <v/>
      </c>
      <c r="V514" s="17" t="str">
        <f>IF('Step 11 - Board'!B11="","",'Step 11 - Board'!K11)</f>
        <v/>
      </c>
      <c r="W514" s="18" t="str">
        <f>IF('Step 11 - Board'!B11="","",'Step 11 - Board'!L11)</f>
        <v/>
      </c>
      <c r="X514" s="17" t="str">
        <f>IF('Step 11 - Board'!B11="","",'Step 11 - Board'!N11)</f>
        <v/>
      </c>
      <c r="Y514" s="18" t="str">
        <f>""</f>
        <v/>
      </c>
      <c r="Z514" s="18" t="str">
        <f>""</f>
        <v/>
      </c>
      <c r="AA514" s="18" t="str">
        <f>""</f>
        <v/>
      </c>
      <c r="AB514" s="18" t="str">
        <f>""</f>
        <v/>
      </c>
      <c r="AC514" s="18" t="str">
        <f>""</f>
        <v/>
      </c>
      <c r="AD514" s="18" t="str">
        <f>""</f>
        <v/>
      </c>
      <c r="AE514" s="18" t="str">
        <f>""</f>
        <v/>
      </c>
      <c r="AF514" s="18" t="str">
        <f>""</f>
        <v/>
      </c>
      <c r="AG514" s="18" t="str">
        <f>""</f>
        <v/>
      </c>
      <c r="AH514" s="18" t="str">
        <f>""</f>
        <v/>
      </c>
      <c r="AI514" s="18" t="str">
        <f>""</f>
        <v/>
      </c>
      <c r="AJ514" s="18" t="str">
        <f>""</f>
        <v/>
      </c>
      <c r="AK514" s="18" t="str">
        <f>""</f>
        <v/>
      </c>
      <c r="AL514" s="18" t="str">
        <f>""</f>
        <v/>
      </c>
      <c r="AM514" s="18" t="str">
        <f>""</f>
        <v/>
      </c>
    </row>
    <row r="515" spans="1:39" ht="15.75" customHeight="1" x14ac:dyDescent="0.25">
      <c r="A515" s="19" t="str">
        <f>IF('Step 11 - Board'!B12="","","Active")</f>
        <v/>
      </c>
      <c r="B515" s="20" t="str">
        <f>IF('Step 11 - Board'!B12="","",'Step 11 - Board'!B12)</f>
        <v/>
      </c>
      <c r="C515" s="20" t="str">
        <f>IF('Step 11 - Board'!B12="","",'Step 11 - Board'!B12)</f>
        <v/>
      </c>
      <c r="D515" s="19" t="str">
        <f>IF('Step 11 - Board'!B12="","",'Step 11 - Board'!G12)</f>
        <v/>
      </c>
      <c r="E515" s="19" t="str">
        <f>IF('Step 11 - Board'!B12="","",'Step 11 - Board'!H12)</f>
        <v/>
      </c>
      <c r="F515" s="20" t="str">
        <f>IF('Step 11 - Board'!B12="","",IF('Step 11 - Board'!C12="","","Fund Code"))</f>
        <v/>
      </c>
      <c r="G515" s="19" t="str">
        <f>IF('Step 11 - Board'!B12="","",IF('Step 11 - Board'!C12="","","Equals"))</f>
        <v/>
      </c>
      <c r="H515" s="20" t="str">
        <f>IF('Step 11 - Board'!B12="","",IF('Step 11 - Board'!C12="","",'Step 11 - Board'!C12))</f>
        <v/>
      </c>
      <c r="I515" s="20" t="str">
        <f>IF('Step 11 - Board'!B12="","","Organization Code")</f>
        <v/>
      </c>
      <c r="J515" s="19" t="str">
        <f>IF('Step 11 - Board'!B12="","","Equals")</f>
        <v/>
      </c>
      <c r="K515" s="20" t="str">
        <f>IF('Step 11 - Board'!B12="","",'Step 11 - Board'!D12)</f>
        <v/>
      </c>
      <c r="L515" s="20" t="str">
        <f>IF('Step 11 - Board'!B12="","","Other Criteria")</f>
        <v/>
      </c>
      <c r="M515" s="19" t="str">
        <f>IF('Step 11 - Board'!B12="","","Equals")</f>
        <v/>
      </c>
      <c r="N515" s="20" t="str">
        <f>IF('Step 11 - Board'!B12="","",'Step 11 - Board'!E12)</f>
        <v/>
      </c>
      <c r="O515" s="20" t="str">
        <f>IF('Step 11 - Board'!B12="","",IF('Step 11 - Board'!F12="","","Total"))</f>
        <v/>
      </c>
      <c r="P515" s="19" t="str">
        <f>IF('Step 11 - Board'!B12="","",IF('Step 11 - Board'!F12="","","&gt;="))</f>
        <v/>
      </c>
      <c r="Q515" s="20" t="str">
        <f>IF('Step 11 - Board'!B12="","",IF('Step 11 - Board'!F12="","",'Step 11 - Board'!F12))</f>
        <v/>
      </c>
      <c r="R515" s="20" t="str">
        <f>""</f>
        <v/>
      </c>
      <c r="S515" s="20" t="str">
        <f>""</f>
        <v/>
      </c>
      <c r="T515" s="20" t="str">
        <f>""</f>
        <v/>
      </c>
      <c r="U515" s="20" t="str">
        <f>IF('Step 11 - Board'!B12="","",'Step 11 - Board'!I12)</f>
        <v/>
      </c>
      <c r="V515" s="19" t="str">
        <f>IF('Step 11 - Board'!B12="","",'Step 11 - Board'!K12)</f>
        <v/>
      </c>
      <c r="W515" s="20" t="str">
        <f>IF('Step 11 - Board'!B12="","",'Step 11 - Board'!L12)</f>
        <v/>
      </c>
      <c r="X515" s="19" t="str">
        <f>IF('Step 11 - Board'!B12="","",'Step 11 - Board'!N12)</f>
        <v/>
      </c>
      <c r="Y515" s="20" t="str">
        <f>""</f>
        <v/>
      </c>
      <c r="Z515" s="20" t="str">
        <f>""</f>
        <v/>
      </c>
      <c r="AA515" s="20" t="str">
        <f>""</f>
        <v/>
      </c>
      <c r="AB515" s="20" t="str">
        <f>""</f>
        <v/>
      </c>
      <c r="AC515" s="20" t="str">
        <f>""</f>
        <v/>
      </c>
      <c r="AD515" s="20" t="str">
        <f>""</f>
        <v/>
      </c>
      <c r="AE515" s="20" t="str">
        <f>""</f>
        <v/>
      </c>
      <c r="AF515" s="20" t="str">
        <f>""</f>
        <v/>
      </c>
      <c r="AG515" s="20" t="str">
        <f>""</f>
        <v/>
      </c>
      <c r="AH515" s="20" t="str">
        <f>""</f>
        <v/>
      </c>
      <c r="AI515" s="20" t="str">
        <f>""</f>
        <v/>
      </c>
      <c r="AJ515" s="20" t="str">
        <f>""</f>
        <v/>
      </c>
      <c r="AK515" s="20" t="str">
        <f>""</f>
        <v/>
      </c>
      <c r="AL515" s="20" t="str">
        <f>""</f>
        <v/>
      </c>
      <c r="AM515" s="20" t="str">
        <f>""</f>
        <v/>
      </c>
    </row>
    <row r="516" spans="1:39" ht="15.75" customHeight="1" x14ac:dyDescent="0.25">
      <c r="A516" s="17" t="str">
        <f>IF('Step 11 - Board'!B13="","","Active")</f>
        <v/>
      </c>
      <c r="B516" s="18" t="str">
        <f>IF('Step 11 - Board'!B13="","",'Step 11 - Board'!B13)</f>
        <v/>
      </c>
      <c r="C516" s="18" t="str">
        <f>IF('Step 11 - Board'!B13="","",'Step 11 - Board'!B13)</f>
        <v/>
      </c>
      <c r="D516" s="17" t="str">
        <f>IF('Step 11 - Board'!B13="","",'Step 11 - Board'!G13)</f>
        <v/>
      </c>
      <c r="E516" s="17" t="str">
        <f>IF('Step 11 - Board'!B13="","",'Step 11 - Board'!H13)</f>
        <v/>
      </c>
      <c r="F516" s="18" t="str">
        <f>IF('Step 11 - Board'!B13="","",IF('Step 11 - Board'!C13="","","Fund Code"))</f>
        <v/>
      </c>
      <c r="G516" s="17" t="str">
        <f>IF('Step 11 - Board'!B13="","",IF('Step 11 - Board'!C13="","","Equals"))</f>
        <v/>
      </c>
      <c r="H516" s="18" t="str">
        <f>IF('Step 11 - Board'!B13="","",IF('Step 11 - Board'!C13="","",'Step 11 - Board'!C13))</f>
        <v/>
      </c>
      <c r="I516" s="18" t="str">
        <f>IF('Step 11 - Board'!B13="","","Organization Code")</f>
        <v/>
      </c>
      <c r="J516" s="17" t="str">
        <f>IF('Step 11 - Board'!B13="","","Equals")</f>
        <v/>
      </c>
      <c r="K516" s="18" t="str">
        <f>IF('Step 11 - Board'!B13="","",'Step 11 - Board'!D13)</f>
        <v/>
      </c>
      <c r="L516" s="18" t="str">
        <f>IF('Step 11 - Board'!B13="","","Other Criteria")</f>
        <v/>
      </c>
      <c r="M516" s="17" t="str">
        <f>IF('Step 11 - Board'!B13="","","Equals")</f>
        <v/>
      </c>
      <c r="N516" s="18" t="str">
        <f>IF('Step 11 - Board'!B13="","",'Step 11 - Board'!E13)</f>
        <v/>
      </c>
      <c r="O516" s="18" t="str">
        <f>IF('Step 11 - Board'!B13="","",IF('Step 11 - Board'!F13="","","Total"))</f>
        <v/>
      </c>
      <c r="P516" s="17" t="str">
        <f>IF('Step 11 - Board'!B13="","",IF('Step 11 - Board'!F13="","","&gt;="))</f>
        <v/>
      </c>
      <c r="Q516" s="18" t="str">
        <f>IF('Step 11 - Board'!B13="","",IF('Step 11 - Board'!F13="","",'Step 11 - Board'!F13))</f>
        <v/>
      </c>
      <c r="R516" s="18" t="str">
        <f>""</f>
        <v/>
      </c>
      <c r="S516" s="18" t="str">
        <f>""</f>
        <v/>
      </c>
      <c r="T516" s="18" t="str">
        <f>""</f>
        <v/>
      </c>
      <c r="U516" s="18" t="str">
        <f>IF('Step 11 - Board'!B13="","",'Step 11 - Board'!I13)</f>
        <v/>
      </c>
      <c r="V516" s="17" t="str">
        <f>IF('Step 11 - Board'!B13="","",'Step 11 - Board'!K13)</f>
        <v/>
      </c>
      <c r="W516" s="18" t="str">
        <f>IF('Step 11 - Board'!B13="","",'Step 11 - Board'!L13)</f>
        <v/>
      </c>
      <c r="X516" s="17" t="str">
        <f>IF('Step 11 - Board'!B13="","",'Step 11 - Board'!N13)</f>
        <v/>
      </c>
      <c r="Y516" s="18" t="str">
        <f>""</f>
        <v/>
      </c>
      <c r="Z516" s="18" t="str">
        <f>""</f>
        <v/>
      </c>
      <c r="AA516" s="18" t="str">
        <f>""</f>
        <v/>
      </c>
      <c r="AB516" s="18" t="str">
        <f>""</f>
        <v/>
      </c>
      <c r="AC516" s="18" t="str">
        <f>""</f>
        <v/>
      </c>
      <c r="AD516" s="18" t="str">
        <f>""</f>
        <v/>
      </c>
      <c r="AE516" s="18" t="str">
        <f>""</f>
        <v/>
      </c>
      <c r="AF516" s="18" t="str">
        <f>""</f>
        <v/>
      </c>
      <c r="AG516" s="18" t="str">
        <f>""</f>
        <v/>
      </c>
      <c r="AH516" s="18" t="str">
        <f>""</f>
        <v/>
      </c>
      <c r="AI516" s="18" t="str">
        <f>""</f>
        <v/>
      </c>
      <c r="AJ516" s="18" t="str">
        <f>""</f>
        <v/>
      </c>
      <c r="AK516" s="18" t="str">
        <f>""</f>
        <v/>
      </c>
      <c r="AL516" s="18" t="str">
        <f>""</f>
        <v/>
      </c>
      <c r="AM516" s="18" t="str">
        <f>""</f>
        <v/>
      </c>
    </row>
    <row r="517" spans="1:39" ht="15.75" customHeight="1" x14ac:dyDescent="0.25">
      <c r="A517" s="19" t="str">
        <f>IF('Step 11 - Board'!B14="","","Active")</f>
        <v/>
      </c>
      <c r="B517" s="20" t="str">
        <f>IF('Step 11 - Board'!B14="","",'Step 11 - Board'!B14)</f>
        <v/>
      </c>
      <c r="C517" s="20" t="str">
        <f>IF('Step 11 - Board'!B14="","",'Step 11 - Board'!B14)</f>
        <v/>
      </c>
      <c r="D517" s="19" t="str">
        <f>IF('Step 11 - Board'!B14="","",'Step 11 - Board'!G14)</f>
        <v/>
      </c>
      <c r="E517" s="19" t="str">
        <f>IF('Step 11 - Board'!B14="","",'Step 11 - Board'!H14)</f>
        <v/>
      </c>
      <c r="F517" s="20" t="str">
        <f>IF('Step 11 - Board'!B14="","",IF('Step 11 - Board'!C14="","","Fund Code"))</f>
        <v/>
      </c>
      <c r="G517" s="19" t="str">
        <f>IF('Step 11 - Board'!B14="","",IF('Step 11 - Board'!C14="","","Equals"))</f>
        <v/>
      </c>
      <c r="H517" s="20" t="str">
        <f>IF('Step 11 - Board'!B14="","",IF('Step 11 - Board'!C14="","",'Step 11 - Board'!C14))</f>
        <v/>
      </c>
      <c r="I517" s="20" t="str">
        <f>IF('Step 11 - Board'!B14="","","Organization Code")</f>
        <v/>
      </c>
      <c r="J517" s="19" t="str">
        <f>IF('Step 11 - Board'!B14="","","Equals")</f>
        <v/>
      </c>
      <c r="K517" s="20" t="str">
        <f>IF('Step 11 - Board'!B14="","",'Step 11 - Board'!D14)</f>
        <v/>
      </c>
      <c r="L517" s="20" t="str">
        <f>IF('Step 11 - Board'!B14="","","Other Criteria")</f>
        <v/>
      </c>
      <c r="M517" s="19" t="str">
        <f>IF('Step 11 - Board'!B14="","","Equals")</f>
        <v/>
      </c>
      <c r="N517" s="20" t="str">
        <f>IF('Step 11 - Board'!B14="","",'Step 11 - Board'!E14)</f>
        <v/>
      </c>
      <c r="O517" s="20" t="str">
        <f>IF('Step 11 - Board'!B14="","",IF('Step 11 - Board'!F14="","","Total"))</f>
        <v/>
      </c>
      <c r="P517" s="19" t="str">
        <f>IF('Step 11 - Board'!B14="","",IF('Step 11 - Board'!F14="","","&gt;="))</f>
        <v/>
      </c>
      <c r="Q517" s="20" t="str">
        <f>IF('Step 11 - Board'!B14="","",IF('Step 11 - Board'!F14="","",'Step 11 - Board'!F14))</f>
        <v/>
      </c>
      <c r="R517" s="20" t="str">
        <f>""</f>
        <v/>
      </c>
      <c r="S517" s="20" t="str">
        <f>""</f>
        <v/>
      </c>
      <c r="T517" s="20" t="str">
        <f>""</f>
        <v/>
      </c>
      <c r="U517" s="20" t="str">
        <f>IF('Step 11 - Board'!B14="","",'Step 11 - Board'!I14)</f>
        <v/>
      </c>
      <c r="V517" s="19" t="str">
        <f>IF('Step 11 - Board'!B14="","",'Step 11 - Board'!K14)</f>
        <v/>
      </c>
      <c r="W517" s="20" t="str">
        <f>IF('Step 11 - Board'!B14="","",'Step 11 - Board'!L14)</f>
        <v/>
      </c>
      <c r="X517" s="19" t="str">
        <f>IF('Step 11 - Board'!B14="","",'Step 11 - Board'!N14)</f>
        <v/>
      </c>
      <c r="Y517" s="20" t="str">
        <f>""</f>
        <v/>
      </c>
      <c r="Z517" s="20" t="str">
        <f>""</f>
        <v/>
      </c>
      <c r="AA517" s="20" t="str">
        <f>""</f>
        <v/>
      </c>
      <c r="AB517" s="20" t="str">
        <f>""</f>
        <v/>
      </c>
      <c r="AC517" s="20" t="str">
        <f>""</f>
        <v/>
      </c>
      <c r="AD517" s="20" t="str">
        <f>""</f>
        <v/>
      </c>
      <c r="AE517" s="20" t="str">
        <f>""</f>
        <v/>
      </c>
      <c r="AF517" s="20" t="str">
        <f>""</f>
        <v/>
      </c>
      <c r="AG517" s="20" t="str">
        <f>""</f>
        <v/>
      </c>
      <c r="AH517" s="20" t="str">
        <f>""</f>
        <v/>
      </c>
      <c r="AI517" s="20" t="str">
        <f>""</f>
        <v/>
      </c>
      <c r="AJ517" s="20" t="str">
        <f>""</f>
        <v/>
      </c>
      <c r="AK517" s="20" t="str">
        <f>""</f>
        <v/>
      </c>
      <c r="AL517" s="20" t="str">
        <f>""</f>
        <v/>
      </c>
      <c r="AM517" s="20" t="str">
        <f>""</f>
        <v/>
      </c>
    </row>
    <row r="518" spans="1:39" ht="15.75" customHeight="1" x14ac:dyDescent="0.25">
      <c r="A518" s="17" t="str">
        <f>IF('Step 11 - Board'!B15="","","Active")</f>
        <v/>
      </c>
      <c r="B518" s="18" t="str">
        <f>IF('Step 11 - Board'!B15="","",'Step 11 - Board'!B15)</f>
        <v/>
      </c>
      <c r="C518" s="18" t="str">
        <f>IF('Step 11 - Board'!B15="","",'Step 11 - Board'!B15)</f>
        <v/>
      </c>
      <c r="D518" s="17" t="str">
        <f>IF('Step 11 - Board'!B15="","",'Step 11 - Board'!G15)</f>
        <v/>
      </c>
      <c r="E518" s="17" t="str">
        <f>IF('Step 11 - Board'!B15="","",'Step 11 - Board'!H15)</f>
        <v/>
      </c>
      <c r="F518" s="18" t="str">
        <f>IF('Step 11 - Board'!B15="","",IF('Step 11 - Board'!C15="","","Fund Code"))</f>
        <v/>
      </c>
      <c r="G518" s="17" t="str">
        <f>IF('Step 11 - Board'!B15="","",IF('Step 11 - Board'!C15="","","Equals"))</f>
        <v/>
      </c>
      <c r="H518" s="18" t="str">
        <f>IF('Step 11 - Board'!B15="","",IF('Step 11 - Board'!C15="","",'Step 11 - Board'!C15))</f>
        <v/>
      </c>
      <c r="I518" s="18" t="str">
        <f>IF('Step 11 - Board'!B15="","","Organization Code")</f>
        <v/>
      </c>
      <c r="J518" s="17" t="str">
        <f>IF('Step 11 - Board'!B15="","","Equals")</f>
        <v/>
      </c>
      <c r="K518" s="18" t="str">
        <f>IF('Step 11 - Board'!B15="","",'Step 11 - Board'!D15)</f>
        <v/>
      </c>
      <c r="L518" s="18" t="str">
        <f>IF('Step 11 - Board'!B15="","","Other Criteria")</f>
        <v/>
      </c>
      <c r="M518" s="17" t="str">
        <f>IF('Step 11 - Board'!B15="","","Equals")</f>
        <v/>
      </c>
      <c r="N518" s="18" t="str">
        <f>IF('Step 11 - Board'!B15="","",'Step 11 - Board'!E15)</f>
        <v/>
      </c>
      <c r="O518" s="18" t="str">
        <f>IF('Step 11 - Board'!B15="","",IF('Step 11 - Board'!F15="","","Total"))</f>
        <v/>
      </c>
      <c r="P518" s="17" t="str">
        <f>IF('Step 11 - Board'!B15="","",IF('Step 11 - Board'!F15="","","&gt;="))</f>
        <v/>
      </c>
      <c r="Q518" s="18" t="str">
        <f>IF('Step 11 - Board'!B15="","",IF('Step 11 - Board'!F15="","",'Step 11 - Board'!F15))</f>
        <v/>
      </c>
      <c r="R518" s="18" t="str">
        <f>""</f>
        <v/>
      </c>
      <c r="S518" s="18" t="str">
        <f>""</f>
        <v/>
      </c>
      <c r="T518" s="18" t="str">
        <f>""</f>
        <v/>
      </c>
      <c r="U518" s="18" t="str">
        <f>IF('Step 11 - Board'!B15="","",'Step 11 - Board'!I15)</f>
        <v/>
      </c>
      <c r="V518" s="17" t="str">
        <f>IF('Step 11 - Board'!B15="","",'Step 11 - Board'!K15)</f>
        <v/>
      </c>
      <c r="W518" s="18" t="str">
        <f>IF('Step 11 - Board'!B15="","",'Step 11 - Board'!L15)</f>
        <v/>
      </c>
      <c r="X518" s="17" t="str">
        <f>IF('Step 11 - Board'!B15="","",'Step 11 - Board'!N15)</f>
        <v/>
      </c>
      <c r="Y518" s="18" t="str">
        <f>""</f>
        <v/>
      </c>
      <c r="Z518" s="18" t="str">
        <f>""</f>
        <v/>
      </c>
      <c r="AA518" s="18" t="str">
        <f>""</f>
        <v/>
      </c>
      <c r="AB518" s="18" t="str">
        <f>""</f>
        <v/>
      </c>
      <c r="AC518" s="18" t="str">
        <f>""</f>
        <v/>
      </c>
      <c r="AD518" s="18" t="str">
        <f>""</f>
        <v/>
      </c>
      <c r="AE518" s="18" t="str">
        <f>""</f>
        <v/>
      </c>
      <c r="AF518" s="18" t="str">
        <f>""</f>
        <v/>
      </c>
      <c r="AG518" s="18" t="str">
        <f>""</f>
        <v/>
      </c>
      <c r="AH518" s="18" t="str">
        <f>""</f>
        <v/>
      </c>
      <c r="AI518" s="18" t="str">
        <f>""</f>
        <v/>
      </c>
      <c r="AJ518" s="18" t="str">
        <f>""</f>
        <v/>
      </c>
      <c r="AK518" s="18" t="str">
        <f>""</f>
        <v/>
      </c>
      <c r="AL518" s="18" t="str">
        <f>""</f>
        <v/>
      </c>
      <c r="AM518" s="18" t="str">
        <f>""</f>
        <v/>
      </c>
    </row>
    <row r="519" spans="1:39" ht="15.75" customHeight="1" x14ac:dyDescent="0.25">
      <c r="A519" s="19" t="str">
        <f>IF('Step 11 - Board'!B16="","","Active")</f>
        <v/>
      </c>
      <c r="B519" s="20" t="str">
        <f>IF('Step 11 - Board'!B16="","",'Step 11 - Board'!B16)</f>
        <v/>
      </c>
      <c r="C519" s="20" t="str">
        <f>IF('Step 11 - Board'!B16="","",'Step 11 - Board'!B16)</f>
        <v/>
      </c>
      <c r="D519" s="19" t="str">
        <f>IF('Step 11 - Board'!B16="","",'Step 11 - Board'!G16)</f>
        <v/>
      </c>
      <c r="E519" s="19" t="str">
        <f>IF('Step 11 - Board'!B16="","",'Step 11 - Board'!H16)</f>
        <v/>
      </c>
      <c r="F519" s="20" t="str">
        <f>IF('Step 11 - Board'!B16="","",IF('Step 11 - Board'!C16="","","Fund Code"))</f>
        <v/>
      </c>
      <c r="G519" s="19" t="str">
        <f>IF('Step 11 - Board'!B16="","",IF('Step 11 - Board'!C16="","","Equals"))</f>
        <v/>
      </c>
      <c r="H519" s="20" t="str">
        <f>IF('Step 11 - Board'!B16="","",IF('Step 11 - Board'!C16="","",'Step 11 - Board'!C16))</f>
        <v/>
      </c>
      <c r="I519" s="20" t="str">
        <f>IF('Step 11 - Board'!B16="","","Organization Code")</f>
        <v/>
      </c>
      <c r="J519" s="19" t="str">
        <f>IF('Step 11 - Board'!B16="","","Equals")</f>
        <v/>
      </c>
      <c r="K519" s="20" t="str">
        <f>IF('Step 11 - Board'!B16="","",'Step 11 - Board'!D16)</f>
        <v/>
      </c>
      <c r="L519" s="20" t="str">
        <f>IF('Step 11 - Board'!B16="","","Other Criteria")</f>
        <v/>
      </c>
      <c r="M519" s="19" t="str">
        <f>IF('Step 11 - Board'!B16="","","Equals")</f>
        <v/>
      </c>
      <c r="N519" s="20" t="str">
        <f>IF('Step 11 - Board'!B16="","",'Step 11 - Board'!E16)</f>
        <v/>
      </c>
      <c r="O519" s="20" t="str">
        <f>IF('Step 11 - Board'!B16="","",IF('Step 11 - Board'!F16="","","Total"))</f>
        <v/>
      </c>
      <c r="P519" s="19" t="str">
        <f>IF('Step 11 - Board'!B16="","",IF('Step 11 - Board'!F16="","","&gt;="))</f>
        <v/>
      </c>
      <c r="Q519" s="20" t="str">
        <f>IF('Step 11 - Board'!B16="","",IF('Step 11 - Board'!F16="","",'Step 11 - Board'!F16))</f>
        <v/>
      </c>
      <c r="R519" s="20" t="str">
        <f>""</f>
        <v/>
      </c>
      <c r="S519" s="20" t="str">
        <f>""</f>
        <v/>
      </c>
      <c r="T519" s="20" t="str">
        <f>""</f>
        <v/>
      </c>
      <c r="U519" s="20" t="str">
        <f>IF('Step 11 - Board'!B16="","",'Step 11 - Board'!I16)</f>
        <v/>
      </c>
      <c r="V519" s="19" t="str">
        <f>IF('Step 11 - Board'!B16="","",'Step 11 - Board'!K16)</f>
        <v/>
      </c>
      <c r="W519" s="20" t="str">
        <f>IF('Step 11 - Board'!B16="","",'Step 11 - Board'!L16)</f>
        <v/>
      </c>
      <c r="X519" s="19" t="str">
        <f>IF('Step 11 - Board'!B16="","",'Step 11 - Board'!N16)</f>
        <v/>
      </c>
      <c r="Y519" s="20" t="str">
        <f>""</f>
        <v/>
      </c>
      <c r="Z519" s="20" t="str">
        <f>""</f>
        <v/>
      </c>
      <c r="AA519" s="20" t="str">
        <f>""</f>
        <v/>
      </c>
      <c r="AB519" s="20" t="str">
        <f>""</f>
        <v/>
      </c>
      <c r="AC519" s="20" t="str">
        <f>""</f>
        <v/>
      </c>
      <c r="AD519" s="20" t="str">
        <f>""</f>
        <v/>
      </c>
      <c r="AE519" s="20" t="str">
        <f>""</f>
        <v/>
      </c>
      <c r="AF519" s="20" t="str">
        <f>""</f>
        <v/>
      </c>
      <c r="AG519" s="20" t="str">
        <f>""</f>
        <v/>
      </c>
      <c r="AH519" s="20" t="str">
        <f>""</f>
        <v/>
      </c>
      <c r="AI519" s="20" t="str">
        <f>""</f>
        <v/>
      </c>
      <c r="AJ519" s="20" t="str">
        <f>""</f>
        <v/>
      </c>
      <c r="AK519" s="20" t="str">
        <f>""</f>
        <v/>
      </c>
      <c r="AL519" s="20" t="str">
        <f>""</f>
        <v/>
      </c>
      <c r="AM519" s="20" t="str">
        <f>""</f>
        <v/>
      </c>
    </row>
    <row r="520" spans="1:39" ht="15.75" customHeight="1" x14ac:dyDescent="0.25">
      <c r="A520" s="17" t="str">
        <f>IF('Step 11 - Board'!B17="","","Active")</f>
        <v/>
      </c>
      <c r="B520" s="18" t="str">
        <f>IF('Step 11 - Board'!B17="","",'Step 11 - Board'!B17)</f>
        <v/>
      </c>
      <c r="C520" s="18" t="str">
        <f>IF('Step 11 - Board'!B17="","",'Step 11 - Board'!B17)</f>
        <v/>
      </c>
      <c r="D520" s="17" t="str">
        <f>IF('Step 11 - Board'!B17="","",'Step 11 - Board'!G17)</f>
        <v/>
      </c>
      <c r="E520" s="17" t="str">
        <f>IF('Step 11 - Board'!B17="","",'Step 11 - Board'!H17)</f>
        <v/>
      </c>
      <c r="F520" s="18" t="str">
        <f>IF('Step 11 - Board'!B17="","",IF('Step 11 - Board'!C17="","","Fund Code"))</f>
        <v/>
      </c>
      <c r="G520" s="17" t="str">
        <f>IF('Step 11 - Board'!B17="","",IF('Step 11 - Board'!C17="","","Equals"))</f>
        <v/>
      </c>
      <c r="H520" s="18" t="str">
        <f>IF('Step 11 - Board'!B17="","",IF('Step 11 - Board'!C17="","",'Step 11 - Board'!C17))</f>
        <v/>
      </c>
      <c r="I520" s="18" t="str">
        <f>IF('Step 11 - Board'!B17="","","Organization Code")</f>
        <v/>
      </c>
      <c r="J520" s="17" t="str">
        <f>IF('Step 11 - Board'!B17="","","Equals")</f>
        <v/>
      </c>
      <c r="K520" s="18" t="str">
        <f>IF('Step 11 - Board'!B17="","",'Step 11 - Board'!D17)</f>
        <v/>
      </c>
      <c r="L520" s="18" t="str">
        <f>IF('Step 11 - Board'!B17="","","Other Criteria")</f>
        <v/>
      </c>
      <c r="M520" s="17" t="str">
        <f>IF('Step 11 - Board'!B17="","","Equals")</f>
        <v/>
      </c>
      <c r="N520" s="18" t="str">
        <f>IF('Step 11 - Board'!B17="","",'Step 11 - Board'!E17)</f>
        <v/>
      </c>
      <c r="O520" s="18" t="str">
        <f>IF('Step 11 - Board'!B17="","",IF('Step 11 - Board'!F17="","","Total"))</f>
        <v/>
      </c>
      <c r="P520" s="17" t="str">
        <f>IF('Step 11 - Board'!B17="","",IF('Step 11 - Board'!F17="","","&gt;="))</f>
        <v/>
      </c>
      <c r="Q520" s="18" t="str">
        <f>IF('Step 11 - Board'!B17="","",IF('Step 11 - Board'!F17="","",'Step 11 - Board'!F17))</f>
        <v/>
      </c>
      <c r="R520" s="18" t="str">
        <f>""</f>
        <v/>
      </c>
      <c r="S520" s="18" t="str">
        <f>""</f>
        <v/>
      </c>
      <c r="T520" s="18" t="str">
        <f>""</f>
        <v/>
      </c>
      <c r="U520" s="18" t="str">
        <f>IF('Step 11 - Board'!B17="","",'Step 11 - Board'!I17)</f>
        <v/>
      </c>
      <c r="V520" s="17" t="str">
        <f>IF('Step 11 - Board'!B17="","",'Step 11 - Board'!K17)</f>
        <v/>
      </c>
      <c r="W520" s="18" t="str">
        <f>IF('Step 11 - Board'!B17="","",'Step 11 - Board'!L17)</f>
        <v/>
      </c>
      <c r="X520" s="17" t="str">
        <f>IF('Step 11 - Board'!B17="","",'Step 11 - Board'!N17)</f>
        <v/>
      </c>
      <c r="Y520" s="18" t="str">
        <f>""</f>
        <v/>
      </c>
      <c r="Z520" s="18" t="str">
        <f>""</f>
        <v/>
      </c>
      <c r="AA520" s="18" t="str">
        <f>""</f>
        <v/>
      </c>
      <c r="AB520" s="18" t="str">
        <f>""</f>
        <v/>
      </c>
      <c r="AC520" s="18" t="str">
        <f>""</f>
        <v/>
      </c>
      <c r="AD520" s="18" t="str">
        <f>""</f>
        <v/>
      </c>
      <c r="AE520" s="18" t="str">
        <f>""</f>
        <v/>
      </c>
      <c r="AF520" s="18" t="str">
        <f>""</f>
        <v/>
      </c>
      <c r="AG520" s="18" t="str">
        <f>""</f>
        <v/>
      </c>
      <c r="AH520" s="18" t="str">
        <f>""</f>
        <v/>
      </c>
      <c r="AI520" s="18" t="str">
        <f>""</f>
        <v/>
      </c>
      <c r="AJ520" s="18" t="str">
        <f>""</f>
        <v/>
      </c>
      <c r="AK520" s="18" t="str">
        <f>""</f>
        <v/>
      </c>
      <c r="AL520" s="18" t="str">
        <f>""</f>
        <v/>
      </c>
      <c r="AM520" s="18" t="str">
        <f>""</f>
        <v/>
      </c>
    </row>
    <row r="521" spans="1:39" ht="15.75" customHeight="1" x14ac:dyDescent="0.25">
      <c r="A521" s="19" t="str">
        <f>IF('Step 11 - Board'!B18="","","Active")</f>
        <v/>
      </c>
      <c r="B521" s="20" t="str">
        <f>IF('Step 11 - Board'!B18="","",'Step 11 - Board'!B18)</f>
        <v/>
      </c>
      <c r="C521" s="20" t="str">
        <f>IF('Step 11 - Board'!B18="","",'Step 11 - Board'!B18)</f>
        <v/>
      </c>
      <c r="D521" s="19" t="str">
        <f>IF('Step 11 - Board'!B18="","",'Step 11 - Board'!G18)</f>
        <v/>
      </c>
      <c r="E521" s="19" t="str">
        <f>IF('Step 11 - Board'!B18="","",'Step 11 - Board'!H18)</f>
        <v/>
      </c>
      <c r="F521" s="20" t="str">
        <f>IF('Step 11 - Board'!B18="","",IF('Step 11 - Board'!C18="","","Fund Code"))</f>
        <v/>
      </c>
      <c r="G521" s="19" t="str">
        <f>IF('Step 11 - Board'!B18="","",IF('Step 11 - Board'!C18="","","Equals"))</f>
        <v/>
      </c>
      <c r="H521" s="20" t="str">
        <f>IF('Step 11 - Board'!B18="","",IF('Step 11 - Board'!C18="","",'Step 11 - Board'!C18))</f>
        <v/>
      </c>
      <c r="I521" s="20" t="str">
        <f>IF('Step 11 - Board'!B18="","","Organization Code")</f>
        <v/>
      </c>
      <c r="J521" s="19" t="str">
        <f>IF('Step 11 - Board'!B18="","","Equals")</f>
        <v/>
      </c>
      <c r="K521" s="20" t="str">
        <f>IF('Step 11 - Board'!B18="","",'Step 11 - Board'!D18)</f>
        <v/>
      </c>
      <c r="L521" s="20" t="str">
        <f>IF('Step 11 - Board'!B18="","","Other Criteria")</f>
        <v/>
      </c>
      <c r="M521" s="19" t="str">
        <f>IF('Step 11 - Board'!B18="","","Equals")</f>
        <v/>
      </c>
      <c r="N521" s="20" t="str">
        <f>IF('Step 11 - Board'!B18="","",'Step 11 - Board'!E18)</f>
        <v/>
      </c>
      <c r="O521" s="20" t="str">
        <f>IF('Step 11 - Board'!B18="","",IF('Step 11 - Board'!F18="","","Total"))</f>
        <v/>
      </c>
      <c r="P521" s="19" t="str">
        <f>IF('Step 11 - Board'!B18="","",IF('Step 11 - Board'!F18="","","&gt;="))</f>
        <v/>
      </c>
      <c r="Q521" s="20" t="str">
        <f>IF('Step 11 - Board'!B18="","",IF('Step 11 - Board'!F18="","",'Step 11 - Board'!F18))</f>
        <v/>
      </c>
      <c r="R521" s="20" t="str">
        <f>""</f>
        <v/>
      </c>
      <c r="S521" s="20" t="str">
        <f>""</f>
        <v/>
      </c>
      <c r="T521" s="20" t="str">
        <f>""</f>
        <v/>
      </c>
      <c r="U521" s="20" t="str">
        <f>IF('Step 11 - Board'!B18="","",'Step 11 - Board'!I18)</f>
        <v/>
      </c>
      <c r="V521" s="19" t="str">
        <f>IF('Step 11 - Board'!B18="","",'Step 11 - Board'!K18)</f>
        <v/>
      </c>
      <c r="W521" s="20" t="str">
        <f>IF('Step 11 - Board'!B18="","",'Step 11 - Board'!L18)</f>
        <v/>
      </c>
      <c r="X521" s="19" t="str">
        <f>IF('Step 11 - Board'!B18="","",'Step 11 - Board'!N18)</f>
        <v/>
      </c>
      <c r="Y521" s="20" t="str">
        <f>""</f>
        <v/>
      </c>
      <c r="Z521" s="20" t="str">
        <f>""</f>
        <v/>
      </c>
      <c r="AA521" s="20" t="str">
        <f>""</f>
        <v/>
      </c>
      <c r="AB521" s="20" t="str">
        <f>""</f>
        <v/>
      </c>
      <c r="AC521" s="20" t="str">
        <f>""</f>
        <v/>
      </c>
      <c r="AD521" s="20" t="str">
        <f>""</f>
        <v/>
      </c>
      <c r="AE521" s="20" t="str">
        <f>""</f>
        <v/>
      </c>
      <c r="AF521" s="20" t="str">
        <f>""</f>
        <v/>
      </c>
      <c r="AG521" s="20" t="str">
        <f>""</f>
        <v/>
      </c>
      <c r="AH521" s="20" t="str">
        <f>""</f>
        <v/>
      </c>
      <c r="AI521" s="20" t="str">
        <f>""</f>
        <v/>
      </c>
      <c r="AJ521" s="20" t="str">
        <f>""</f>
        <v/>
      </c>
      <c r="AK521" s="20" t="str">
        <f>""</f>
        <v/>
      </c>
      <c r="AL521" s="20" t="str">
        <f>""</f>
        <v/>
      </c>
      <c r="AM521" s="20" t="str">
        <f>""</f>
        <v/>
      </c>
    </row>
    <row r="522" spans="1:39" ht="15.75" customHeight="1" x14ac:dyDescent="0.25">
      <c r="A522" s="17" t="str">
        <f>IF('Step 11 - Board'!B19="","","Active")</f>
        <v/>
      </c>
      <c r="B522" s="18" t="str">
        <f>IF('Step 11 - Board'!B19="","",'Step 11 - Board'!B19)</f>
        <v/>
      </c>
      <c r="C522" s="18" t="str">
        <f>IF('Step 11 - Board'!B19="","",'Step 11 - Board'!B19)</f>
        <v/>
      </c>
      <c r="D522" s="17" t="str">
        <f>IF('Step 11 - Board'!B19="","",'Step 11 - Board'!G19)</f>
        <v/>
      </c>
      <c r="E522" s="17" t="str">
        <f>IF('Step 11 - Board'!B19="","",'Step 11 - Board'!H19)</f>
        <v/>
      </c>
      <c r="F522" s="18" t="str">
        <f>IF('Step 11 - Board'!B19="","",IF('Step 11 - Board'!C19="","","Fund Code"))</f>
        <v/>
      </c>
      <c r="G522" s="17" t="str">
        <f>IF('Step 11 - Board'!B19="","",IF('Step 11 - Board'!C19="","","Equals"))</f>
        <v/>
      </c>
      <c r="H522" s="18" t="str">
        <f>IF('Step 11 - Board'!B19="","",IF('Step 11 - Board'!C19="","",'Step 11 - Board'!C19))</f>
        <v/>
      </c>
      <c r="I522" s="18" t="str">
        <f>IF('Step 11 - Board'!B19="","","Organization Code")</f>
        <v/>
      </c>
      <c r="J522" s="17" t="str">
        <f>IF('Step 11 - Board'!B19="","","Equals")</f>
        <v/>
      </c>
      <c r="K522" s="18" t="str">
        <f>IF('Step 11 - Board'!B19="","",'Step 11 - Board'!D19)</f>
        <v/>
      </c>
      <c r="L522" s="18" t="str">
        <f>IF('Step 11 - Board'!B19="","","Other Criteria")</f>
        <v/>
      </c>
      <c r="M522" s="17" t="str">
        <f>IF('Step 11 - Board'!B19="","","Equals")</f>
        <v/>
      </c>
      <c r="N522" s="18" t="str">
        <f>IF('Step 11 - Board'!B19="","",'Step 11 - Board'!E19)</f>
        <v/>
      </c>
      <c r="O522" s="18" t="str">
        <f>IF('Step 11 - Board'!B19="","",IF('Step 11 - Board'!F19="","","Total"))</f>
        <v/>
      </c>
      <c r="P522" s="17" t="str">
        <f>IF('Step 11 - Board'!B19="","",IF('Step 11 - Board'!F19="","","&gt;="))</f>
        <v/>
      </c>
      <c r="Q522" s="18" t="str">
        <f>IF('Step 11 - Board'!B19="","",IF('Step 11 - Board'!F19="","",'Step 11 - Board'!F19))</f>
        <v/>
      </c>
      <c r="R522" s="18" t="str">
        <f>""</f>
        <v/>
      </c>
      <c r="S522" s="18" t="str">
        <f>""</f>
        <v/>
      </c>
      <c r="T522" s="18" t="str">
        <f>""</f>
        <v/>
      </c>
      <c r="U522" s="18" t="str">
        <f>IF('Step 11 - Board'!B19="","",'Step 11 - Board'!I19)</f>
        <v/>
      </c>
      <c r="V522" s="17" t="str">
        <f>IF('Step 11 - Board'!B19="","",'Step 11 - Board'!K19)</f>
        <v/>
      </c>
      <c r="W522" s="18" t="str">
        <f>IF('Step 11 - Board'!B19="","",'Step 11 - Board'!L19)</f>
        <v/>
      </c>
      <c r="X522" s="17" t="str">
        <f>IF('Step 11 - Board'!B19="","",'Step 11 - Board'!N19)</f>
        <v/>
      </c>
      <c r="Y522" s="18" t="str">
        <f>""</f>
        <v/>
      </c>
      <c r="Z522" s="18" t="str">
        <f>""</f>
        <v/>
      </c>
      <c r="AA522" s="18" t="str">
        <f>""</f>
        <v/>
      </c>
      <c r="AB522" s="18" t="str">
        <f>""</f>
        <v/>
      </c>
      <c r="AC522" s="18" t="str">
        <f>""</f>
        <v/>
      </c>
      <c r="AD522" s="18" t="str">
        <f>""</f>
        <v/>
      </c>
      <c r="AE522" s="18" t="str">
        <f>""</f>
        <v/>
      </c>
      <c r="AF522" s="18" t="str">
        <f>""</f>
        <v/>
      </c>
      <c r="AG522" s="18" t="str">
        <f>""</f>
        <v/>
      </c>
      <c r="AH522" s="18" t="str">
        <f>""</f>
        <v/>
      </c>
      <c r="AI522" s="18" t="str">
        <f>""</f>
        <v/>
      </c>
      <c r="AJ522" s="18" t="str">
        <f>""</f>
        <v/>
      </c>
      <c r="AK522" s="18" t="str">
        <f>""</f>
        <v/>
      </c>
      <c r="AL522" s="18" t="str">
        <f>""</f>
        <v/>
      </c>
      <c r="AM522" s="18" t="str">
        <f>""</f>
        <v/>
      </c>
    </row>
    <row r="523" spans="1:39" ht="15.75" customHeight="1" x14ac:dyDescent="0.25">
      <c r="A523" s="19" t="str">
        <f>IF('Step 11 - Board'!B20="","","Active")</f>
        <v/>
      </c>
      <c r="B523" s="20" t="str">
        <f>IF('Step 11 - Board'!B20="","",'Step 11 - Board'!B20)</f>
        <v/>
      </c>
      <c r="C523" s="20" t="str">
        <f>IF('Step 11 - Board'!B20="","",'Step 11 - Board'!B20)</f>
        <v/>
      </c>
      <c r="D523" s="19" t="str">
        <f>IF('Step 11 - Board'!B20="","",'Step 11 - Board'!G20)</f>
        <v/>
      </c>
      <c r="E523" s="19" t="str">
        <f>IF('Step 11 - Board'!B20="","",'Step 11 - Board'!H20)</f>
        <v/>
      </c>
      <c r="F523" s="20" t="str">
        <f>IF('Step 11 - Board'!B20="","",IF('Step 11 - Board'!C20="","","Fund Code"))</f>
        <v/>
      </c>
      <c r="G523" s="19" t="str">
        <f>IF('Step 11 - Board'!B20="","",IF('Step 11 - Board'!C20="","","Equals"))</f>
        <v/>
      </c>
      <c r="H523" s="20" t="str">
        <f>IF('Step 11 - Board'!B20="","",IF('Step 11 - Board'!C20="","",'Step 11 - Board'!C20))</f>
        <v/>
      </c>
      <c r="I523" s="20" t="str">
        <f>IF('Step 11 - Board'!B20="","","Organization Code")</f>
        <v/>
      </c>
      <c r="J523" s="19" t="str">
        <f>IF('Step 11 - Board'!B20="","","Equals")</f>
        <v/>
      </c>
      <c r="K523" s="20" t="str">
        <f>IF('Step 11 - Board'!B20="","",'Step 11 - Board'!D20)</f>
        <v/>
      </c>
      <c r="L523" s="20" t="str">
        <f>IF('Step 11 - Board'!B20="","","Other Criteria")</f>
        <v/>
      </c>
      <c r="M523" s="19" t="str">
        <f>IF('Step 11 - Board'!B20="","","Equals")</f>
        <v/>
      </c>
      <c r="N523" s="20" t="str">
        <f>IF('Step 11 - Board'!B20="","",'Step 11 - Board'!E20)</f>
        <v/>
      </c>
      <c r="O523" s="20" t="str">
        <f>IF('Step 11 - Board'!B20="","",IF('Step 11 - Board'!F20="","","Total"))</f>
        <v/>
      </c>
      <c r="P523" s="19" t="str">
        <f>IF('Step 11 - Board'!B20="","",IF('Step 11 - Board'!F20="","","&gt;="))</f>
        <v/>
      </c>
      <c r="Q523" s="20" t="str">
        <f>IF('Step 11 - Board'!B20="","",IF('Step 11 - Board'!F20="","",'Step 11 - Board'!F20))</f>
        <v/>
      </c>
      <c r="R523" s="20" t="str">
        <f>""</f>
        <v/>
      </c>
      <c r="S523" s="20" t="str">
        <f>""</f>
        <v/>
      </c>
      <c r="T523" s="20" t="str">
        <f>""</f>
        <v/>
      </c>
      <c r="U523" s="20" t="str">
        <f>IF('Step 11 - Board'!B20="","",'Step 11 - Board'!I20)</f>
        <v/>
      </c>
      <c r="V523" s="19" t="str">
        <f>IF('Step 11 - Board'!B20="","",'Step 11 - Board'!K20)</f>
        <v/>
      </c>
      <c r="W523" s="20" t="str">
        <f>IF('Step 11 - Board'!B20="","",'Step 11 - Board'!L20)</f>
        <v/>
      </c>
      <c r="X523" s="19" t="str">
        <f>IF('Step 11 - Board'!B20="","",'Step 11 - Board'!N20)</f>
        <v/>
      </c>
      <c r="Y523" s="20" t="str">
        <f>""</f>
        <v/>
      </c>
      <c r="Z523" s="20" t="str">
        <f>""</f>
        <v/>
      </c>
      <c r="AA523" s="20" t="str">
        <f>""</f>
        <v/>
      </c>
      <c r="AB523" s="20" t="str">
        <f>""</f>
        <v/>
      </c>
      <c r="AC523" s="20" t="str">
        <f>""</f>
        <v/>
      </c>
      <c r="AD523" s="20" t="str">
        <f>""</f>
        <v/>
      </c>
      <c r="AE523" s="20" t="str">
        <f>""</f>
        <v/>
      </c>
      <c r="AF523" s="20" t="str">
        <f>""</f>
        <v/>
      </c>
      <c r="AG523" s="20" t="str">
        <f>""</f>
        <v/>
      </c>
      <c r="AH523" s="20" t="str">
        <f>""</f>
        <v/>
      </c>
      <c r="AI523" s="20" t="str">
        <f>""</f>
        <v/>
      </c>
      <c r="AJ523" s="20" t="str">
        <f>""</f>
        <v/>
      </c>
      <c r="AK523" s="20" t="str">
        <f>""</f>
        <v/>
      </c>
      <c r="AL523" s="20" t="str">
        <f>""</f>
        <v/>
      </c>
      <c r="AM523" s="20" t="str">
        <f>""</f>
        <v/>
      </c>
    </row>
    <row r="524" spans="1:39" ht="15.75" customHeight="1" x14ac:dyDescent="0.25">
      <c r="A524" s="17" t="str">
        <f>IF('Step 11 - Board'!B21="","","Active")</f>
        <v/>
      </c>
      <c r="B524" s="18" t="str">
        <f>IF('Step 11 - Board'!B21="","",'Step 11 - Board'!B21)</f>
        <v/>
      </c>
      <c r="C524" s="18" t="str">
        <f>IF('Step 11 - Board'!B21="","",'Step 11 - Board'!B21)</f>
        <v/>
      </c>
      <c r="D524" s="17" t="str">
        <f>IF('Step 11 - Board'!B21="","",'Step 11 - Board'!G21)</f>
        <v/>
      </c>
      <c r="E524" s="17" t="str">
        <f>IF('Step 11 - Board'!B21="","",'Step 11 - Board'!H21)</f>
        <v/>
      </c>
      <c r="F524" s="18" t="str">
        <f>IF('Step 11 - Board'!B21="","",IF('Step 11 - Board'!C21="","","Fund Code"))</f>
        <v/>
      </c>
      <c r="G524" s="17" t="str">
        <f>IF('Step 11 - Board'!B21="","",IF('Step 11 - Board'!C21="","","Equals"))</f>
        <v/>
      </c>
      <c r="H524" s="18" t="str">
        <f>IF('Step 11 - Board'!B21="","",IF('Step 11 - Board'!C21="","",'Step 11 - Board'!C21))</f>
        <v/>
      </c>
      <c r="I524" s="18" t="str">
        <f>IF('Step 11 - Board'!B21="","","Organization Code")</f>
        <v/>
      </c>
      <c r="J524" s="17" t="str">
        <f>IF('Step 11 - Board'!B21="","","Equals")</f>
        <v/>
      </c>
      <c r="K524" s="18" t="str">
        <f>IF('Step 11 - Board'!B21="","",'Step 11 - Board'!D21)</f>
        <v/>
      </c>
      <c r="L524" s="18" t="str">
        <f>IF('Step 11 - Board'!B21="","","Other Criteria")</f>
        <v/>
      </c>
      <c r="M524" s="17" t="str">
        <f>IF('Step 11 - Board'!B21="","","Equals")</f>
        <v/>
      </c>
      <c r="N524" s="18" t="str">
        <f>IF('Step 11 - Board'!B21="","",'Step 11 - Board'!E21)</f>
        <v/>
      </c>
      <c r="O524" s="18" t="str">
        <f>IF('Step 11 - Board'!B21="","",IF('Step 11 - Board'!F21="","","Total"))</f>
        <v/>
      </c>
      <c r="P524" s="17" t="str">
        <f>IF('Step 11 - Board'!B21="","",IF('Step 11 - Board'!F21="","","&gt;="))</f>
        <v/>
      </c>
      <c r="Q524" s="18" t="str">
        <f>IF('Step 11 - Board'!B21="","",IF('Step 11 - Board'!F21="","",'Step 11 - Board'!F21))</f>
        <v/>
      </c>
      <c r="R524" s="18" t="str">
        <f>""</f>
        <v/>
      </c>
      <c r="S524" s="18" t="str">
        <f>""</f>
        <v/>
      </c>
      <c r="T524" s="18" t="str">
        <f>""</f>
        <v/>
      </c>
      <c r="U524" s="18" t="str">
        <f>IF('Step 11 - Board'!B21="","",'Step 11 - Board'!I21)</f>
        <v/>
      </c>
      <c r="V524" s="17" t="str">
        <f>IF('Step 11 - Board'!B21="","",'Step 11 - Board'!K21)</f>
        <v/>
      </c>
      <c r="W524" s="18" t="str">
        <f>IF('Step 11 - Board'!B21="","",'Step 11 - Board'!L21)</f>
        <v/>
      </c>
      <c r="X524" s="17" t="str">
        <f>IF('Step 11 - Board'!B21="","",'Step 11 - Board'!N21)</f>
        <v/>
      </c>
      <c r="Y524" s="18" t="str">
        <f>""</f>
        <v/>
      </c>
      <c r="Z524" s="18" t="str">
        <f>""</f>
        <v/>
      </c>
      <c r="AA524" s="18" t="str">
        <f>""</f>
        <v/>
      </c>
      <c r="AB524" s="18" t="str">
        <f>""</f>
        <v/>
      </c>
      <c r="AC524" s="18" t="str">
        <f>""</f>
        <v/>
      </c>
      <c r="AD524" s="18" t="str">
        <f>""</f>
        <v/>
      </c>
      <c r="AE524" s="18" t="str">
        <f>""</f>
        <v/>
      </c>
      <c r="AF524" s="18" t="str">
        <f>""</f>
        <v/>
      </c>
      <c r="AG524" s="18" t="str">
        <f>""</f>
        <v/>
      </c>
      <c r="AH524" s="18" t="str">
        <f>""</f>
        <v/>
      </c>
      <c r="AI524" s="18" t="str">
        <f>""</f>
        <v/>
      </c>
      <c r="AJ524" s="18" t="str">
        <f>""</f>
        <v/>
      </c>
      <c r="AK524" s="18" t="str">
        <f>""</f>
        <v/>
      </c>
      <c r="AL524" s="18" t="str">
        <f>""</f>
        <v/>
      </c>
      <c r="AM524" s="18" t="str">
        <f>""</f>
        <v/>
      </c>
    </row>
    <row r="525" spans="1:39" ht="15.75" customHeight="1" x14ac:dyDescent="0.25">
      <c r="A525" s="19" t="str">
        <f>IF('Step 11 - Board'!B22="","","Active")</f>
        <v/>
      </c>
      <c r="B525" s="20" t="str">
        <f>IF('Step 11 - Board'!B22="","",'Step 11 - Board'!B22)</f>
        <v/>
      </c>
      <c r="C525" s="20" t="str">
        <f>IF('Step 11 - Board'!B22="","",'Step 11 - Board'!B22)</f>
        <v/>
      </c>
      <c r="D525" s="19" t="str">
        <f>IF('Step 11 - Board'!B22="","",'Step 11 - Board'!G22)</f>
        <v/>
      </c>
      <c r="E525" s="19" t="str">
        <f>IF('Step 11 - Board'!B22="","",'Step 11 - Board'!H22)</f>
        <v/>
      </c>
      <c r="F525" s="20" t="str">
        <f>IF('Step 11 - Board'!B22="","",IF('Step 11 - Board'!C22="","","Fund Code"))</f>
        <v/>
      </c>
      <c r="G525" s="19" t="str">
        <f>IF('Step 11 - Board'!B22="","",IF('Step 11 - Board'!C22="","","Equals"))</f>
        <v/>
      </c>
      <c r="H525" s="20" t="str">
        <f>IF('Step 11 - Board'!B22="","",IF('Step 11 - Board'!C22="","",'Step 11 - Board'!C22))</f>
        <v/>
      </c>
      <c r="I525" s="20" t="str">
        <f>IF('Step 11 - Board'!B22="","","Organization Code")</f>
        <v/>
      </c>
      <c r="J525" s="19" t="str">
        <f>IF('Step 11 - Board'!B22="","","Equals")</f>
        <v/>
      </c>
      <c r="K525" s="20" t="str">
        <f>IF('Step 11 - Board'!B22="","",'Step 11 - Board'!D22)</f>
        <v/>
      </c>
      <c r="L525" s="20" t="str">
        <f>IF('Step 11 - Board'!B22="","","Other Criteria")</f>
        <v/>
      </c>
      <c r="M525" s="19" t="str">
        <f>IF('Step 11 - Board'!B22="","","Equals")</f>
        <v/>
      </c>
      <c r="N525" s="20" t="str">
        <f>IF('Step 11 - Board'!B22="","",'Step 11 - Board'!E22)</f>
        <v/>
      </c>
      <c r="O525" s="20" t="str">
        <f>IF('Step 11 - Board'!B22="","",IF('Step 11 - Board'!F22="","","Total"))</f>
        <v/>
      </c>
      <c r="P525" s="19" t="str">
        <f>IF('Step 11 - Board'!B22="","",IF('Step 11 - Board'!F22="","","&gt;="))</f>
        <v/>
      </c>
      <c r="Q525" s="20" t="str">
        <f>IF('Step 11 - Board'!B22="","",IF('Step 11 - Board'!F22="","",'Step 11 - Board'!F22))</f>
        <v/>
      </c>
      <c r="R525" s="20" t="str">
        <f>""</f>
        <v/>
      </c>
      <c r="S525" s="20" t="str">
        <f>""</f>
        <v/>
      </c>
      <c r="T525" s="20" t="str">
        <f>""</f>
        <v/>
      </c>
      <c r="U525" s="20" t="str">
        <f>IF('Step 11 - Board'!B22="","",'Step 11 - Board'!I22)</f>
        <v/>
      </c>
      <c r="V525" s="19" t="str">
        <f>IF('Step 11 - Board'!B22="","",'Step 11 - Board'!K22)</f>
        <v/>
      </c>
      <c r="W525" s="20" t="str">
        <f>IF('Step 11 - Board'!B22="","",'Step 11 - Board'!L22)</f>
        <v/>
      </c>
      <c r="X525" s="19" t="str">
        <f>IF('Step 11 - Board'!B22="","",'Step 11 - Board'!N22)</f>
        <v/>
      </c>
      <c r="Y525" s="20" t="str">
        <f>""</f>
        <v/>
      </c>
      <c r="Z525" s="20" t="str">
        <f>""</f>
        <v/>
      </c>
      <c r="AA525" s="20" t="str">
        <f>""</f>
        <v/>
      </c>
      <c r="AB525" s="20" t="str">
        <f>""</f>
        <v/>
      </c>
      <c r="AC525" s="20" t="str">
        <f>""</f>
        <v/>
      </c>
      <c r="AD525" s="20" t="str">
        <f>""</f>
        <v/>
      </c>
      <c r="AE525" s="20" t="str">
        <f>""</f>
        <v/>
      </c>
      <c r="AF525" s="20" t="str">
        <f>""</f>
        <v/>
      </c>
      <c r="AG525" s="20" t="str">
        <f>""</f>
        <v/>
      </c>
      <c r="AH525" s="20" t="str">
        <f>""</f>
        <v/>
      </c>
      <c r="AI525" s="20" t="str">
        <f>""</f>
        <v/>
      </c>
      <c r="AJ525" s="20" t="str">
        <f>""</f>
        <v/>
      </c>
      <c r="AK525" s="20" t="str">
        <f>""</f>
        <v/>
      </c>
      <c r="AL525" s="20" t="str">
        <f>""</f>
        <v/>
      </c>
      <c r="AM525" s="20" t="str">
        <f>""</f>
        <v/>
      </c>
    </row>
    <row r="526" spans="1:39" ht="15.75" customHeight="1" x14ac:dyDescent="0.25">
      <c r="A526" s="17" t="str">
        <f>IF('Step 11 - Board'!B23="","","Active")</f>
        <v/>
      </c>
      <c r="B526" s="18" t="str">
        <f>IF('Step 11 - Board'!B23="","",'Step 11 - Board'!B23)</f>
        <v/>
      </c>
      <c r="C526" s="18" t="str">
        <f>IF('Step 11 - Board'!B23="","",'Step 11 - Board'!B23)</f>
        <v/>
      </c>
      <c r="D526" s="17" t="str">
        <f>IF('Step 11 - Board'!B23="","",'Step 11 - Board'!G23)</f>
        <v/>
      </c>
      <c r="E526" s="17" t="str">
        <f>IF('Step 11 - Board'!B23="","",'Step 11 - Board'!H23)</f>
        <v/>
      </c>
      <c r="F526" s="18" t="str">
        <f>IF('Step 11 - Board'!B23="","",IF('Step 11 - Board'!C23="","","Fund Code"))</f>
        <v/>
      </c>
      <c r="G526" s="17" t="str">
        <f>IF('Step 11 - Board'!B23="","",IF('Step 11 - Board'!C23="","","Equals"))</f>
        <v/>
      </c>
      <c r="H526" s="18" t="str">
        <f>IF('Step 11 - Board'!B23="","",IF('Step 11 - Board'!C23="","",'Step 11 - Board'!C23))</f>
        <v/>
      </c>
      <c r="I526" s="18" t="str">
        <f>IF('Step 11 - Board'!B23="","","Organization Code")</f>
        <v/>
      </c>
      <c r="J526" s="17" t="str">
        <f>IF('Step 11 - Board'!B23="","","Equals")</f>
        <v/>
      </c>
      <c r="K526" s="18" t="str">
        <f>IF('Step 11 - Board'!B23="","",'Step 11 - Board'!D23)</f>
        <v/>
      </c>
      <c r="L526" s="18" t="str">
        <f>IF('Step 11 - Board'!B23="","","Other Criteria")</f>
        <v/>
      </c>
      <c r="M526" s="17" t="str">
        <f>IF('Step 11 - Board'!B23="","","Equals")</f>
        <v/>
      </c>
      <c r="N526" s="18" t="str">
        <f>IF('Step 11 - Board'!B23="","",'Step 11 - Board'!E23)</f>
        <v/>
      </c>
      <c r="O526" s="18" t="str">
        <f>IF('Step 11 - Board'!B23="","",IF('Step 11 - Board'!F23="","","Total"))</f>
        <v/>
      </c>
      <c r="P526" s="17" t="str">
        <f>IF('Step 11 - Board'!B23="","",IF('Step 11 - Board'!F23="","","&gt;="))</f>
        <v/>
      </c>
      <c r="Q526" s="18" t="str">
        <f>IF('Step 11 - Board'!B23="","",IF('Step 11 - Board'!F23="","",'Step 11 - Board'!F23))</f>
        <v/>
      </c>
      <c r="R526" s="18" t="str">
        <f>""</f>
        <v/>
      </c>
      <c r="S526" s="18" t="str">
        <f>""</f>
        <v/>
      </c>
      <c r="T526" s="18" t="str">
        <f>""</f>
        <v/>
      </c>
      <c r="U526" s="18" t="str">
        <f>IF('Step 11 - Board'!B23="","",'Step 11 - Board'!I23)</f>
        <v/>
      </c>
      <c r="V526" s="17" t="str">
        <f>IF('Step 11 - Board'!B23="","",'Step 11 - Board'!K23)</f>
        <v/>
      </c>
      <c r="W526" s="18" t="str">
        <f>IF('Step 11 - Board'!B23="","",'Step 11 - Board'!L23)</f>
        <v/>
      </c>
      <c r="X526" s="17" t="str">
        <f>IF('Step 11 - Board'!B23="","",'Step 11 - Board'!N23)</f>
        <v/>
      </c>
      <c r="Y526" s="18" t="str">
        <f>""</f>
        <v/>
      </c>
      <c r="Z526" s="18" t="str">
        <f>""</f>
        <v/>
      </c>
      <c r="AA526" s="18" t="str">
        <f>""</f>
        <v/>
      </c>
      <c r="AB526" s="18" t="str">
        <f>""</f>
        <v/>
      </c>
      <c r="AC526" s="18" t="str">
        <f>""</f>
        <v/>
      </c>
      <c r="AD526" s="18" t="str">
        <f>""</f>
        <v/>
      </c>
      <c r="AE526" s="18" t="str">
        <f>""</f>
        <v/>
      </c>
      <c r="AF526" s="18" t="str">
        <f>""</f>
        <v/>
      </c>
      <c r="AG526" s="18" t="str">
        <f>""</f>
        <v/>
      </c>
      <c r="AH526" s="18" t="str">
        <f>""</f>
        <v/>
      </c>
      <c r="AI526" s="18" t="str">
        <f>""</f>
        <v/>
      </c>
      <c r="AJ526" s="18" t="str">
        <f>""</f>
        <v/>
      </c>
      <c r="AK526" s="18" t="str">
        <f>""</f>
        <v/>
      </c>
      <c r="AL526" s="18" t="str">
        <f>""</f>
        <v/>
      </c>
      <c r="AM526" s="18" t="str">
        <f>""</f>
        <v/>
      </c>
    </row>
    <row r="527" spans="1:39" ht="15.75" customHeight="1" x14ac:dyDescent="0.25">
      <c r="A527" s="19" t="str">
        <f>IF('Step 11 - Board'!B24="","","Active")</f>
        <v/>
      </c>
      <c r="B527" s="20" t="str">
        <f>IF('Step 11 - Board'!B24="","",'Step 11 - Board'!B24)</f>
        <v/>
      </c>
      <c r="C527" s="20" t="str">
        <f>IF('Step 11 - Board'!B24="","",'Step 11 - Board'!B24)</f>
        <v/>
      </c>
      <c r="D527" s="19" t="str">
        <f>IF('Step 11 - Board'!B24="","",'Step 11 - Board'!G24)</f>
        <v/>
      </c>
      <c r="E527" s="19" t="str">
        <f>IF('Step 11 - Board'!B24="","",'Step 11 - Board'!H24)</f>
        <v/>
      </c>
      <c r="F527" s="20" t="str">
        <f>IF('Step 11 - Board'!B24="","",IF('Step 11 - Board'!C24="","","Fund Code"))</f>
        <v/>
      </c>
      <c r="G527" s="19" t="str">
        <f>IF('Step 11 - Board'!B24="","",IF('Step 11 - Board'!C24="","","Equals"))</f>
        <v/>
      </c>
      <c r="H527" s="20" t="str">
        <f>IF('Step 11 - Board'!B24="","",IF('Step 11 - Board'!C24="","",'Step 11 - Board'!C24))</f>
        <v/>
      </c>
      <c r="I527" s="20" t="str">
        <f>IF('Step 11 - Board'!B24="","","Organization Code")</f>
        <v/>
      </c>
      <c r="J527" s="19" t="str">
        <f>IF('Step 11 - Board'!B24="","","Equals")</f>
        <v/>
      </c>
      <c r="K527" s="20" t="str">
        <f>IF('Step 11 - Board'!B24="","",'Step 11 - Board'!D24)</f>
        <v/>
      </c>
      <c r="L527" s="20" t="str">
        <f>IF('Step 11 - Board'!B24="","","Other Criteria")</f>
        <v/>
      </c>
      <c r="M527" s="19" t="str">
        <f>IF('Step 11 - Board'!B24="","","Equals")</f>
        <v/>
      </c>
      <c r="N527" s="20" t="str">
        <f>IF('Step 11 - Board'!B24="","",'Step 11 - Board'!E24)</f>
        <v/>
      </c>
      <c r="O527" s="20" t="str">
        <f>IF('Step 11 - Board'!B24="","",IF('Step 11 - Board'!F24="","","Total"))</f>
        <v/>
      </c>
      <c r="P527" s="19" t="str">
        <f>IF('Step 11 - Board'!B24="","",IF('Step 11 - Board'!F24="","","&gt;="))</f>
        <v/>
      </c>
      <c r="Q527" s="20" t="str">
        <f>IF('Step 11 - Board'!B24="","",IF('Step 11 - Board'!F24="","",'Step 11 - Board'!F24))</f>
        <v/>
      </c>
      <c r="R527" s="20" t="str">
        <f>""</f>
        <v/>
      </c>
      <c r="S527" s="20" t="str">
        <f>""</f>
        <v/>
      </c>
      <c r="T527" s="20" t="str">
        <f>""</f>
        <v/>
      </c>
      <c r="U527" s="20" t="str">
        <f>IF('Step 11 - Board'!B24="","",'Step 11 - Board'!I24)</f>
        <v/>
      </c>
      <c r="V527" s="19" t="str">
        <f>IF('Step 11 - Board'!B24="","",'Step 11 - Board'!K24)</f>
        <v/>
      </c>
      <c r="W527" s="20" t="str">
        <f>IF('Step 11 - Board'!B24="","",'Step 11 - Board'!L24)</f>
        <v/>
      </c>
      <c r="X527" s="19" t="str">
        <f>IF('Step 11 - Board'!B24="","",'Step 11 - Board'!N24)</f>
        <v/>
      </c>
      <c r="Y527" s="20" t="str">
        <f>""</f>
        <v/>
      </c>
      <c r="Z527" s="20" t="str">
        <f>""</f>
        <v/>
      </c>
      <c r="AA527" s="20" t="str">
        <f>""</f>
        <v/>
      </c>
      <c r="AB527" s="20" t="str">
        <f>""</f>
        <v/>
      </c>
      <c r="AC527" s="20" t="str">
        <f>""</f>
        <v/>
      </c>
      <c r="AD527" s="20" t="str">
        <f>""</f>
        <v/>
      </c>
      <c r="AE527" s="20" t="str">
        <f>""</f>
        <v/>
      </c>
      <c r="AF527" s="20" t="str">
        <f>""</f>
        <v/>
      </c>
      <c r="AG527" s="20" t="str">
        <f>""</f>
        <v/>
      </c>
      <c r="AH527" s="20" t="str">
        <f>""</f>
        <v/>
      </c>
      <c r="AI527" s="20" t="str">
        <f>""</f>
        <v/>
      </c>
      <c r="AJ527" s="20" t="str">
        <f>""</f>
        <v/>
      </c>
      <c r="AK527" s="20" t="str">
        <f>""</f>
        <v/>
      </c>
      <c r="AL527" s="20" t="str">
        <f>""</f>
        <v/>
      </c>
      <c r="AM527" s="20" t="str">
        <f>""</f>
        <v/>
      </c>
    </row>
    <row r="528" spans="1:39" ht="15.75" customHeight="1" x14ac:dyDescent="0.25">
      <c r="A528" s="17" t="str">
        <f>IF('Step 11 - Board'!B25="","","Active")</f>
        <v/>
      </c>
      <c r="B528" s="18" t="str">
        <f>IF('Step 11 - Board'!B25="","",'Step 11 - Board'!B25)</f>
        <v/>
      </c>
      <c r="C528" s="18" t="str">
        <f>IF('Step 11 - Board'!B25="","",'Step 11 - Board'!B25)</f>
        <v/>
      </c>
      <c r="D528" s="17" t="str">
        <f>IF('Step 11 - Board'!B25="","",'Step 11 - Board'!G25)</f>
        <v/>
      </c>
      <c r="E528" s="17" t="str">
        <f>IF('Step 11 - Board'!B25="","",'Step 11 - Board'!H25)</f>
        <v/>
      </c>
      <c r="F528" s="18" t="str">
        <f>IF('Step 11 - Board'!B25="","",IF('Step 11 - Board'!C25="","","Fund Code"))</f>
        <v/>
      </c>
      <c r="G528" s="17" t="str">
        <f>IF('Step 11 - Board'!B25="","",IF('Step 11 - Board'!C25="","","Equals"))</f>
        <v/>
      </c>
      <c r="H528" s="18" t="str">
        <f>IF('Step 11 - Board'!B25="","",IF('Step 11 - Board'!C25="","",'Step 11 - Board'!C25))</f>
        <v/>
      </c>
      <c r="I528" s="18" t="str">
        <f>IF('Step 11 - Board'!B25="","","Organization Code")</f>
        <v/>
      </c>
      <c r="J528" s="17" t="str">
        <f>IF('Step 11 - Board'!B25="","","Equals")</f>
        <v/>
      </c>
      <c r="K528" s="18" t="str">
        <f>IF('Step 11 - Board'!B25="","",'Step 11 - Board'!D25)</f>
        <v/>
      </c>
      <c r="L528" s="18" t="str">
        <f>IF('Step 11 - Board'!B25="","","Other Criteria")</f>
        <v/>
      </c>
      <c r="M528" s="17" t="str">
        <f>IF('Step 11 - Board'!B25="","","Equals")</f>
        <v/>
      </c>
      <c r="N528" s="18" t="str">
        <f>IF('Step 11 - Board'!B25="","",'Step 11 - Board'!E25)</f>
        <v/>
      </c>
      <c r="O528" s="18" t="str">
        <f>IF('Step 11 - Board'!B25="","",IF('Step 11 - Board'!F25="","","Total"))</f>
        <v/>
      </c>
      <c r="P528" s="17" t="str">
        <f>IF('Step 11 - Board'!B25="","",IF('Step 11 - Board'!F25="","","&gt;="))</f>
        <v/>
      </c>
      <c r="Q528" s="18" t="str">
        <f>IF('Step 11 - Board'!B25="","",IF('Step 11 - Board'!F25="","",'Step 11 - Board'!F25))</f>
        <v/>
      </c>
      <c r="R528" s="18" t="str">
        <f>""</f>
        <v/>
      </c>
      <c r="S528" s="18" t="str">
        <f>""</f>
        <v/>
      </c>
      <c r="T528" s="18" t="str">
        <f>""</f>
        <v/>
      </c>
      <c r="U528" s="18" t="str">
        <f>IF('Step 11 - Board'!B25="","",'Step 11 - Board'!I25)</f>
        <v/>
      </c>
      <c r="V528" s="17" t="str">
        <f>IF('Step 11 - Board'!B25="","",'Step 11 - Board'!K25)</f>
        <v/>
      </c>
      <c r="W528" s="18" t="str">
        <f>IF('Step 11 - Board'!B25="","",'Step 11 - Board'!L25)</f>
        <v/>
      </c>
      <c r="X528" s="17" t="str">
        <f>IF('Step 11 - Board'!B25="","",'Step 11 - Board'!N25)</f>
        <v/>
      </c>
      <c r="Y528" s="18" t="str">
        <f>""</f>
        <v/>
      </c>
      <c r="Z528" s="18" t="str">
        <f>""</f>
        <v/>
      </c>
      <c r="AA528" s="18" t="str">
        <f>""</f>
        <v/>
      </c>
      <c r="AB528" s="18" t="str">
        <f>""</f>
        <v/>
      </c>
      <c r="AC528" s="18" t="str">
        <f>""</f>
        <v/>
      </c>
      <c r="AD528" s="18" t="str">
        <f>""</f>
        <v/>
      </c>
      <c r="AE528" s="18" t="str">
        <f>""</f>
        <v/>
      </c>
      <c r="AF528" s="18" t="str">
        <f>""</f>
        <v/>
      </c>
      <c r="AG528" s="18" t="str">
        <f>""</f>
        <v/>
      </c>
      <c r="AH528" s="18" t="str">
        <f>""</f>
        <v/>
      </c>
      <c r="AI528" s="18" t="str">
        <f>""</f>
        <v/>
      </c>
      <c r="AJ528" s="18" t="str">
        <f>""</f>
        <v/>
      </c>
      <c r="AK528" s="18" t="str">
        <f>""</f>
        <v/>
      </c>
      <c r="AL528" s="18" t="str">
        <f>""</f>
        <v/>
      </c>
      <c r="AM528" s="18" t="str">
        <f>""</f>
        <v/>
      </c>
    </row>
    <row r="529" spans="1:39" ht="15.75" customHeight="1" x14ac:dyDescent="0.25">
      <c r="A529" s="19" t="str">
        <f>IF('Step 11 - Board'!B26="","","Active")</f>
        <v/>
      </c>
      <c r="B529" s="20" t="str">
        <f>IF('Step 11 - Board'!B26="","",'Step 11 - Board'!B26)</f>
        <v/>
      </c>
      <c r="C529" s="20" t="str">
        <f>IF('Step 11 - Board'!B26="","",'Step 11 - Board'!B26)</f>
        <v/>
      </c>
      <c r="D529" s="19" t="str">
        <f>IF('Step 11 - Board'!B26="","",'Step 11 - Board'!G26)</f>
        <v/>
      </c>
      <c r="E529" s="19" t="str">
        <f>IF('Step 11 - Board'!B26="","",'Step 11 - Board'!H26)</f>
        <v/>
      </c>
      <c r="F529" s="20" t="str">
        <f>IF('Step 11 - Board'!B26="","",IF('Step 11 - Board'!C26="","","Fund Code"))</f>
        <v/>
      </c>
      <c r="G529" s="19" t="str">
        <f>IF('Step 11 - Board'!B26="","",IF('Step 11 - Board'!C26="","","Equals"))</f>
        <v/>
      </c>
      <c r="H529" s="20" t="str">
        <f>IF('Step 11 - Board'!B26="","",IF('Step 11 - Board'!C26="","",'Step 11 - Board'!C26))</f>
        <v/>
      </c>
      <c r="I529" s="20" t="str">
        <f>IF('Step 11 - Board'!B26="","","Organization Code")</f>
        <v/>
      </c>
      <c r="J529" s="19" t="str">
        <f>IF('Step 11 - Board'!B26="","","Equals")</f>
        <v/>
      </c>
      <c r="K529" s="20" t="str">
        <f>IF('Step 11 - Board'!B26="","",'Step 11 - Board'!D26)</f>
        <v/>
      </c>
      <c r="L529" s="20" t="str">
        <f>IF('Step 11 - Board'!B26="","","Other Criteria")</f>
        <v/>
      </c>
      <c r="M529" s="19" t="str">
        <f>IF('Step 11 - Board'!B26="","","Equals")</f>
        <v/>
      </c>
      <c r="N529" s="20" t="str">
        <f>IF('Step 11 - Board'!B26="","",'Step 11 - Board'!E26)</f>
        <v/>
      </c>
      <c r="O529" s="20" t="str">
        <f>IF('Step 11 - Board'!B26="","",IF('Step 11 - Board'!F26="","","Total"))</f>
        <v/>
      </c>
      <c r="P529" s="19" t="str">
        <f>IF('Step 11 - Board'!B26="","",IF('Step 11 - Board'!F26="","","&gt;="))</f>
        <v/>
      </c>
      <c r="Q529" s="20" t="str">
        <f>IF('Step 11 - Board'!B26="","",IF('Step 11 - Board'!F26="","",'Step 11 - Board'!F26))</f>
        <v/>
      </c>
      <c r="R529" s="20" t="str">
        <f>""</f>
        <v/>
      </c>
      <c r="S529" s="20" t="str">
        <f>""</f>
        <v/>
      </c>
      <c r="T529" s="20" t="str">
        <f>""</f>
        <v/>
      </c>
      <c r="U529" s="20" t="str">
        <f>IF('Step 11 - Board'!B26="","",'Step 11 - Board'!I26)</f>
        <v/>
      </c>
      <c r="V529" s="19" t="str">
        <f>IF('Step 11 - Board'!B26="","",'Step 11 - Board'!K26)</f>
        <v/>
      </c>
      <c r="W529" s="20" t="str">
        <f>IF('Step 11 - Board'!B26="","",'Step 11 - Board'!L26)</f>
        <v/>
      </c>
      <c r="X529" s="19" t="str">
        <f>IF('Step 11 - Board'!B26="","",'Step 11 - Board'!N26)</f>
        <v/>
      </c>
      <c r="Y529" s="20" t="str">
        <f>""</f>
        <v/>
      </c>
      <c r="Z529" s="20" t="str">
        <f>""</f>
        <v/>
      </c>
      <c r="AA529" s="20" t="str">
        <f>""</f>
        <v/>
      </c>
      <c r="AB529" s="20" t="str">
        <f>""</f>
        <v/>
      </c>
      <c r="AC529" s="20" t="str">
        <f>""</f>
        <v/>
      </c>
      <c r="AD529" s="20" t="str">
        <f>""</f>
        <v/>
      </c>
      <c r="AE529" s="20" t="str">
        <f>""</f>
        <v/>
      </c>
      <c r="AF529" s="20" t="str">
        <f>""</f>
        <v/>
      </c>
      <c r="AG529" s="20" t="str">
        <f>""</f>
        <v/>
      </c>
      <c r="AH529" s="20" t="str">
        <f>""</f>
        <v/>
      </c>
      <c r="AI529" s="20" t="str">
        <f>""</f>
        <v/>
      </c>
      <c r="AJ529" s="20" t="str">
        <f>""</f>
        <v/>
      </c>
      <c r="AK529" s="20" t="str">
        <f>""</f>
        <v/>
      </c>
      <c r="AL529" s="20" t="str">
        <f>""</f>
        <v/>
      </c>
      <c r="AM529" s="20" t="str">
        <f>""</f>
        <v/>
      </c>
    </row>
    <row r="530" spans="1:39" ht="15.75" customHeight="1" x14ac:dyDescent="0.25">
      <c r="A530" s="17" t="str">
        <f>IF('Step 11 - Board'!B27="","","Active")</f>
        <v/>
      </c>
      <c r="B530" s="18" t="str">
        <f>IF('Step 11 - Board'!B27="","",'Step 11 - Board'!B27)</f>
        <v/>
      </c>
      <c r="C530" s="18" t="str">
        <f>IF('Step 11 - Board'!B27="","",'Step 11 - Board'!B27)</f>
        <v/>
      </c>
      <c r="D530" s="17" t="str">
        <f>IF('Step 11 - Board'!B27="","",'Step 11 - Board'!G27)</f>
        <v/>
      </c>
      <c r="E530" s="17" t="str">
        <f>IF('Step 11 - Board'!B27="","",'Step 11 - Board'!H27)</f>
        <v/>
      </c>
      <c r="F530" s="18" t="str">
        <f>IF('Step 11 - Board'!B27="","",IF('Step 11 - Board'!C27="","","Fund Code"))</f>
        <v/>
      </c>
      <c r="G530" s="17" t="str">
        <f>IF('Step 11 - Board'!B27="","",IF('Step 11 - Board'!C27="","","Equals"))</f>
        <v/>
      </c>
      <c r="H530" s="18" t="str">
        <f>IF('Step 11 - Board'!B27="","",IF('Step 11 - Board'!C27="","",'Step 11 - Board'!C27))</f>
        <v/>
      </c>
      <c r="I530" s="18" t="str">
        <f>IF('Step 11 - Board'!B27="","","Organization Code")</f>
        <v/>
      </c>
      <c r="J530" s="17" t="str">
        <f>IF('Step 11 - Board'!B27="","","Equals")</f>
        <v/>
      </c>
      <c r="K530" s="18" t="str">
        <f>IF('Step 11 - Board'!B27="","",'Step 11 - Board'!D27)</f>
        <v/>
      </c>
      <c r="L530" s="18" t="str">
        <f>IF('Step 11 - Board'!B27="","","Other Criteria")</f>
        <v/>
      </c>
      <c r="M530" s="17" t="str">
        <f>IF('Step 11 - Board'!B27="","","Equals")</f>
        <v/>
      </c>
      <c r="N530" s="18" t="str">
        <f>IF('Step 11 - Board'!B27="","",'Step 11 - Board'!E27)</f>
        <v/>
      </c>
      <c r="O530" s="18" t="str">
        <f>IF('Step 11 - Board'!B27="","",IF('Step 11 - Board'!F27="","","Total"))</f>
        <v/>
      </c>
      <c r="P530" s="17" t="str">
        <f>IF('Step 11 - Board'!B27="","",IF('Step 11 - Board'!F27="","","&gt;="))</f>
        <v/>
      </c>
      <c r="Q530" s="18" t="str">
        <f>IF('Step 11 - Board'!B27="","",IF('Step 11 - Board'!F27="","",'Step 11 - Board'!F27))</f>
        <v/>
      </c>
      <c r="R530" s="18" t="str">
        <f>""</f>
        <v/>
      </c>
      <c r="S530" s="18" t="str">
        <f>""</f>
        <v/>
      </c>
      <c r="T530" s="18" t="str">
        <f>""</f>
        <v/>
      </c>
      <c r="U530" s="18" t="str">
        <f>IF('Step 11 - Board'!B27="","",'Step 11 - Board'!I27)</f>
        <v/>
      </c>
      <c r="V530" s="17" t="str">
        <f>IF('Step 11 - Board'!B27="","",'Step 11 - Board'!K27)</f>
        <v/>
      </c>
      <c r="W530" s="18" t="str">
        <f>IF('Step 11 - Board'!B27="","",'Step 11 - Board'!L27)</f>
        <v/>
      </c>
      <c r="X530" s="17" t="str">
        <f>IF('Step 11 - Board'!B27="","",'Step 11 - Board'!N27)</f>
        <v/>
      </c>
      <c r="Y530" s="18" t="str">
        <f>""</f>
        <v/>
      </c>
      <c r="Z530" s="18" t="str">
        <f>""</f>
        <v/>
      </c>
      <c r="AA530" s="18" t="str">
        <f>""</f>
        <v/>
      </c>
      <c r="AB530" s="18" t="str">
        <f>""</f>
        <v/>
      </c>
      <c r="AC530" s="18" t="str">
        <f>""</f>
        <v/>
      </c>
      <c r="AD530" s="18" t="str">
        <f>""</f>
        <v/>
      </c>
      <c r="AE530" s="18" t="str">
        <f>""</f>
        <v/>
      </c>
      <c r="AF530" s="18" t="str">
        <f>""</f>
        <v/>
      </c>
      <c r="AG530" s="18" t="str">
        <f>""</f>
        <v/>
      </c>
      <c r="AH530" s="18" t="str">
        <f>""</f>
        <v/>
      </c>
      <c r="AI530" s="18" t="str">
        <f>""</f>
        <v/>
      </c>
      <c r="AJ530" s="18" t="str">
        <f>""</f>
        <v/>
      </c>
      <c r="AK530" s="18" t="str">
        <f>""</f>
        <v/>
      </c>
      <c r="AL530" s="18" t="str">
        <f>""</f>
        <v/>
      </c>
      <c r="AM530" s="18" t="str">
        <f>""</f>
        <v/>
      </c>
    </row>
    <row r="531" spans="1:39" ht="15.75" customHeight="1" x14ac:dyDescent="0.25">
      <c r="A531" s="19" t="str">
        <f>IF('Step 11 - Board'!B28="","","Active")</f>
        <v/>
      </c>
      <c r="B531" s="20" t="str">
        <f>IF('Step 11 - Board'!B28="","",'Step 11 - Board'!B28)</f>
        <v/>
      </c>
      <c r="C531" s="20" t="str">
        <f>IF('Step 11 - Board'!B28="","",'Step 11 - Board'!B28)</f>
        <v/>
      </c>
      <c r="D531" s="19" t="str">
        <f>IF('Step 11 - Board'!B28="","",'Step 11 - Board'!G28)</f>
        <v/>
      </c>
      <c r="E531" s="19" t="str">
        <f>IF('Step 11 - Board'!B28="","",'Step 11 - Board'!H28)</f>
        <v/>
      </c>
      <c r="F531" s="20" t="str">
        <f>IF('Step 11 - Board'!B28="","",IF('Step 11 - Board'!C28="","","Fund Code"))</f>
        <v/>
      </c>
      <c r="G531" s="19" t="str">
        <f>IF('Step 11 - Board'!B28="","",IF('Step 11 - Board'!C28="","","Equals"))</f>
        <v/>
      </c>
      <c r="H531" s="20" t="str">
        <f>IF('Step 11 - Board'!B28="","",IF('Step 11 - Board'!C28="","",'Step 11 - Board'!C28))</f>
        <v/>
      </c>
      <c r="I531" s="20" t="str">
        <f>IF('Step 11 - Board'!B28="","","Organization Code")</f>
        <v/>
      </c>
      <c r="J531" s="19" t="str">
        <f>IF('Step 11 - Board'!B28="","","Equals")</f>
        <v/>
      </c>
      <c r="K531" s="20" t="str">
        <f>IF('Step 11 - Board'!B28="","",'Step 11 - Board'!D28)</f>
        <v/>
      </c>
      <c r="L531" s="20" t="str">
        <f>IF('Step 11 - Board'!B28="","","Other Criteria")</f>
        <v/>
      </c>
      <c r="M531" s="19" t="str">
        <f>IF('Step 11 - Board'!B28="","","Equals")</f>
        <v/>
      </c>
      <c r="N531" s="20" t="str">
        <f>IF('Step 11 - Board'!B28="","",'Step 11 - Board'!E28)</f>
        <v/>
      </c>
      <c r="O531" s="20" t="str">
        <f>IF('Step 11 - Board'!B28="","",IF('Step 11 - Board'!F28="","","Total"))</f>
        <v/>
      </c>
      <c r="P531" s="19" t="str">
        <f>IF('Step 11 - Board'!B28="","",IF('Step 11 - Board'!F28="","","&gt;="))</f>
        <v/>
      </c>
      <c r="Q531" s="20" t="str">
        <f>IF('Step 11 - Board'!B28="","",IF('Step 11 - Board'!F28="","",'Step 11 - Board'!F28))</f>
        <v/>
      </c>
      <c r="R531" s="20" t="str">
        <f>""</f>
        <v/>
      </c>
      <c r="S531" s="20" t="str">
        <f>""</f>
        <v/>
      </c>
      <c r="T531" s="20" t="str">
        <f>""</f>
        <v/>
      </c>
      <c r="U531" s="20" t="str">
        <f>IF('Step 11 - Board'!B28="","",'Step 11 - Board'!I28)</f>
        <v/>
      </c>
      <c r="V531" s="19" t="str">
        <f>IF('Step 11 - Board'!B28="","",'Step 11 - Board'!K28)</f>
        <v/>
      </c>
      <c r="W531" s="20" t="str">
        <f>IF('Step 11 - Board'!B28="","",'Step 11 - Board'!L28)</f>
        <v/>
      </c>
      <c r="X531" s="19" t="str">
        <f>IF('Step 11 - Board'!B28="","",'Step 11 - Board'!N28)</f>
        <v/>
      </c>
      <c r="Y531" s="20" t="str">
        <f>""</f>
        <v/>
      </c>
      <c r="Z531" s="20" t="str">
        <f>""</f>
        <v/>
      </c>
      <c r="AA531" s="20" t="str">
        <f>""</f>
        <v/>
      </c>
      <c r="AB531" s="20" t="str">
        <f>""</f>
        <v/>
      </c>
      <c r="AC531" s="20" t="str">
        <f>""</f>
        <v/>
      </c>
      <c r="AD531" s="20" t="str">
        <f>""</f>
        <v/>
      </c>
      <c r="AE531" s="20" t="str">
        <f>""</f>
        <v/>
      </c>
      <c r="AF531" s="20" t="str">
        <f>""</f>
        <v/>
      </c>
      <c r="AG531" s="20" t="str">
        <f>""</f>
        <v/>
      </c>
      <c r="AH531" s="20" t="str">
        <f>""</f>
        <v/>
      </c>
      <c r="AI531" s="20" t="str">
        <f>""</f>
        <v/>
      </c>
      <c r="AJ531" s="20" t="str">
        <f>""</f>
        <v/>
      </c>
      <c r="AK531" s="20" t="str">
        <f>""</f>
        <v/>
      </c>
      <c r="AL531" s="20" t="str">
        <f>""</f>
        <v/>
      </c>
      <c r="AM531" s="20" t="str">
        <f>""</f>
        <v/>
      </c>
    </row>
    <row r="532" spans="1:39" ht="15.75" customHeight="1" x14ac:dyDescent="0.25">
      <c r="A532" s="17" t="str">
        <f>IF('Step 11 - Board'!B29="","","Active")</f>
        <v/>
      </c>
      <c r="B532" s="18" t="str">
        <f>IF('Step 11 - Board'!B29="","",'Step 11 - Board'!B29)</f>
        <v/>
      </c>
      <c r="C532" s="18" t="str">
        <f>IF('Step 11 - Board'!B29="","",'Step 11 - Board'!B29)</f>
        <v/>
      </c>
      <c r="D532" s="17" t="str">
        <f>IF('Step 11 - Board'!B29="","",'Step 11 - Board'!G29)</f>
        <v/>
      </c>
      <c r="E532" s="17" t="str">
        <f>IF('Step 11 - Board'!B29="","",'Step 11 - Board'!H29)</f>
        <v/>
      </c>
      <c r="F532" s="18" t="str">
        <f>IF('Step 11 - Board'!B29="","",IF('Step 11 - Board'!C29="","","Fund Code"))</f>
        <v/>
      </c>
      <c r="G532" s="17" t="str">
        <f>IF('Step 11 - Board'!B29="","",IF('Step 11 - Board'!C29="","","Equals"))</f>
        <v/>
      </c>
      <c r="H532" s="18" t="str">
        <f>IF('Step 11 - Board'!B29="","",IF('Step 11 - Board'!C29="","",'Step 11 - Board'!C29))</f>
        <v/>
      </c>
      <c r="I532" s="18" t="str">
        <f>IF('Step 11 - Board'!B29="","","Organization Code")</f>
        <v/>
      </c>
      <c r="J532" s="17" t="str">
        <f>IF('Step 11 - Board'!B29="","","Equals")</f>
        <v/>
      </c>
      <c r="K532" s="18" t="str">
        <f>IF('Step 11 - Board'!B29="","",'Step 11 - Board'!D29)</f>
        <v/>
      </c>
      <c r="L532" s="18" t="str">
        <f>IF('Step 11 - Board'!B29="","","Other Criteria")</f>
        <v/>
      </c>
      <c r="M532" s="17" t="str">
        <f>IF('Step 11 - Board'!B29="","","Equals")</f>
        <v/>
      </c>
      <c r="N532" s="18" t="str">
        <f>IF('Step 11 - Board'!B29="","",'Step 11 - Board'!E29)</f>
        <v/>
      </c>
      <c r="O532" s="18" t="str">
        <f>IF('Step 11 - Board'!B29="","",IF('Step 11 - Board'!F29="","","Total"))</f>
        <v/>
      </c>
      <c r="P532" s="17" t="str">
        <f>IF('Step 11 - Board'!B29="","",IF('Step 11 - Board'!F29="","","&gt;="))</f>
        <v/>
      </c>
      <c r="Q532" s="18" t="str">
        <f>IF('Step 11 - Board'!B29="","",IF('Step 11 - Board'!F29="","",'Step 11 - Board'!F29))</f>
        <v/>
      </c>
      <c r="R532" s="18" t="str">
        <f>""</f>
        <v/>
      </c>
      <c r="S532" s="18" t="str">
        <f>""</f>
        <v/>
      </c>
      <c r="T532" s="18" t="str">
        <f>""</f>
        <v/>
      </c>
      <c r="U532" s="18" t="str">
        <f>IF('Step 11 - Board'!B29="","",'Step 11 - Board'!I29)</f>
        <v/>
      </c>
      <c r="V532" s="17" t="str">
        <f>IF('Step 11 - Board'!B29="","",'Step 11 - Board'!K29)</f>
        <v/>
      </c>
      <c r="W532" s="18" t="str">
        <f>IF('Step 11 - Board'!B29="","",'Step 11 - Board'!L29)</f>
        <v/>
      </c>
      <c r="X532" s="17" t="str">
        <f>IF('Step 11 - Board'!B29="","",'Step 11 - Board'!N29)</f>
        <v/>
      </c>
      <c r="Y532" s="18" t="str">
        <f>""</f>
        <v/>
      </c>
      <c r="Z532" s="18" t="str">
        <f>""</f>
        <v/>
      </c>
      <c r="AA532" s="18" t="str">
        <f>""</f>
        <v/>
      </c>
      <c r="AB532" s="18" t="str">
        <f>""</f>
        <v/>
      </c>
      <c r="AC532" s="18" t="str">
        <f>""</f>
        <v/>
      </c>
      <c r="AD532" s="18" t="str">
        <f>""</f>
        <v/>
      </c>
      <c r="AE532" s="18" t="str">
        <f>""</f>
        <v/>
      </c>
      <c r="AF532" s="18" t="str">
        <f>""</f>
        <v/>
      </c>
      <c r="AG532" s="18" t="str">
        <f>""</f>
        <v/>
      </c>
      <c r="AH532" s="18" t="str">
        <f>""</f>
        <v/>
      </c>
      <c r="AI532" s="18" t="str">
        <f>""</f>
        <v/>
      </c>
      <c r="AJ532" s="18" t="str">
        <f>""</f>
        <v/>
      </c>
      <c r="AK532" s="18" t="str">
        <f>""</f>
        <v/>
      </c>
      <c r="AL532" s="18" t="str">
        <f>""</f>
        <v/>
      </c>
      <c r="AM532" s="18" t="str">
        <f>""</f>
        <v/>
      </c>
    </row>
    <row r="533" spans="1:39" ht="15.75" customHeight="1" x14ac:dyDescent="0.25">
      <c r="A533" s="19" t="str">
        <f>IF('Step 11 - Board'!B30="","","Active")</f>
        <v/>
      </c>
      <c r="B533" s="20" t="str">
        <f>IF('Step 11 - Board'!B30="","",'Step 11 - Board'!B30)</f>
        <v/>
      </c>
      <c r="C533" s="20" t="str">
        <f>IF('Step 11 - Board'!B30="","",'Step 11 - Board'!B30)</f>
        <v/>
      </c>
      <c r="D533" s="19" t="str">
        <f>IF('Step 11 - Board'!B30="","",'Step 11 - Board'!G30)</f>
        <v/>
      </c>
      <c r="E533" s="19" t="str">
        <f>IF('Step 11 - Board'!B30="","",'Step 11 - Board'!H30)</f>
        <v/>
      </c>
      <c r="F533" s="20" t="str">
        <f>IF('Step 11 - Board'!B30="","",IF('Step 11 - Board'!C30="","","Fund Code"))</f>
        <v/>
      </c>
      <c r="G533" s="19" t="str">
        <f>IF('Step 11 - Board'!B30="","",IF('Step 11 - Board'!C30="","","Equals"))</f>
        <v/>
      </c>
      <c r="H533" s="20" t="str">
        <f>IF('Step 11 - Board'!B30="","",IF('Step 11 - Board'!C30="","",'Step 11 - Board'!C30))</f>
        <v/>
      </c>
      <c r="I533" s="20" t="str">
        <f>IF('Step 11 - Board'!B30="","","Organization Code")</f>
        <v/>
      </c>
      <c r="J533" s="19" t="str">
        <f>IF('Step 11 - Board'!B30="","","Equals")</f>
        <v/>
      </c>
      <c r="K533" s="20" t="str">
        <f>IF('Step 11 - Board'!B30="","",'Step 11 - Board'!D30)</f>
        <v/>
      </c>
      <c r="L533" s="20" t="str">
        <f>IF('Step 11 - Board'!B30="","","Other Criteria")</f>
        <v/>
      </c>
      <c r="M533" s="19" t="str">
        <f>IF('Step 11 - Board'!B30="","","Equals")</f>
        <v/>
      </c>
      <c r="N533" s="20" t="str">
        <f>IF('Step 11 - Board'!B30="","",'Step 11 - Board'!E30)</f>
        <v/>
      </c>
      <c r="O533" s="20" t="str">
        <f>IF('Step 11 - Board'!B30="","",IF('Step 11 - Board'!F30="","","Total"))</f>
        <v/>
      </c>
      <c r="P533" s="19" t="str">
        <f>IF('Step 11 - Board'!B30="","",IF('Step 11 - Board'!F30="","","&gt;="))</f>
        <v/>
      </c>
      <c r="Q533" s="20" t="str">
        <f>IF('Step 11 - Board'!B30="","",IF('Step 11 - Board'!F30="","",'Step 11 - Board'!F30))</f>
        <v/>
      </c>
      <c r="R533" s="20" t="str">
        <f>""</f>
        <v/>
      </c>
      <c r="S533" s="20" t="str">
        <f>""</f>
        <v/>
      </c>
      <c r="T533" s="20" t="str">
        <f>""</f>
        <v/>
      </c>
      <c r="U533" s="20" t="str">
        <f>IF('Step 11 - Board'!B30="","",'Step 11 - Board'!I30)</f>
        <v/>
      </c>
      <c r="V533" s="19" t="str">
        <f>IF('Step 11 - Board'!B30="","",'Step 11 - Board'!K30)</f>
        <v/>
      </c>
      <c r="W533" s="20" t="str">
        <f>IF('Step 11 - Board'!B30="","",'Step 11 - Board'!L30)</f>
        <v/>
      </c>
      <c r="X533" s="19" t="str">
        <f>IF('Step 11 - Board'!B30="","",'Step 11 - Board'!N30)</f>
        <v/>
      </c>
      <c r="Y533" s="20" t="str">
        <f>""</f>
        <v/>
      </c>
      <c r="Z533" s="20" t="str">
        <f>""</f>
        <v/>
      </c>
      <c r="AA533" s="20" t="str">
        <f>""</f>
        <v/>
      </c>
      <c r="AB533" s="20" t="str">
        <f>""</f>
        <v/>
      </c>
      <c r="AC533" s="20" t="str">
        <f>""</f>
        <v/>
      </c>
      <c r="AD533" s="20" t="str">
        <f>""</f>
        <v/>
      </c>
      <c r="AE533" s="20" t="str">
        <f>""</f>
        <v/>
      </c>
      <c r="AF533" s="20" t="str">
        <f>""</f>
        <v/>
      </c>
      <c r="AG533" s="20" t="str">
        <f>""</f>
        <v/>
      </c>
      <c r="AH533" s="20" t="str">
        <f>""</f>
        <v/>
      </c>
      <c r="AI533" s="20" t="str">
        <f>""</f>
        <v/>
      </c>
      <c r="AJ533" s="20" t="str">
        <f>""</f>
        <v/>
      </c>
      <c r="AK533" s="20" t="str">
        <f>""</f>
        <v/>
      </c>
      <c r="AL533" s="20" t="str">
        <f>""</f>
        <v/>
      </c>
      <c r="AM533" s="20" t="str">
        <f>""</f>
        <v/>
      </c>
    </row>
    <row r="534" spans="1:39" ht="15.75" customHeight="1" x14ac:dyDescent="0.25">
      <c r="A534" s="17" t="str">
        <f>IF('Step 11 - Board'!B31="","","Active")</f>
        <v/>
      </c>
      <c r="B534" s="18" t="str">
        <f>IF('Step 11 - Board'!B31="","",'Step 11 - Board'!B31)</f>
        <v/>
      </c>
      <c r="C534" s="18" t="str">
        <f>IF('Step 11 - Board'!B31="","",'Step 11 - Board'!B31)</f>
        <v/>
      </c>
      <c r="D534" s="17" t="str">
        <f>IF('Step 11 - Board'!B31="","",'Step 11 - Board'!G31)</f>
        <v/>
      </c>
      <c r="E534" s="17" t="str">
        <f>IF('Step 11 - Board'!B31="","",'Step 11 - Board'!H31)</f>
        <v/>
      </c>
      <c r="F534" s="18" t="str">
        <f>IF('Step 11 - Board'!B31="","",IF('Step 11 - Board'!C31="","","Fund Code"))</f>
        <v/>
      </c>
      <c r="G534" s="17" t="str">
        <f>IF('Step 11 - Board'!B31="","",IF('Step 11 - Board'!C31="","","Equals"))</f>
        <v/>
      </c>
      <c r="H534" s="18" t="str">
        <f>IF('Step 11 - Board'!B31="","",IF('Step 11 - Board'!C31="","",'Step 11 - Board'!C31))</f>
        <v/>
      </c>
      <c r="I534" s="18" t="str">
        <f>IF('Step 11 - Board'!B31="","","Organization Code")</f>
        <v/>
      </c>
      <c r="J534" s="17" t="str">
        <f>IF('Step 11 - Board'!B31="","","Equals")</f>
        <v/>
      </c>
      <c r="K534" s="18" t="str">
        <f>IF('Step 11 - Board'!B31="","",'Step 11 - Board'!D31)</f>
        <v/>
      </c>
      <c r="L534" s="18" t="str">
        <f>IF('Step 11 - Board'!B31="","","Other Criteria")</f>
        <v/>
      </c>
      <c r="M534" s="17" t="str">
        <f>IF('Step 11 - Board'!B31="","","Equals")</f>
        <v/>
      </c>
      <c r="N534" s="18" t="str">
        <f>IF('Step 11 - Board'!B31="","",'Step 11 - Board'!E31)</f>
        <v/>
      </c>
      <c r="O534" s="18" t="str">
        <f>IF('Step 11 - Board'!B31="","",IF('Step 11 - Board'!F31="","","Total"))</f>
        <v/>
      </c>
      <c r="P534" s="17" t="str">
        <f>IF('Step 11 - Board'!B31="","",IF('Step 11 - Board'!F31="","","&gt;="))</f>
        <v/>
      </c>
      <c r="Q534" s="18" t="str">
        <f>IF('Step 11 - Board'!B31="","",IF('Step 11 - Board'!F31="","",'Step 11 - Board'!F31))</f>
        <v/>
      </c>
      <c r="R534" s="18" t="str">
        <f>""</f>
        <v/>
      </c>
      <c r="S534" s="18" t="str">
        <f>""</f>
        <v/>
      </c>
      <c r="T534" s="18" t="str">
        <f>""</f>
        <v/>
      </c>
      <c r="U534" s="18" t="str">
        <f>IF('Step 11 - Board'!B31="","",'Step 11 - Board'!I31)</f>
        <v/>
      </c>
      <c r="V534" s="17" t="str">
        <f>IF('Step 11 - Board'!B31="","",'Step 11 - Board'!K31)</f>
        <v/>
      </c>
      <c r="W534" s="18" t="str">
        <f>IF('Step 11 - Board'!B31="","",'Step 11 - Board'!L31)</f>
        <v/>
      </c>
      <c r="X534" s="17" t="str">
        <f>IF('Step 11 - Board'!B31="","",'Step 11 - Board'!N31)</f>
        <v/>
      </c>
      <c r="Y534" s="18" t="str">
        <f>""</f>
        <v/>
      </c>
      <c r="Z534" s="18" t="str">
        <f>""</f>
        <v/>
      </c>
      <c r="AA534" s="18" t="str">
        <f>""</f>
        <v/>
      </c>
      <c r="AB534" s="18" t="str">
        <f>""</f>
        <v/>
      </c>
      <c r="AC534" s="18" t="str">
        <f>""</f>
        <v/>
      </c>
      <c r="AD534" s="18" t="str">
        <f>""</f>
        <v/>
      </c>
      <c r="AE534" s="18" t="str">
        <f>""</f>
        <v/>
      </c>
      <c r="AF534" s="18" t="str">
        <f>""</f>
        <v/>
      </c>
      <c r="AG534" s="18" t="str">
        <f>""</f>
        <v/>
      </c>
      <c r="AH534" s="18" t="str">
        <f>""</f>
        <v/>
      </c>
      <c r="AI534" s="18" t="str">
        <f>""</f>
        <v/>
      </c>
      <c r="AJ534" s="18" t="str">
        <f>""</f>
        <v/>
      </c>
      <c r="AK534" s="18" t="str">
        <f>""</f>
        <v/>
      </c>
      <c r="AL534" s="18" t="str">
        <f>""</f>
        <v/>
      </c>
      <c r="AM534" s="18" t="str">
        <f>""</f>
        <v/>
      </c>
    </row>
    <row r="535" spans="1:39" ht="15.75" customHeight="1" x14ac:dyDescent="0.25">
      <c r="A535" s="19" t="str">
        <f>IF('Step 11 - Board'!B32="","","Active")</f>
        <v/>
      </c>
      <c r="B535" s="20" t="str">
        <f>IF('Step 11 - Board'!B32="","",'Step 11 - Board'!B32)</f>
        <v/>
      </c>
      <c r="C535" s="20" t="str">
        <f>IF('Step 11 - Board'!B32="","",'Step 11 - Board'!B32)</f>
        <v/>
      </c>
      <c r="D535" s="19" t="str">
        <f>IF('Step 11 - Board'!B32="","",'Step 11 - Board'!G32)</f>
        <v/>
      </c>
      <c r="E535" s="19" t="str">
        <f>IF('Step 11 - Board'!B32="","",'Step 11 - Board'!H32)</f>
        <v/>
      </c>
      <c r="F535" s="20" t="str">
        <f>IF('Step 11 - Board'!B32="","",IF('Step 11 - Board'!C32="","","Fund Code"))</f>
        <v/>
      </c>
      <c r="G535" s="19" t="str">
        <f>IF('Step 11 - Board'!B32="","",IF('Step 11 - Board'!C32="","","Equals"))</f>
        <v/>
      </c>
      <c r="H535" s="20" t="str">
        <f>IF('Step 11 - Board'!B32="","",IF('Step 11 - Board'!C32="","",'Step 11 - Board'!C32))</f>
        <v/>
      </c>
      <c r="I535" s="20" t="str">
        <f>IF('Step 11 - Board'!B32="","","Organization Code")</f>
        <v/>
      </c>
      <c r="J535" s="19" t="str">
        <f>IF('Step 11 - Board'!B32="","","Equals")</f>
        <v/>
      </c>
      <c r="K535" s="20" t="str">
        <f>IF('Step 11 - Board'!B32="","",'Step 11 - Board'!D32)</f>
        <v/>
      </c>
      <c r="L535" s="20" t="str">
        <f>IF('Step 11 - Board'!B32="","","Other Criteria")</f>
        <v/>
      </c>
      <c r="M535" s="19" t="str">
        <f>IF('Step 11 - Board'!B32="","","Equals")</f>
        <v/>
      </c>
      <c r="N535" s="20" t="str">
        <f>IF('Step 11 - Board'!B32="","",'Step 11 - Board'!E32)</f>
        <v/>
      </c>
      <c r="O535" s="20" t="str">
        <f>IF('Step 11 - Board'!B32="","",IF('Step 11 - Board'!F32="","","Total"))</f>
        <v/>
      </c>
      <c r="P535" s="19" t="str">
        <f>IF('Step 11 - Board'!B32="","",IF('Step 11 - Board'!F32="","","&gt;="))</f>
        <v/>
      </c>
      <c r="Q535" s="20" t="str">
        <f>IF('Step 11 - Board'!B32="","",IF('Step 11 - Board'!F32="","",'Step 11 - Board'!F32))</f>
        <v/>
      </c>
      <c r="R535" s="20" t="str">
        <f>""</f>
        <v/>
      </c>
      <c r="S535" s="20" t="str">
        <f>""</f>
        <v/>
      </c>
      <c r="T535" s="20" t="str">
        <f>""</f>
        <v/>
      </c>
      <c r="U535" s="20" t="str">
        <f>IF('Step 11 - Board'!B32="","",'Step 11 - Board'!I32)</f>
        <v/>
      </c>
      <c r="V535" s="19" t="str">
        <f>IF('Step 11 - Board'!B32="","",'Step 11 - Board'!K32)</f>
        <v/>
      </c>
      <c r="W535" s="20" t="str">
        <f>IF('Step 11 - Board'!B32="","",'Step 11 - Board'!L32)</f>
        <v/>
      </c>
      <c r="X535" s="19" t="str">
        <f>IF('Step 11 - Board'!B32="","",'Step 11 - Board'!N32)</f>
        <v/>
      </c>
      <c r="Y535" s="20" t="str">
        <f>""</f>
        <v/>
      </c>
      <c r="Z535" s="20" t="str">
        <f>""</f>
        <v/>
      </c>
      <c r="AA535" s="20" t="str">
        <f>""</f>
        <v/>
      </c>
      <c r="AB535" s="20" t="str">
        <f>""</f>
        <v/>
      </c>
      <c r="AC535" s="20" t="str">
        <f>""</f>
        <v/>
      </c>
      <c r="AD535" s="20" t="str">
        <f>""</f>
        <v/>
      </c>
      <c r="AE535" s="20" t="str">
        <f>""</f>
        <v/>
      </c>
      <c r="AF535" s="20" t="str">
        <f>""</f>
        <v/>
      </c>
      <c r="AG535" s="20" t="str">
        <f>""</f>
        <v/>
      </c>
      <c r="AH535" s="20" t="str">
        <f>""</f>
        <v/>
      </c>
      <c r="AI535" s="20" t="str">
        <f>""</f>
        <v/>
      </c>
      <c r="AJ535" s="20" t="str">
        <f>""</f>
        <v/>
      </c>
      <c r="AK535" s="20" t="str">
        <f>""</f>
        <v/>
      </c>
      <c r="AL535" s="20" t="str">
        <f>""</f>
        <v/>
      </c>
      <c r="AM535" s="20" t="str">
        <f>""</f>
        <v/>
      </c>
    </row>
    <row r="536" spans="1:39" ht="15.75" customHeight="1" x14ac:dyDescent="0.25">
      <c r="A536" s="17" t="str">
        <f>IF('Step 11 - Board'!B33="","","Active")</f>
        <v/>
      </c>
      <c r="B536" s="18" t="str">
        <f>IF('Step 11 - Board'!B33="","",'Step 11 - Board'!B33)</f>
        <v/>
      </c>
      <c r="C536" s="18" t="str">
        <f>IF('Step 11 - Board'!B33="","",'Step 11 - Board'!B33)</f>
        <v/>
      </c>
      <c r="D536" s="17" t="str">
        <f>IF('Step 11 - Board'!B33="","",'Step 11 - Board'!G33)</f>
        <v/>
      </c>
      <c r="E536" s="17" t="str">
        <f>IF('Step 11 - Board'!B33="","",'Step 11 - Board'!H33)</f>
        <v/>
      </c>
      <c r="F536" s="18" t="str">
        <f>IF('Step 11 - Board'!B33="","",IF('Step 11 - Board'!C33="","","Fund Code"))</f>
        <v/>
      </c>
      <c r="G536" s="17" t="str">
        <f>IF('Step 11 - Board'!B33="","",IF('Step 11 - Board'!C33="","","Equals"))</f>
        <v/>
      </c>
      <c r="H536" s="18" t="str">
        <f>IF('Step 11 - Board'!B33="","",IF('Step 11 - Board'!C33="","",'Step 11 - Board'!C33))</f>
        <v/>
      </c>
      <c r="I536" s="18" t="str">
        <f>IF('Step 11 - Board'!B33="","","Organization Code")</f>
        <v/>
      </c>
      <c r="J536" s="17" t="str">
        <f>IF('Step 11 - Board'!B33="","","Equals")</f>
        <v/>
      </c>
      <c r="K536" s="18" t="str">
        <f>IF('Step 11 - Board'!B33="","",'Step 11 - Board'!D33)</f>
        <v/>
      </c>
      <c r="L536" s="18" t="str">
        <f>IF('Step 11 - Board'!B33="","","Other Criteria")</f>
        <v/>
      </c>
      <c r="M536" s="17" t="str">
        <f>IF('Step 11 - Board'!B33="","","Equals")</f>
        <v/>
      </c>
      <c r="N536" s="18" t="str">
        <f>IF('Step 11 - Board'!B33="","",'Step 11 - Board'!E33)</f>
        <v/>
      </c>
      <c r="O536" s="18" t="str">
        <f>IF('Step 11 - Board'!B33="","",IF('Step 11 - Board'!F33="","","Total"))</f>
        <v/>
      </c>
      <c r="P536" s="17" t="str">
        <f>IF('Step 11 - Board'!B33="","",IF('Step 11 - Board'!F33="","","&gt;="))</f>
        <v/>
      </c>
      <c r="Q536" s="18" t="str">
        <f>IF('Step 11 - Board'!B33="","",IF('Step 11 - Board'!F33="","",'Step 11 - Board'!F33))</f>
        <v/>
      </c>
      <c r="R536" s="18" t="str">
        <f>""</f>
        <v/>
      </c>
      <c r="S536" s="18" t="str">
        <f>""</f>
        <v/>
      </c>
      <c r="T536" s="18" t="str">
        <f>""</f>
        <v/>
      </c>
      <c r="U536" s="18" t="str">
        <f>IF('Step 11 - Board'!B33="","",'Step 11 - Board'!I33)</f>
        <v/>
      </c>
      <c r="V536" s="17" t="str">
        <f>IF('Step 11 - Board'!B33="","",'Step 11 - Board'!K33)</f>
        <v/>
      </c>
      <c r="W536" s="18" t="str">
        <f>IF('Step 11 - Board'!B33="","",'Step 11 - Board'!L33)</f>
        <v/>
      </c>
      <c r="X536" s="17" t="str">
        <f>IF('Step 11 - Board'!B33="","",'Step 11 - Board'!N33)</f>
        <v/>
      </c>
      <c r="Y536" s="18" t="str">
        <f>""</f>
        <v/>
      </c>
      <c r="Z536" s="18" t="str">
        <f>""</f>
        <v/>
      </c>
      <c r="AA536" s="18" t="str">
        <f>""</f>
        <v/>
      </c>
      <c r="AB536" s="18" t="str">
        <f>""</f>
        <v/>
      </c>
      <c r="AC536" s="18" t="str">
        <f>""</f>
        <v/>
      </c>
      <c r="AD536" s="18" t="str">
        <f>""</f>
        <v/>
      </c>
      <c r="AE536" s="18" t="str">
        <f>""</f>
        <v/>
      </c>
      <c r="AF536" s="18" t="str">
        <f>""</f>
        <v/>
      </c>
      <c r="AG536" s="18" t="str">
        <f>""</f>
        <v/>
      </c>
      <c r="AH536" s="18" t="str">
        <f>""</f>
        <v/>
      </c>
      <c r="AI536" s="18" t="str">
        <f>""</f>
        <v/>
      </c>
      <c r="AJ536" s="18" t="str">
        <f>""</f>
        <v/>
      </c>
      <c r="AK536" s="18" t="str">
        <f>""</f>
        <v/>
      </c>
      <c r="AL536" s="18" t="str">
        <f>""</f>
        <v/>
      </c>
      <c r="AM536" s="18" t="str">
        <f>""</f>
        <v/>
      </c>
    </row>
    <row r="537" spans="1:39" ht="15.75" customHeight="1" x14ac:dyDescent="0.25">
      <c r="A537" s="19" t="str">
        <f>IF('Step 11 - Board'!B34="","","Active")</f>
        <v/>
      </c>
      <c r="B537" s="20" t="str">
        <f>IF('Step 11 - Board'!B34="","",'Step 11 - Board'!B34)</f>
        <v/>
      </c>
      <c r="C537" s="20" t="str">
        <f>IF('Step 11 - Board'!B34="","",'Step 11 - Board'!B34)</f>
        <v/>
      </c>
      <c r="D537" s="19" t="str">
        <f>IF('Step 11 - Board'!B34="","",'Step 11 - Board'!G34)</f>
        <v/>
      </c>
      <c r="E537" s="19" t="str">
        <f>IF('Step 11 - Board'!B34="","",'Step 11 - Board'!H34)</f>
        <v/>
      </c>
      <c r="F537" s="20" t="str">
        <f>IF('Step 11 - Board'!B34="","",IF('Step 11 - Board'!C34="","","Fund Code"))</f>
        <v/>
      </c>
      <c r="G537" s="19" t="str">
        <f>IF('Step 11 - Board'!B34="","",IF('Step 11 - Board'!C34="","","Equals"))</f>
        <v/>
      </c>
      <c r="H537" s="20" t="str">
        <f>IF('Step 11 - Board'!B34="","",IF('Step 11 - Board'!C34="","",'Step 11 - Board'!C34))</f>
        <v/>
      </c>
      <c r="I537" s="20" t="str">
        <f>IF('Step 11 - Board'!B34="","","Organization Code")</f>
        <v/>
      </c>
      <c r="J537" s="19" t="str">
        <f>IF('Step 11 - Board'!B34="","","Equals")</f>
        <v/>
      </c>
      <c r="K537" s="20" t="str">
        <f>IF('Step 11 - Board'!B34="","",'Step 11 - Board'!D34)</f>
        <v/>
      </c>
      <c r="L537" s="20" t="str">
        <f>IF('Step 11 - Board'!B34="","","Other Criteria")</f>
        <v/>
      </c>
      <c r="M537" s="19" t="str">
        <f>IF('Step 11 - Board'!B34="","","Equals")</f>
        <v/>
      </c>
      <c r="N537" s="20" t="str">
        <f>IF('Step 11 - Board'!B34="","",'Step 11 - Board'!E34)</f>
        <v/>
      </c>
      <c r="O537" s="20" t="str">
        <f>IF('Step 11 - Board'!B34="","",IF('Step 11 - Board'!F34="","","Total"))</f>
        <v/>
      </c>
      <c r="P537" s="19" t="str">
        <f>IF('Step 11 - Board'!B34="","",IF('Step 11 - Board'!F34="","","&gt;="))</f>
        <v/>
      </c>
      <c r="Q537" s="20" t="str">
        <f>IF('Step 11 - Board'!B34="","",IF('Step 11 - Board'!F34="","",'Step 11 - Board'!F34))</f>
        <v/>
      </c>
      <c r="R537" s="20" t="str">
        <f>""</f>
        <v/>
      </c>
      <c r="S537" s="20" t="str">
        <f>""</f>
        <v/>
      </c>
      <c r="T537" s="20" t="str">
        <f>""</f>
        <v/>
      </c>
      <c r="U537" s="20" t="str">
        <f>IF('Step 11 - Board'!B34="","",'Step 11 - Board'!I34)</f>
        <v/>
      </c>
      <c r="V537" s="19" t="str">
        <f>IF('Step 11 - Board'!B34="","",'Step 11 - Board'!K34)</f>
        <v/>
      </c>
      <c r="W537" s="20" t="str">
        <f>IF('Step 11 - Board'!B34="","",'Step 11 - Board'!L34)</f>
        <v/>
      </c>
      <c r="X537" s="19" t="str">
        <f>IF('Step 11 - Board'!B34="","",'Step 11 - Board'!N34)</f>
        <v/>
      </c>
      <c r="Y537" s="20" t="str">
        <f>""</f>
        <v/>
      </c>
      <c r="Z537" s="20" t="str">
        <f>""</f>
        <v/>
      </c>
      <c r="AA537" s="20" t="str">
        <f>""</f>
        <v/>
      </c>
      <c r="AB537" s="20" t="str">
        <f>""</f>
        <v/>
      </c>
      <c r="AC537" s="20" t="str">
        <f>""</f>
        <v/>
      </c>
      <c r="AD537" s="20" t="str">
        <f>""</f>
        <v/>
      </c>
      <c r="AE537" s="20" t="str">
        <f>""</f>
        <v/>
      </c>
      <c r="AF537" s="20" t="str">
        <f>""</f>
        <v/>
      </c>
      <c r="AG537" s="20" t="str">
        <f>""</f>
        <v/>
      </c>
      <c r="AH537" s="20" t="str">
        <f>""</f>
        <v/>
      </c>
      <c r="AI537" s="20" t="str">
        <f>""</f>
        <v/>
      </c>
      <c r="AJ537" s="20" t="str">
        <f>""</f>
        <v/>
      </c>
      <c r="AK537" s="20" t="str">
        <f>""</f>
        <v/>
      </c>
      <c r="AL537" s="20" t="str">
        <f>""</f>
        <v/>
      </c>
      <c r="AM537" s="20" t="str">
        <f>""</f>
        <v/>
      </c>
    </row>
    <row r="538" spans="1:39" ht="15.75" customHeight="1" x14ac:dyDescent="0.25">
      <c r="A538" s="17" t="str">
        <f>IF('Step 11 - Board'!B35="","","Active")</f>
        <v/>
      </c>
      <c r="B538" s="18" t="str">
        <f>IF('Step 11 - Board'!B35="","",'Step 11 - Board'!B35)</f>
        <v/>
      </c>
      <c r="C538" s="18" t="str">
        <f>IF('Step 11 - Board'!B35="","",'Step 11 - Board'!B35)</f>
        <v/>
      </c>
      <c r="D538" s="17" t="str">
        <f>IF('Step 11 - Board'!B35="","",'Step 11 - Board'!G35)</f>
        <v/>
      </c>
      <c r="E538" s="17" t="str">
        <f>IF('Step 11 - Board'!B35="","",'Step 11 - Board'!H35)</f>
        <v/>
      </c>
      <c r="F538" s="18" t="str">
        <f>IF('Step 11 - Board'!B35="","",IF('Step 11 - Board'!C35="","","Fund Code"))</f>
        <v/>
      </c>
      <c r="G538" s="17" t="str">
        <f>IF('Step 11 - Board'!B35="","",IF('Step 11 - Board'!C35="","","Equals"))</f>
        <v/>
      </c>
      <c r="H538" s="18" t="str">
        <f>IF('Step 11 - Board'!B35="","",IF('Step 11 - Board'!C35="","",'Step 11 - Board'!C35))</f>
        <v/>
      </c>
      <c r="I538" s="18" t="str">
        <f>IF('Step 11 - Board'!B35="","","Organization Code")</f>
        <v/>
      </c>
      <c r="J538" s="17" t="str">
        <f>IF('Step 11 - Board'!B35="","","Equals")</f>
        <v/>
      </c>
      <c r="K538" s="18" t="str">
        <f>IF('Step 11 - Board'!B35="","",'Step 11 - Board'!D35)</f>
        <v/>
      </c>
      <c r="L538" s="18" t="str">
        <f>IF('Step 11 - Board'!B35="","","Other Criteria")</f>
        <v/>
      </c>
      <c r="M538" s="17" t="str">
        <f>IF('Step 11 - Board'!B35="","","Equals")</f>
        <v/>
      </c>
      <c r="N538" s="18" t="str">
        <f>IF('Step 11 - Board'!B35="","",'Step 11 - Board'!E35)</f>
        <v/>
      </c>
      <c r="O538" s="18" t="str">
        <f>IF('Step 11 - Board'!B35="","",IF('Step 11 - Board'!F35="","","Total"))</f>
        <v/>
      </c>
      <c r="P538" s="17" t="str">
        <f>IF('Step 11 - Board'!B35="","",IF('Step 11 - Board'!F35="","","&gt;="))</f>
        <v/>
      </c>
      <c r="Q538" s="18" t="str">
        <f>IF('Step 11 - Board'!B35="","",IF('Step 11 - Board'!F35="","",'Step 11 - Board'!F35))</f>
        <v/>
      </c>
      <c r="R538" s="18" t="str">
        <f>""</f>
        <v/>
      </c>
      <c r="S538" s="18" t="str">
        <f>""</f>
        <v/>
      </c>
      <c r="T538" s="18" t="str">
        <f>""</f>
        <v/>
      </c>
      <c r="U538" s="18" t="str">
        <f>IF('Step 11 - Board'!B35="","",'Step 11 - Board'!I35)</f>
        <v/>
      </c>
      <c r="V538" s="17" t="str">
        <f>IF('Step 11 - Board'!B35="","",'Step 11 - Board'!K35)</f>
        <v/>
      </c>
      <c r="W538" s="18" t="str">
        <f>IF('Step 11 - Board'!B35="","",'Step 11 - Board'!L35)</f>
        <v/>
      </c>
      <c r="X538" s="17" t="str">
        <f>IF('Step 11 - Board'!B35="","",'Step 11 - Board'!N35)</f>
        <v/>
      </c>
      <c r="Y538" s="18" t="str">
        <f>""</f>
        <v/>
      </c>
      <c r="Z538" s="18" t="str">
        <f>""</f>
        <v/>
      </c>
      <c r="AA538" s="18" t="str">
        <f>""</f>
        <v/>
      </c>
      <c r="AB538" s="18" t="str">
        <f>""</f>
        <v/>
      </c>
      <c r="AC538" s="18" t="str">
        <f>""</f>
        <v/>
      </c>
      <c r="AD538" s="18" t="str">
        <f>""</f>
        <v/>
      </c>
      <c r="AE538" s="18" t="str">
        <f>""</f>
        <v/>
      </c>
      <c r="AF538" s="18" t="str">
        <f>""</f>
        <v/>
      </c>
      <c r="AG538" s="18" t="str">
        <f>""</f>
        <v/>
      </c>
      <c r="AH538" s="18" t="str">
        <f>""</f>
        <v/>
      </c>
      <c r="AI538" s="18" t="str">
        <f>""</f>
        <v/>
      </c>
      <c r="AJ538" s="18" t="str">
        <f>""</f>
        <v/>
      </c>
      <c r="AK538" s="18" t="str">
        <f>""</f>
        <v/>
      </c>
      <c r="AL538" s="18" t="str">
        <f>""</f>
        <v/>
      </c>
      <c r="AM538" s="18" t="str">
        <f>""</f>
        <v/>
      </c>
    </row>
    <row r="539" spans="1:39" ht="15.75" customHeight="1" x14ac:dyDescent="0.25">
      <c r="A539" s="19" t="str">
        <f>IF('Step 11 - Board'!B36="","","Active")</f>
        <v/>
      </c>
      <c r="B539" s="20" t="str">
        <f>IF('Step 11 - Board'!B36="","",'Step 11 - Board'!B36)</f>
        <v/>
      </c>
      <c r="C539" s="20" t="str">
        <f>IF('Step 11 - Board'!B36="","",'Step 11 - Board'!B36)</f>
        <v/>
      </c>
      <c r="D539" s="19" t="str">
        <f>IF('Step 11 - Board'!B36="","",'Step 11 - Board'!G36)</f>
        <v/>
      </c>
      <c r="E539" s="19" t="str">
        <f>IF('Step 11 - Board'!B36="","",'Step 11 - Board'!H36)</f>
        <v/>
      </c>
      <c r="F539" s="20" t="str">
        <f>IF('Step 11 - Board'!B36="","",IF('Step 11 - Board'!C36="","","Fund Code"))</f>
        <v/>
      </c>
      <c r="G539" s="19" t="str">
        <f>IF('Step 11 - Board'!B36="","",IF('Step 11 - Board'!C36="","","Equals"))</f>
        <v/>
      </c>
      <c r="H539" s="20" t="str">
        <f>IF('Step 11 - Board'!B36="","",IF('Step 11 - Board'!C36="","",'Step 11 - Board'!C36))</f>
        <v/>
      </c>
      <c r="I539" s="20" t="str">
        <f>IF('Step 11 - Board'!B36="","","Organization Code")</f>
        <v/>
      </c>
      <c r="J539" s="19" t="str">
        <f>IF('Step 11 - Board'!B36="","","Equals")</f>
        <v/>
      </c>
      <c r="K539" s="20" t="str">
        <f>IF('Step 11 - Board'!B36="","",'Step 11 - Board'!D36)</f>
        <v/>
      </c>
      <c r="L539" s="20" t="str">
        <f>IF('Step 11 - Board'!B36="","","Other Criteria")</f>
        <v/>
      </c>
      <c r="M539" s="19" t="str">
        <f>IF('Step 11 - Board'!B36="","","Equals")</f>
        <v/>
      </c>
      <c r="N539" s="20" t="str">
        <f>IF('Step 11 - Board'!B36="","",'Step 11 - Board'!E36)</f>
        <v/>
      </c>
      <c r="O539" s="20" t="str">
        <f>IF('Step 11 - Board'!B36="","",IF('Step 11 - Board'!F36="","","Total"))</f>
        <v/>
      </c>
      <c r="P539" s="19" t="str">
        <f>IF('Step 11 - Board'!B36="","",IF('Step 11 - Board'!F36="","","&gt;="))</f>
        <v/>
      </c>
      <c r="Q539" s="20" t="str">
        <f>IF('Step 11 - Board'!B36="","",IF('Step 11 - Board'!F36="","",'Step 11 - Board'!F36))</f>
        <v/>
      </c>
      <c r="R539" s="20" t="str">
        <f>""</f>
        <v/>
      </c>
      <c r="S539" s="20" t="str">
        <f>""</f>
        <v/>
      </c>
      <c r="T539" s="20" t="str">
        <f>""</f>
        <v/>
      </c>
      <c r="U539" s="20" t="str">
        <f>IF('Step 11 - Board'!B36="","",'Step 11 - Board'!I36)</f>
        <v/>
      </c>
      <c r="V539" s="19" t="str">
        <f>IF('Step 11 - Board'!B36="","",'Step 11 - Board'!K36)</f>
        <v/>
      </c>
      <c r="W539" s="20" t="str">
        <f>IF('Step 11 - Board'!B36="","",'Step 11 - Board'!L36)</f>
        <v/>
      </c>
      <c r="X539" s="19" t="str">
        <f>IF('Step 11 - Board'!B36="","",'Step 11 - Board'!N36)</f>
        <v/>
      </c>
      <c r="Y539" s="20" t="str">
        <f>""</f>
        <v/>
      </c>
      <c r="Z539" s="20" t="str">
        <f>""</f>
        <v/>
      </c>
      <c r="AA539" s="20" t="str">
        <f>""</f>
        <v/>
      </c>
      <c r="AB539" s="20" t="str">
        <f>""</f>
        <v/>
      </c>
      <c r="AC539" s="20" t="str">
        <f>""</f>
        <v/>
      </c>
      <c r="AD539" s="20" t="str">
        <f>""</f>
        <v/>
      </c>
      <c r="AE539" s="20" t="str">
        <f>""</f>
        <v/>
      </c>
      <c r="AF539" s="20" t="str">
        <f>""</f>
        <v/>
      </c>
      <c r="AG539" s="20" t="str">
        <f>""</f>
        <v/>
      </c>
      <c r="AH539" s="20" t="str">
        <f>""</f>
        <v/>
      </c>
      <c r="AI539" s="20" t="str">
        <f>""</f>
        <v/>
      </c>
      <c r="AJ539" s="20" t="str">
        <f>""</f>
        <v/>
      </c>
      <c r="AK539" s="20" t="str">
        <f>""</f>
        <v/>
      </c>
      <c r="AL539" s="20" t="str">
        <f>""</f>
        <v/>
      </c>
      <c r="AM539" s="20" t="str">
        <f>""</f>
        <v/>
      </c>
    </row>
    <row r="540" spans="1:39" ht="15.75" customHeight="1" x14ac:dyDescent="0.25">
      <c r="A540" s="17" t="str">
        <f>IF('Step 11 - Board'!B37="","","Active")</f>
        <v/>
      </c>
      <c r="B540" s="18" t="str">
        <f>IF('Step 11 - Board'!B37="","",'Step 11 - Board'!B37)</f>
        <v/>
      </c>
      <c r="C540" s="18" t="str">
        <f>IF('Step 11 - Board'!B37="","",'Step 11 - Board'!B37)</f>
        <v/>
      </c>
      <c r="D540" s="17" t="str">
        <f>IF('Step 11 - Board'!B37="","",'Step 11 - Board'!G37)</f>
        <v/>
      </c>
      <c r="E540" s="17" t="str">
        <f>IF('Step 11 - Board'!B37="","",'Step 11 - Board'!H37)</f>
        <v/>
      </c>
      <c r="F540" s="18" t="str">
        <f>IF('Step 11 - Board'!B37="","",IF('Step 11 - Board'!C37="","","Fund Code"))</f>
        <v/>
      </c>
      <c r="G540" s="17" t="str">
        <f>IF('Step 11 - Board'!B37="","",IF('Step 11 - Board'!C37="","","Equals"))</f>
        <v/>
      </c>
      <c r="H540" s="18" t="str">
        <f>IF('Step 11 - Board'!B37="","",IF('Step 11 - Board'!C37="","",'Step 11 - Board'!C37))</f>
        <v/>
      </c>
      <c r="I540" s="18" t="str">
        <f>IF('Step 11 - Board'!B37="","","Organization Code")</f>
        <v/>
      </c>
      <c r="J540" s="17" t="str">
        <f>IF('Step 11 - Board'!B37="","","Equals")</f>
        <v/>
      </c>
      <c r="K540" s="18" t="str">
        <f>IF('Step 11 - Board'!B37="","",'Step 11 - Board'!D37)</f>
        <v/>
      </c>
      <c r="L540" s="18" t="str">
        <f>IF('Step 11 - Board'!B37="","","Other Criteria")</f>
        <v/>
      </c>
      <c r="M540" s="17" t="str">
        <f>IF('Step 11 - Board'!B37="","","Equals")</f>
        <v/>
      </c>
      <c r="N540" s="18" t="str">
        <f>IF('Step 11 - Board'!B37="","",'Step 11 - Board'!E37)</f>
        <v/>
      </c>
      <c r="O540" s="18" t="str">
        <f>IF('Step 11 - Board'!B37="","",IF('Step 11 - Board'!F37="","","Total"))</f>
        <v/>
      </c>
      <c r="P540" s="17" t="str">
        <f>IF('Step 11 - Board'!B37="","",IF('Step 11 - Board'!F37="","","&gt;="))</f>
        <v/>
      </c>
      <c r="Q540" s="18" t="str">
        <f>IF('Step 11 - Board'!B37="","",IF('Step 11 - Board'!F37="","",'Step 11 - Board'!F37))</f>
        <v/>
      </c>
      <c r="R540" s="18" t="str">
        <f>""</f>
        <v/>
      </c>
      <c r="S540" s="18" t="str">
        <f>""</f>
        <v/>
      </c>
      <c r="T540" s="18" t="str">
        <f>""</f>
        <v/>
      </c>
      <c r="U540" s="18" t="str">
        <f>IF('Step 11 - Board'!B37="","",'Step 11 - Board'!I37)</f>
        <v/>
      </c>
      <c r="V540" s="17" t="str">
        <f>IF('Step 11 - Board'!B37="","",'Step 11 - Board'!K37)</f>
        <v/>
      </c>
      <c r="W540" s="18" t="str">
        <f>IF('Step 11 - Board'!B37="","",'Step 11 - Board'!L37)</f>
        <v/>
      </c>
      <c r="X540" s="17" t="str">
        <f>IF('Step 11 - Board'!B37="","",'Step 11 - Board'!N37)</f>
        <v/>
      </c>
      <c r="Y540" s="18" t="str">
        <f>""</f>
        <v/>
      </c>
      <c r="Z540" s="18" t="str">
        <f>""</f>
        <v/>
      </c>
      <c r="AA540" s="18" t="str">
        <f>""</f>
        <v/>
      </c>
      <c r="AB540" s="18" t="str">
        <f>""</f>
        <v/>
      </c>
      <c r="AC540" s="18" t="str">
        <f>""</f>
        <v/>
      </c>
      <c r="AD540" s="18" t="str">
        <f>""</f>
        <v/>
      </c>
      <c r="AE540" s="18" t="str">
        <f>""</f>
        <v/>
      </c>
      <c r="AF540" s="18" t="str">
        <f>""</f>
        <v/>
      </c>
      <c r="AG540" s="18" t="str">
        <f>""</f>
        <v/>
      </c>
      <c r="AH540" s="18" t="str">
        <f>""</f>
        <v/>
      </c>
      <c r="AI540" s="18" t="str">
        <f>""</f>
        <v/>
      </c>
      <c r="AJ540" s="18" t="str">
        <f>""</f>
        <v/>
      </c>
      <c r="AK540" s="18" t="str">
        <f>""</f>
        <v/>
      </c>
      <c r="AL540" s="18" t="str">
        <f>""</f>
        <v/>
      </c>
      <c r="AM540" s="18" t="str">
        <f>""</f>
        <v/>
      </c>
    </row>
    <row r="541" spans="1:39" ht="15.75" customHeight="1" x14ac:dyDescent="0.25">
      <c r="A541" s="19" t="str">
        <f>IF('Step 11 - Board'!B38="","","Active")</f>
        <v/>
      </c>
      <c r="B541" s="20" t="str">
        <f>IF('Step 11 - Board'!B38="","",'Step 11 - Board'!B38)</f>
        <v/>
      </c>
      <c r="C541" s="20" t="str">
        <f>IF('Step 11 - Board'!B38="","",'Step 11 - Board'!B38)</f>
        <v/>
      </c>
      <c r="D541" s="19" t="str">
        <f>IF('Step 11 - Board'!B38="","",'Step 11 - Board'!G38)</f>
        <v/>
      </c>
      <c r="E541" s="19" t="str">
        <f>IF('Step 11 - Board'!B38="","",'Step 11 - Board'!H38)</f>
        <v/>
      </c>
      <c r="F541" s="20" t="str">
        <f>IF('Step 11 - Board'!B38="","",IF('Step 11 - Board'!C38="","","Fund Code"))</f>
        <v/>
      </c>
      <c r="G541" s="19" t="str">
        <f>IF('Step 11 - Board'!B38="","",IF('Step 11 - Board'!C38="","","Equals"))</f>
        <v/>
      </c>
      <c r="H541" s="20" t="str">
        <f>IF('Step 11 - Board'!B38="","",IF('Step 11 - Board'!C38="","",'Step 11 - Board'!C38))</f>
        <v/>
      </c>
      <c r="I541" s="20" t="str">
        <f>IF('Step 11 - Board'!B38="","","Organization Code")</f>
        <v/>
      </c>
      <c r="J541" s="19" t="str">
        <f>IF('Step 11 - Board'!B38="","","Equals")</f>
        <v/>
      </c>
      <c r="K541" s="20" t="str">
        <f>IF('Step 11 - Board'!B38="","",'Step 11 - Board'!D38)</f>
        <v/>
      </c>
      <c r="L541" s="20" t="str">
        <f>IF('Step 11 - Board'!B38="","","Other Criteria")</f>
        <v/>
      </c>
      <c r="M541" s="19" t="str">
        <f>IF('Step 11 - Board'!B38="","","Equals")</f>
        <v/>
      </c>
      <c r="N541" s="20" t="str">
        <f>IF('Step 11 - Board'!B38="","",'Step 11 - Board'!E38)</f>
        <v/>
      </c>
      <c r="O541" s="20" t="str">
        <f>IF('Step 11 - Board'!B38="","",IF('Step 11 - Board'!F38="","","Total"))</f>
        <v/>
      </c>
      <c r="P541" s="19" t="str">
        <f>IF('Step 11 - Board'!B38="","",IF('Step 11 - Board'!F38="","","&gt;="))</f>
        <v/>
      </c>
      <c r="Q541" s="20" t="str">
        <f>IF('Step 11 - Board'!B38="","",IF('Step 11 - Board'!F38="","",'Step 11 - Board'!F38))</f>
        <v/>
      </c>
      <c r="R541" s="20" t="str">
        <f>""</f>
        <v/>
      </c>
      <c r="S541" s="20" t="str">
        <f>""</f>
        <v/>
      </c>
      <c r="T541" s="20" t="str">
        <f>""</f>
        <v/>
      </c>
      <c r="U541" s="20" t="str">
        <f>IF('Step 11 - Board'!B38="","",'Step 11 - Board'!I38)</f>
        <v/>
      </c>
      <c r="V541" s="19" t="str">
        <f>IF('Step 11 - Board'!B38="","",'Step 11 - Board'!K38)</f>
        <v/>
      </c>
      <c r="W541" s="20" t="str">
        <f>IF('Step 11 - Board'!B38="","",'Step 11 - Board'!L38)</f>
        <v/>
      </c>
      <c r="X541" s="19" t="str">
        <f>IF('Step 11 - Board'!B38="","",'Step 11 - Board'!N38)</f>
        <v/>
      </c>
      <c r="Y541" s="20" t="str">
        <f>""</f>
        <v/>
      </c>
      <c r="Z541" s="20" t="str">
        <f>""</f>
        <v/>
      </c>
      <c r="AA541" s="20" t="str">
        <f>""</f>
        <v/>
      </c>
      <c r="AB541" s="20" t="str">
        <f>""</f>
        <v/>
      </c>
      <c r="AC541" s="20" t="str">
        <f>""</f>
        <v/>
      </c>
      <c r="AD541" s="20" t="str">
        <f>""</f>
        <v/>
      </c>
      <c r="AE541" s="20" t="str">
        <f>""</f>
        <v/>
      </c>
      <c r="AF541" s="20" t="str">
        <f>""</f>
        <v/>
      </c>
      <c r="AG541" s="20" t="str">
        <f>""</f>
        <v/>
      </c>
      <c r="AH541" s="20" t="str">
        <f>""</f>
        <v/>
      </c>
      <c r="AI541" s="20" t="str">
        <f>""</f>
        <v/>
      </c>
      <c r="AJ541" s="20" t="str">
        <f>""</f>
        <v/>
      </c>
      <c r="AK541" s="20" t="str">
        <f>""</f>
        <v/>
      </c>
      <c r="AL541" s="20" t="str">
        <f>""</f>
        <v/>
      </c>
      <c r="AM541" s="20" t="str">
        <f>""</f>
        <v/>
      </c>
    </row>
    <row r="542" spans="1:39" ht="15.75" customHeight="1" x14ac:dyDescent="0.25">
      <c r="A542" s="17" t="str">
        <f>IF('Step 11 - Board'!B39="","","Active")</f>
        <v/>
      </c>
      <c r="B542" s="18" t="str">
        <f>IF('Step 11 - Board'!B39="","",'Step 11 - Board'!B39)</f>
        <v/>
      </c>
      <c r="C542" s="18" t="str">
        <f>IF('Step 11 - Board'!B39="","",'Step 11 - Board'!B39)</f>
        <v/>
      </c>
      <c r="D542" s="17" t="str">
        <f>IF('Step 11 - Board'!B39="","",'Step 11 - Board'!G39)</f>
        <v/>
      </c>
      <c r="E542" s="17" t="str">
        <f>IF('Step 11 - Board'!B39="","",'Step 11 - Board'!H39)</f>
        <v/>
      </c>
      <c r="F542" s="18" t="str">
        <f>IF('Step 11 - Board'!B39="","",IF('Step 11 - Board'!C39="","","Fund Code"))</f>
        <v/>
      </c>
      <c r="G542" s="17" t="str">
        <f>IF('Step 11 - Board'!B39="","",IF('Step 11 - Board'!C39="","","Equals"))</f>
        <v/>
      </c>
      <c r="H542" s="18" t="str">
        <f>IF('Step 11 - Board'!B39="","",IF('Step 11 - Board'!C39="","",'Step 11 - Board'!C39))</f>
        <v/>
      </c>
      <c r="I542" s="18" t="str">
        <f>IF('Step 11 - Board'!B39="","","Organization Code")</f>
        <v/>
      </c>
      <c r="J542" s="17" t="str">
        <f>IF('Step 11 - Board'!B39="","","Equals")</f>
        <v/>
      </c>
      <c r="K542" s="18" t="str">
        <f>IF('Step 11 - Board'!B39="","",'Step 11 - Board'!D39)</f>
        <v/>
      </c>
      <c r="L542" s="18" t="str">
        <f>IF('Step 11 - Board'!B39="","","Other Criteria")</f>
        <v/>
      </c>
      <c r="M542" s="17" t="str">
        <f>IF('Step 11 - Board'!B39="","","Equals")</f>
        <v/>
      </c>
      <c r="N542" s="18" t="str">
        <f>IF('Step 11 - Board'!B39="","",'Step 11 - Board'!E39)</f>
        <v/>
      </c>
      <c r="O542" s="18" t="str">
        <f>IF('Step 11 - Board'!B39="","",IF('Step 11 - Board'!F39="","","Total"))</f>
        <v/>
      </c>
      <c r="P542" s="17" t="str">
        <f>IF('Step 11 - Board'!B39="","",IF('Step 11 - Board'!F39="","","&gt;="))</f>
        <v/>
      </c>
      <c r="Q542" s="18" t="str">
        <f>IF('Step 11 - Board'!B39="","",IF('Step 11 - Board'!F39="","",'Step 11 - Board'!F39))</f>
        <v/>
      </c>
      <c r="R542" s="18" t="str">
        <f>""</f>
        <v/>
      </c>
      <c r="S542" s="18" t="str">
        <f>""</f>
        <v/>
      </c>
      <c r="T542" s="18" t="str">
        <f>""</f>
        <v/>
      </c>
      <c r="U542" s="18" t="str">
        <f>IF('Step 11 - Board'!B39="","",'Step 11 - Board'!I39)</f>
        <v/>
      </c>
      <c r="V542" s="17" t="str">
        <f>IF('Step 11 - Board'!B39="","",'Step 11 - Board'!K39)</f>
        <v/>
      </c>
      <c r="W542" s="18" t="str">
        <f>IF('Step 11 - Board'!B39="","",'Step 11 - Board'!L39)</f>
        <v/>
      </c>
      <c r="X542" s="17" t="str">
        <f>IF('Step 11 - Board'!B39="","",'Step 11 - Board'!N39)</f>
        <v/>
      </c>
      <c r="Y542" s="18" t="str">
        <f>""</f>
        <v/>
      </c>
      <c r="Z542" s="18" t="str">
        <f>""</f>
        <v/>
      </c>
      <c r="AA542" s="18" t="str">
        <f>""</f>
        <v/>
      </c>
      <c r="AB542" s="18" t="str">
        <f>""</f>
        <v/>
      </c>
      <c r="AC542" s="18" t="str">
        <f>""</f>
        <v/>
      </c>
      <c r="AD542" s="18" t="str">
        <f>""</f>
        <v/>
      </c>
      <c r="AE542" s="18" t="str">
        <f>""</f>
        <v/>
      </c>
      <c r="AF542" s="18" t="str">
        <f>""</f>
        <v/>
      </c>
      <c r="AG542" s="18" t="str">
        <f>""</f>
        <v/>
      </c>
      <c r="AH542" s="18" t="str">
        <f>""</f>
        <v/>
      </c>
      <c r="AI542" s="18" t="str">
        <f>""</f>
        <v/>
      </c>
      <c r="AJ542" s="18" t="str">
        <f>""</f>
        <v/>
      </c>
      <c r="AK542" s="18" t="str">
        <f>""</f>
        <v/>
      </c>
      <c r="AL542" s="18" t="str">
        <f>""</f>
        <v/>
      </c>
      <c r="AM542" s="18" t="str">
        <f>""</f>
        <v/>
      </c>
    </row>
    <row r="543" spans="1:39" ht="15.75" customHeight="1" x14ac:dyDescent="0.25">
      <c r="A543" s="19" t="str">
        <f>IF('Step 11 - Board'!B40="","","Active")</f>
        <v/>
      </c>
      <c r="B543" s="20" t="str">
        <f>IF('Step 11 - Board'!B40="","",'Step 11 - Board'!B40)</f>
        <v/>
      </c>
      <c r="C543" s="20" t="str">
        <f>IF('Step 11 - Board'!B40="","",'Step 11 - Board'!B40)</f>
        <v/>
      </c>
      <c r="D543" s="19" t="str">
        <f>IF('Step 11 - Board'!B40="","",'Step 11 - Board'!G40)</f>
        <v/>
      </c>
      <c r="E543" s="19" t="str">
        <f>IF('Step 11 - Board'!B40="","",'Step 11 - Board'!H40)</f>
        <v/>
      </c>
      <c r="F543" s="20" t="str">
        <f>IF('Step 11 - Board'!B40="","",IF('Step 11 - Board'!C40="","","Fund Code"))</f>
        <v/>
      </c>
      <c r="G543" s="19" t="str">
        <f>IF('Step 11 - Board'!B40="","",IF('Step 11 - Board'!C40="","","Equals"))</f>
        <v/>
      </c>
      <c r="H543" s="20" t="str">
        <f>IF('Step 11 - Board'!B40="","",IF('Step 11 - Board'!C40="","",'Step 11 - Board'!C40))</f>
        <v/>
      </c>
      <c r="I543" s="20" t="str">
        <f>IF('Step 11 - Board'!B40="","","Organization Code")</f>
        <v/>
      </c>
      <c r="J543" s="19" t="str">
        <f>IF('Step 11 - Board'!B40="","","Equals")</f>
        <v/>
      </c>
      <c r="K543" s="20" t="str">
        <f>IF('Step 11 - Board'!B40="","",'Step 11 - Board'!D40)</f>
        <v/>
      </c>
      <c r="L543" s="20" t="str">
        <f>IF('Step 11 - Board'!B40="","","Other Criteria")</f>
        <v/>
      </c>
      <c r="M543" s="19" t="str">
        <f>IF('Step 11 - Board'!B40="","","Equals")</f>
        <v/>
      </c>
      <c r="N543" s="20" t="str">
        <f>IF('Step 11 - Board'!B40="","",'Step 11 - Board'!E40)</f>
        <v/>
      </c>
      <c r="O543" s="20" t="str">
        <f>IF('Step 11 - Board'!B40="","",IF('Step 11 - Board'!F40="","","Total"))</f>
        <v/>
      </c>
      <c r="P543" s="19" t="str">
        <f>IF('Step 11 - Board'!B40="","",IF('Step 11 - Board'!F40="","","&gt;="))</f>
        <v/>
      </c>
      <c r="Q543" s="20" t="str">
        <f>IF('Step 11 - Board'!B40="","",IF('Step 11 - Board'!F40="","",'Step 11 - Board'!F40))</f>
        <v/>
      </c>
      <c r="R543" s="20" t="str">
        <f>""</f>
        <v/>
      </c>
      <c r="S543" s="20" t="str">
        <f>""</f>
        <v/>
      </c>
      <c r="T543" s="20" t="str">
        <f>""</f>
        <v/>
      </c>
      <c r="U543" s="20" t="str">
        <f>IF('Step 11 - Board'!B40="","",'Step 11 - Board'!I40)</f>
        <v/>
      </c>
      <c r="V543" s="19" t="str">
        <f>IF('Step 11 - Board'!B40="","",'Step 11 - Board'!K40)</f>
        <v/>
      </c>
      <c r="W543" s="20" t="str">
        <f>IF('Step 11 - Board'!B40="","",'Step 11 - Board'!L40)</f>
        <v/>
      </c>
      <c r="X543" s="19" t="str">
        <f>IF('Step 11 - Board'!B40="","",'Step 11 - Board'!N40)</f>
        <v/>
      </c>
      <c r="Y543" s="20" t="str">
        <f>""</f>
        <v/>
      </c>
      <c r="Z543" s="20" t="str">
        <f>""</f>
        <v/>
      </c>
      <c r="AA543" s="20" t="str">
        <f>""</f>
        <v/>
      </c>
      <c r="AB543" s="20" t="str">
        <f>""</f>
        <v/>
      </c>
      <c r="AC543" s="20" t="str">
        <f>""</f>
        <v/>
      </c>
      <c r="AD543" s="20" t="str">
        <f>""</f>
        <v/>
      </c>
      <c r="AE543" s="20" t="str">
        <f>""</f>
        <v/>
      </c>
      <c r="AF543" s="20" t="str">
        <f>""</f>
        <v/>
      </c>
      <c r="AG543" s="20" t="str">
        <f>""</f>
        <v/>
      </c>
      <c r="AH543" s="20" t="str">
        <f>""</f>
        <v/>
      </c>
      <c r="AI543" s="20" t="str">
        <f>""</f>
        <v/>
      </c>
      <c r="AJ543" s="20" t="str">
        <f>""</f>
        <v/>
      </c>
      <c r="AK543" s="20" t="str">
        <f>""</f>
        <v/>
      </c>
      <c r="AL543" s="20" t="str">
        <f>""</f>
        <v/>
      </c>
      <c r="AM543" s="20" t="str">
        <f>""</f>
        <v/>
      </c>
    </row>
    <row r="544" spans="1:39" ht="15.75" customHeight="1" x14ac:dyDescent="0.25">
      <c r="A544" s="17" t="str">
        <f>IF('Step 11 - Board'!B41="","","Active")</f>
        <v/>
      </c>
      <c r="B544" s="18" t="str">
        <f>IF('Step 11 - Board'!B41="","",'Step 11 - Board'!B41)</f>
        <v/>
      </c>
      <c r="C544" s="18" t="str">
        <f>IF('Step 11 - Board'!B41="","",'Step 11 - Board'!B41)</f>
        <v/>
      </c>
      <c r="D544" s="17" t="str">
        <f>IF('Step 11 - Board'!B41="","",'Step 11 - Board'!G41)</f>
        <v/>
      </c>
      <c r="E544" s="17" t="str">
        <f>IF('Step 11 - Board'!B41="","",'Step 11 - Board'!H41)</f>
        <v/>
      </c>
      <c r="F544" s="18" t="str">
        <f>IF('Step 11 - Board'!B41="","",IF('Step 11 - Board'!C41="","","Fund Code"))</f>
        <v/>
      </c>
      <c r="G544" s="17" t="str">
        <f>IF('Step 11 - Board'!B41="","",IF('Step 11 - Board'!C41="","","Equals"))</f>
        <v/>
      </c>
      <c r="H544" s="18" t="str">
        <f>IF('Step 11 - Board'!B41="","",IF('Step 11 - Board'!C41="","",'Step 11 - Board'!C41))</f>
        <v/>
      </c>
      <c r="I544" s="18" t="str">
        <f>IF('Step 11 - Board'!B41="","","Organization Code")</f>
        <v/>
      </c>
      <c r="J544" s="17" t="str">
        <f>IF('Step 11 - Board'!B41="","","Equals")</f>
        <v/>
      </c>
      <c r="K544" s="18" t="str">
        <f>IF('Step 11 - Board'!B41="","",'Step 11 - Board'!D41)</f>
        <v/>
      </c>
      <c r="L544" s="18" t="str">
        <f>IF('Step 11 - Board'!B41="","","Other Criteria")</f>
        <v/>
      </c>
      <c r="M544" s="17" t="str">
        <f>IF('Step 11 - Board'!B41="","","Equals")</f>
        <v/>
      </c>
      <c r="N544" s="18" t="str">
        <f>IF('Step 11 - Board'!B41="","",'Step 11 - Board'!E41)</f>
        <v/>
      </c>
      <c r="O544" s="18" t="str">
        <f>IF('Step 11 - Board'!B41="","",IF('Step 11 - Board'!F41="","","Total"))</f>
        <v/>
      </c>
      <c r="P544" s="17" t="str">
        <f>IF('Step 11 - Board'!B41="","",IF('Step 11 - Board'!F41="","","&gt;="))</f>
        <v/>
      </c>
      <c r="Q544" s="18" t="str">
        <f>IF('Step 11 - Board'!B41="","",IF('Step 11 - Board'!F41="","",'Step 11 - Board'!F41))</f>
        <v/>
      </c>
      <c r="R544" s="18" t="str">
        <f>""</f>
        <v/>
      </c>
      <c r="S544" s="18" t="str">
        <f>""</f>
        <v/>
      </c>
      <c r="T544" s="18" t="str">
        <f>""</f>
        <v/>
      </c>
      <c r="U544" s="18" t="str">
        <f>IF('Step 11 - Board'!B41="","",'Step 11 - Board'!I41)</f>
        <v/>
      </c>
      <c r="V544" s="17" t="str">
        <f>IF('Step 11 - Board'!B41="","",'Step 11 - Board'!K41)</f>
        <v/>
      </c>
      <c r="W544" s="18" t="str">
        <f>IF('Step 11 - Board'!B41="","",'Step 11 - Board'!L41)</f>
        <v/>
      </c>
      <c r="X544" s="17" t="str">
        <f>IF('Step 11 - Board'!B41="","",'Step 11 - Board'!N41)</f>
        <v/>
      </c>
      <c r="Y544" s="18" t="str">
        <f>""</f>
        <v/>
      </c>
      <c r="Z544" s="18" t="str">
        <f>""</f>
        <v/>
      </c>
      <c r="AA544" s="18" t="str">
        <f>""</f>
        <v/>
      </c>
      <c r="AB544" s="18" t="str">
        <f>""</f>
        <v/>
      </c>
      <c r="AC544" s="18" t="str">
        <f>""</f>
        <v/>
      </c>
      <c r="AD544" s="18" t="str">
        <f>""</f>
        <v/>
      </c>
      <c r="AE544" s="18" t="str">
        <f>""</f>
        <v/>
      </c>
      <c r="AF544" s="18" t="str">
        <f>""</f>
        <v/>
      </c>
      <c r="AG544" s="18" t="str">
        <f>""</f>
        <v/>
      </c>
      <c r="AH544" s="18" t="str">
        <f>""</f>
        <v/>
      </c>
      <c r="AI544" s="18" t="str">
        <f>""</f>
        <v/>
      </c>
      <c r="AJ544" s="18" t="str">
        <f>""</f>
        <v/>
      </c>
      <c r="AK544" s="18" t="str">
        <f>""</f>
        <v/>
      </c>
      <c r="AL544" s="18" t="str">
        <f>""</f>
        <v/>
      </c>
      <c r="AM544" s="18" t="str">
        <f>""</f>
        <v/>
      </c>
    </row>
    <row r="545" spans="1:39" ht="15.75" customHeight="1" x14ac:dyDescent="0.25">
      <c r="A545" s="19" t="str">
        <f>IF('Step 11 - Board'!B42="","","Active")</f>
        <v/>
      </c>
      <c r="B545" s="20" t="str">
        <f>IF('Step 11 - Board'!B42="","",'Step 11 - Board'!B42)</f>
        <v/>
      </c>
      <c r="C545" s="20" t="str">
        <f>IF('Step 11 - Board'!B42="","",'Step 11 - Board'!B42)</f>
        <v/>
      </c>
      <c r="D545" s="19" t="str">
        <f>IF('Step 11 - Board'!B42="","",'Step 11 - Board'!G42)</f>
        <v/>
      </c>
      <c r="E545" s="19" t="str">
        <f>IF('Step 11 - Board'!B42="","",'Step 11 - Board'!H42)</f>
        <v/>
      </c>
      <c r="F545" s="20" t="str">
        <f>IF('Step 11 - Board'!B42="","",IF('Step 11 - Board'!C42="","","Fund Code"))</f>
        <v/>
      </c>
      <c r="G545" s="19" t="str">
        <f>IF('Step 11 - Board'!B42="","",IF('Step 11 - Board'!C42="","","Equals"))</f>
        <v/>
      </c>
      <c r="H545" s="20" t="str">
        <f>IF('Step 11 - Board'!B42="","",IF('Step 11 - Board'!C42="","",'Step 11 - Board'!C42))</f>
        <v/>
      </c>
      <c r="I545" s="20" t="str">
        <f>IF('Step 11 - Board'!B42="","","Organization Code")</f>
        <v/>
      </c>
      <c r="J545" s="19" t="str">
        <f>IF('Step 11 - Board'!B42="","","Equals")</f>
        <v/>
      </c>
      <c r="K545" s="20" t="str">
        <f>IF('Step 11 - Board'!B42="","",'Step 11 - Board'!D42)</f>
        <v/>
      </c>
      <c r="L545" s="20" t="str">
        <f>IF('Step 11 - Board'!B42="","","Other Criteria")</f>
        <v/>
      </c>
      <c r="M545" s="19" t="str">
        <f>IF('Step 11 - Board'!B42="","","Equals")</f>
        <v/>
      </c>
      <c r="N545" s="20" t="str">
        <f>IF('Step 11 - Board'!B42="","",'Step 11 - Board'!E42)</f>
        <v/>
      </c>
      <c r="O545" s="20" t="str">
        <f>IF('Step 11 - Board'!B42="","",IF('Step 11 - Board'!F42="","","Total"))</f>
        <v/>
      </c>
      <c r="P545" s="19" t="str">
        <f>IF('Step 11 - Board'!B42="","",IF('Step 11 - Board'!F42="","","&gt;="))</f>
        <v/>
      </c>
      <c r="Q545" s="20" t="str">
        <f>IF('Step 11 - Board'!B42="","",IF('Step 11 - Board'!F42="","",'Step 11 - Board'!F42))</f>
        <v/>
      </c>
      <c r="R545" s="20" t="str">
        <f>""</f>
        <v/>
      </c>
      <c r="S545" s="20" t="str">
        <f>""</f>
        <v/>
      </c>
      <c r="T545" s="20" t="str">
        <f>""</f>
        <v/>
      </c>
      <c r="U545" s="20" t="str">
        <f>IF('Step 11 - Board'!B42="","",'Step 11 - Board'!I42)</f>
        <v/>
      </c>
      <c r="V545" s="19" t="str">
        <f>IF('Step 11 - Board'!B42="","",'Step 11 - Board'!K42)</f>
        <v/>
      </c>
      <c r="W545" s="20" t="str">
        <f>IF('Step 11 - Board'!B42="","",'Step 11 - Board'!L42)</f>
        <v/>
      </c>
      <c r="X545" s="19" t="str">
        <f>IF('Step 11 - Board'!B42="","",'Step 11 - Board'!N42)</f>
        <v/>
      </c>
      <c r="Y545" s="20" t="str">
        <f>""</f>
        <v/>
      </c>
      <c r="Z545" s="20" t="str">
        <f>""</f>
        <v/>
      </c>
      <c r="AA545" s="20" t="str">
        <f>""</f>
        <v/>
      </c>
      <c r="AB545" s="20" t="str">
        <f>""</f>
        <v/>
      </c>
      <c r="AC545" s="20" t="str">
        <f>""</f>
        <v/>
      </c>
      <c r="AD545" s="20" t="str">
        <f>""</f>
        <v/>
      </c>
      <c r="AE545" s="20" t="str">
        <f>""</f>
        <v/>
      </c>
      <c r="AF545" s="20" t="str">
        <f>""</f>
        <v/>
      </c>
      <c r="AG545" s="20" t="str">
        <f>""</f>
        <v/>
      </c>
      <c r="AH545" s="20" t="str">
        <f>""</f>
        <v/>
      </c>
      <c r="AI545" s="20" t="str">
        <f>""</f>
        <v/>
      </c>
      <c r="AJ545" s="20" t="str">
        <f>""</f>
        <v/>
      </c>
      <c r="AK545" s="20" t="str">
        <f>""</f>
        <v/>
      </c>
      <c r="AL545" s="20" t="str">
        <f>""</f>
        <v/>
      </c>
      <c r="AM545" s="20" t="str">
        <f>""</f>
        <v/>
      </c>
    </row>
    <row r="546" spans="1:39" ht="15.75" customHeight="1" x14ac:dyDescent="0.25">
      <c r="A546" s="17" t="str">
        <f>IF('Step 11 - Board'!B43="","","Active")</f>
        <v/>
      </c>
      <c r="B546" s="18" t="str">
        <f>IF('Step 11 - Board'!B43="","",'Step 11 - Board'!B43)</f>
        <v/>
      </c>
      <c r="C546" s="18" t="str">
        <f>IF('Step 11 - Board'!B43="","",'Step 11 - Board'!B43)</f>
        <v/>
      </c>
      <c r="D546" s="17" t="str">
        <f>IF('Step 11 - Board'!B43="","",'Step 11 - Board'!G43)</f>
        <v/>
      </c>
      <c r="E546" s="17" t="str">
        <f>IF('Step 11 - Board'!B43="","",'Step 11 - Board'!H43)</f>
        <v/>
      </c>
      <c r="F546" s="18" t="str">
        <f>IF('Step 11 - Board'!B43="","",IF('Step 11 - Board'!C43="","","Fund Code"))</f>
        <v/>
      </c>
      <c r="G546" s="17" t="str">
        <f>IF('Step 11 - Board'!B43="","",IF('Step 11 - Board'!C43="","","Equals"))</f>
        <v/>
      </c>
      <c r="H546" s="18" t="str">
        <f>IF('Step 11 - Board'!B43="","",IF('Step 11 - Board'!C43="","",'Step 11 - Board'!C43))</f>
        <v/>
      </c>
      <c r="I546" s="18" t="str">
        <f>IF('Step 11 - Board'!B43="","","Organization Code")</f>
        <v/>
      </c>
      <c r="J546" s="17" t="str">
        <f>IF('Step 11 - Board'!B43="","","Equals")</f>
        <v/>
      </c>
      <c r="K546" s="18" t="str">
        <f>IF('Step 11 - Board'!B43="","",'Step 11 - Board'!D43)</f>
        <v/>
      </c>
      <c r="L546" s="18" t="str">
        <f>IF('Step 11 - Board'!B43="","","Other Criteria")</f>
        <v/>
      </c>
      <c r="M546" s="17" t="str">
        <f>IF('Step 11 - Board'!B43="","","Equals")</f>
        <v/>
      </c>
      <c r="N546" s="18" t="str">
        <f>IF('Step 11 - Board'!B43="","",'Step 11 - Board'!E43)</f>
        <v/>
      </c>
      <c r="O546" s="18" t="str">
        <f>IF('Step 11 - Board'!B43="","",IF('Step 11 - Board'!F43="","","Total"))</f>
        <v/>
      </c>
      <c r="P546" s="17" t="str">
        <f>IF('Step 11 - Board'!B43="","",IF('Step 11 - Board'!F43="","","&gt;="))</f>
        <v/>
      </c>
      <c r="Q546" s="18" t="str">
        <f>IF('Step 11 - Board'!B43="","",IF('Step 11 - Board'!F43="","",'Step 11 - Board'!F43))</f>
        <v/>
      </c>
      <c r="R546" s="18" t="str">
        <f>""</f>
        <v/>
      </c>
      <c r="S546" s="18" t="str">
        <f>""</f>
        <v/>
      </c>
      <c r="T546" s="18" t="str">
        <f>""</f>
        <v/>
      </c>
      <c r="U546" s="18" t="str">
        <f>IF('Step 11 - Board'!B43="","",'Step 11 - Board'!I43)</f>
        <v/>
      </c>
      <c r="V546" s="17" t="str">
        <f>IF('Step 11 - Board'!B43="","",'Step 11 - Board'!K43)</f>
        <v/>
      </c>
      <c r="W546" s="18" t="str">
        <f>IF('Step 11 - Board'!B43="","",'Step 11 - Board'!L43)</f>
        <v/>
      </c>
      <c r="X546" s="17" t="str">
        <f>IF('Step 11 - Board'!B43="","",'Step 11 - Board'!N43)</f>
        <v/>
      </c>
      <c r="Y546" s="18" t="str">
        <f>""</f>
        <v/>
      </c>
      <c r="Z546" s="18" t="str">
        <f>""</f>
        <v/>
      </c>
      <c r="AA546" s="18" t="str">
        <f>""</f>
        <v/>
      </c>
      <c r="AB546" s="18" t="str">
        <f>""</f>
        <v/>
      </c>
      <c r="AC546" s="18" t="str">
        <f>""</f>
        <v/>
      </c>
      <c r="AD546" s="18" t="str">
        <f>""</f>
        <v/>
      </c>
      <c r="AE546" s="18" t="str">
        <f>""</f>
        <v/>
      </c>
      <c r="AF546" s="18" t="str">
        <f>""</f>
        <v/>
      </c>
      <c r="AG546" s="18" t="str">
        <f>""</f>
        <v/>
      </c>
      <c r="AH546" s="18" t="str">
        <f>""</f>
        <v/>
      </c>
      <c r="AI546" s="18" t="str">
        <f>""</f>
        <v/>
      </c>
      <c r="AJ546" s="18" t="str">
        <f>""</f>
        <v/>
      </c>
      <c r="AK546" s="18" t="str">
        <f>""</f>
        <v/>
      </c>
      <c r="AL546" s="18" t="str">
        <f>""</f>
        <v/>
      </c>
      <c r="AM546" s="18" t="str">
        <f>""</f>
        <v/>
      </c>
    </row>
    <row r="547" spans="1:39" ht="15.75" customHeight="1" x14ac:dyDescent="0.25">
      <c r="A547" s="19" t="str">
        <f>IF('Step 11 - Board'!B44="","","Active")</f>
        <v/>
      </c>
      <c r="B547" s="20" t="str">
        <f>IF('Step 11 - Board'!B44="","",'Step 11 - Board'!B44)</f>
        <v/>
      </c>
      <c r="C547" s="20" t="str">
        <f>IF('Step 11 - Board'!B44="","",'Step 11 - Board'!B44)</f>
        <v/>
      </c>
      <c r="D547" s="19" t="str">
        <f>IF('Step 11 - Board'!B44="","",'Step 11 - Board'!G44)</f>
        <v/>
      </c>
      <c r="E547" s="19" t="str">
        <f>IF('Step 11 - Board'!B44="","",'Step 11 - Board'!H44)</f>
        <v/>
      </c>
      <c r="F547" s="20" t="str">
        <f>IF('Step 11 - Board'!B44="","",IF('Step 11 - Board'!C44="","","Fund Code"))</f>
        <v/>
      </c>
      <c r="G547" s="19" t="str">
        <f>IF('Step 11 - Board'!B44="","",IF('Step 11 - Board'!C44="","","Equals"))</f>
        <v/>
      </c>
      <c r="H547" s="20" t="str">
        <f>IF('Step 11 - Board'!B44="","",IF('Step 11 - Board'!C44="","",'Step 11 - Board'!C44))</f>
        <v/>
      </c>
      <c r="I547" s="20" t="str">
        <f>IF('Step 11 - Board'!B44="","","Organization Code")</f>
        <v/>
      </c>
      <c r="J547" s="19" t="str">
        <f>IF('Step 11 - Board'!B44="","","Equals")</f>
        <v/>
      </c>
      <c r="K547" s="20" t="str">
        <f>IF('Step 11 - Board'!B44="","",'Step 11 - Board'!D44)</f>
        <v/>
      </c>
      <c r="L547" s="20" t="str">
        <f>IF('Step 11 - Board'!B44="","","Other Criteria")</f>
        <v/>
      </c>
      <c r="M547" s="19" t="str">
        <f>IF('Step 11 - Board'!B44="","","Equals")</f>
        <v/>
      </c>
      <c r="N547" s="20" t="str">
        <f>IF('Step 11 - Board'!B44="","",'Step 11 - Board'!E44)</f>
        <v/>
      </c>
      <c r="O547" s="20" t="str">
        <f>IF('Step 11 - Board'!B44="","",IF('Step 11 - Board'!F44="","","Total"))</f>
        <v/>
      </c>
      <c r="P547" s="19" t="str">
        <f>IF('Step 11 - Board'!B44="","",IF('Step 11 - Board'!F44="","","&gt;="))</f>
        <v/>
      </c>
      <c r="Q547" s="20" t="str">
        <f>IF('Step 11 - Board'!B44="","",IF('Step 11 - Board'!F44="","",'Step 11 - Board'!F44))</f>
        <v/>
      </c>
      <c r="R547" s="20" t="str">
        <f>""</f>
        <v/>
      </c>
      <c r="S547" s="20" t="str">
        <f>""</f>
        <v/>
      </c>
      <c r="T547" s="20" t="str">
        <f>""</f>
        <v/>
      </c>
      <c r="U547" s="20" t="str">
        <f>IF('Step 11 - Board'!B44="","",'Step 11 - Board'!I44)</f>
        <v/>
      </c>
      <c r="V547" s="19" t="str">
        <f>IF('Step 11 - Board'!B44="","",'Step 11 - Board'!K44)</f>
        <v/>
      </c>
      <c r="W547" s="20" t="str">
        <f>IF('Step 11 - Board'!B44="","",'Step 11 - Board'!L44)</f>
        <v/>
      </c>
      <c r="X547" s="19" t="str">
        <f>IF('Step 11 - Board'!B44="","",'Step 11 - Board'!N44)</f>
        <v/>
      </c>
      <c r="Y547" s="20" t="str">
        <f>""</f>
        <v/>
      </c>
      <c r="Z547" s="20" t="str">
        <f>""</f>
        <v/>
      </c>
      <c r="AA547" s="20" t="str">
        <f>""</f>
        <v/>
      </c>
      <c r="AB547" s="20" t="str">
        <f>""</f>
        <v/>
      </c>
      <c r="AC547" s="20" t="str">
        <f>""</f>
        <v/>
      </c>
      <c r="AD547" s="20" t="str">
        <f>""</f>
        <v/>
      </c>
      <c r="AE547" s="20" t="str">
        <f>""</f>
        <v/>
      </c>
      <c r="AF547" s="20" t="str">
        <f>""</f>
        <v/>
      </c>
      <c r="AG547" s="20" t="str">
        <f>""</f>
        <v/>
      </c>
      <c r="AH547" s="20" t="str">
        <f>""</f>
        <v/>
      </c>
      <c r="AI547" s="20" t="str">
        <f>""</f>
        <v/>
      </c>
      <c r="AJ547" s="20" t="str">
        <f>""</f>
        <v/>
      </c>
      <c r="AK547" s="20" t="str">
        <f>""</f>
        <v/>
      </c>
      <c r="AL547" s="20" t="str">
        <f>""</f>
        <v/>
      </c>
      <c r="AM547" s="20" t="str">
        <f>""</f>
        <v/>
      </c>
    </row>
    <row r="548" spans="1:39" ht="15.75" customHeight="1" x14ac:dyDescent="0.25">
      <c r="A548" s="17" t="str">
        <f>IF('Step 11 - Board'!B45="","","Active")</f>
        <v/>
      </c>
      <c r="B548" s="18" t="str">
        <f>IF('Step 11 - Board'!B45="","",'Step 11 - Board'!B45)</f>
        <v/>
      </c>
      <c r="C548" s="18" t="str">
        <f>IF('Step 11 - Board'!B45="","",'Step 11 - Board'!B45)</f>
        <v/>
      </c>
      <c r="D548" s="17" t="str">
        <f>IF('Step 11 - Board'!B45="","",'Step 11 - Board'!G45)</f>
        <v/>
      </c>
      <c r="E548" s="17" t="str">
        <f>IF('Step 11 - Board'!B45="","",'Step 11 - Board'!H45)</f>
        <v/>
      </c>
      <c r="F548" s="18" t="str">
        <f>IF('Step 11 - Board'!B45="","",IF('Step 11 - Board'!C45="","","Fund Code"))</f>
        <v/>
      </c>
      <c r="G548" s="17" t="str">
        <f>IF('Step 11 - Board'!B45="","",IF('Step 11 - Board'!C45="","","Equals"))</f>
        <v/>
      </c>
      <c r="H548" s="18" t="str">
        <f>IF('Step 11 - Board'!B45="","",IF('Step 11 - Board'!C45="","",'Step 11 - Board'!C45))</f>
        <v/>
      </c>
      <c r="I548" s="18" t="str">
        <f>IF('Step 11 - Board'!B45="","","Organization Code")</f>
        <v/>
      </c>
      <c r="J548" s="17" t="str">
        <f>IF('Step 11 - Board'!B45="","","Equals")</f>
        <v/>
      </c>
      <c r="K548" s="18" t="str">
        <f>IF('Step 11 - Board'!B45="","",'Step 11 - Board'!D45)</f>
        <v/>
      </c>
      <c r="L548" s="18" t="str">
        <f>IF('Step 11 - Board'!B45="","","Other Criteria")</f>
        <v/>
      </c>
      <c r="M548" s="17" t="str">
        <f>IF('Step 11 - Board'!B45="","","Equals")</f>
        <v/>
      </c>
      <c r="N548" s="18" t="str">
        <f>IF('Step 11 - Board'!B45="","",'Step 11 - Board'!E45)</f>
        <v/>
      </c>
      <c r="O548" s="18" t="str">
        <f>IF('Step 11 - Board'!B45="","",IF('Step 11 - Board'!F45="","","Total"))</f>
        <v/>
      </c>
      <c r="P548" s="17" t="str">
        <f>IF('Step 11 - Board'!B45="","",IF('Step 11 - Board'!F45="","","&gt;="))</f>
        <v/>
      </c>
      <c r="Q548" s="18" t="str">
        <f>IF('Step 11 - Board'!B45="","",IF('Step 11 - Board'!F45="","",'Step 11 - Board'!F45))</f>
        <v/>
      </c>
      <c r="R548" s="18" t="str">
        <f>""</f>
        <v/>
      </c>
      <c r="S548" s="18" t="str">
        <f>""</f>
        <v/>
      </c>
      <c r="T548" s="18" t="str">
        <f>""</f>
        <v/>
      </c>
      <c r="U548" s="18" t="str">
        <f>IF('Step 11 - Board'!B45="","",'Step 11 - Board'!I45)</f>
        <v/>
      </c>
      <c r="V548" s="17" t="str">
        <f>IF('Step 11 - Board'!B45="","",'Step 11 - Board'!K45)</f>
        <v/>
      </c>
      <c r="W548" s="18" t="str">
        <f>IF('Step 11 - Board'!B45="","",'Step 11 - Board'!L45)</f>
        <v/>
      </c>
      <c r="X548" s="17" t="str">
        <f>IF('Step 11 - Board'!B45="","",'Step 11 - Board'!N45)</f>
        <v/>
      </c>
      <c r="Y548" s="18" t="str">
        <f>""</f>
        <v/>
      </c>
      <c r="Z548" s="18" t="str">
        <f>""</f>
        <v/>
      </c>
      <c r="AA548" s="18" t="str">
        <f>""</f>
        <v/>
      </c>
      <c r="AB548" s="18" t="str">
        <f>""</f>
        <v/>
      </c>
      <c r="AC548" s="18" t="str">
        <f>""</f>
        <v/>
      </c>
      <c r="AD548" s="18" t="str">
        <f>""</f>
        <v/>
      </c>
      <c r="AE548" s="18" t="str">
        <f>""</f>
        <v/>
      </c>
      <c r="AF548" s="18" t="str">
        <f>""</f>
        <v/>
      </c>
      <c r="AG548" s="18" t="str">
        <f>""</f>
        <v/>
      </c>
      <c r="AH548" s="18" t="str">
        <f>""</f>
        <v/>
      </c>
      <c r="AI548" s="18" t="str">
        <f>""</f>
        <v/>
      </c>
      <c r="AJ548" s="18" t="str">
        <f>""</f>
        <v/>
      </c>
      <c r="AK548" s="18" t="str">
        <f>""</f>
        <v/>
      </c>
      <c r="AL548" s="18" t="str">
        <f>""</f>
        <v/>
      </c>
      <c r="AM548" s="18" t="str">
        <f>""</f>
        <v/>
      </c>
    </row>
    <row r="549" spans="1:39" ht="15.75" customHeight="1" x14ac:dyDescent="0.25">
      <c r="A549" s="19" t="str">
        <f>IF('Step 11 - Board'!B46="","","Active")</f>
        <v/>
      </c>
      <c r="B549" s="20" t="str">
        <f>IF('Step 11 - Board'!B46="","",'Step 11 - Board'!B46)</f>
        <v/>
      </c>
      <c r="C549" s="20" t="str">
        <f>IF('Step 11 - Board'!B46="","",'Step 11 - Board'!B46)</f>
        <v/>
      </c>
      <c r="D549" s="19" t="str">
        <f>IF('Step 11 - Board'!B46="","",'Step 11 - Board'!G46)</f>
        <v/>
      </c>
      <c r="E549" s="19" t="str">
        <f>IF('Step 11 - Board'!B46="","",'Step 11 - Board'!H46)</f>
        <v/>
      </c>
      <c r="F549" s="20" t="str">
        <f>IF('Step 11 - Board'!B46="","",IF('Step 11 - Board'!C46="","","Fund Code"))</f>
        <v/>
      </c>
      <c r="G549" s="19" t="str">
        <f>IF('Step 11 - Board'!B46="","",IF('Step 11 - Board'!C46="","","Equals"))</f>
        <v/>
      </c>
      <c r="H549" s="20" t="str">
        <f>IF('Step 11 - Board'!B46="","",IF('Step 11 - Board'!C46="","",'Step 11 - Board'!C46))</f>
        <v/>
      </c>
      <c r="I549" s="20" t="str">
        <f>IF('Step 11 - Board'!B46="","","Organization Code")</f>
        <v/>
      </c>
      <c r="J549" s="19" t="str">
        <f>IF('Step 11 - Board'!B46="","","Equals")</f>
        <v/>
      </c>
      <c r="K549" s="20" t="str">
        <f>IF('Step 11 - Board'!B46="","",'Step 11 - Board'!D46)</f>
        <v/>
      </c>
      <c r="L549" s="20" t="str">
        <f>IF('Step 11 - Board'!B46="","","Other Criteria")</f>
        <v/>
      </c>
      <c r="M549" s="19" t="str">
        <f>IF('Step 11 - Board'!B46="","","Equals")</f>
        <v/>
      </c>
      <c r="N549" s="20" t="str">
        <f>IF('Step 11 - Board'!B46="","",'Step 11 - Board'!E46)</f>
        <v/>
      </c>
      <c r="O549" s="20" t="str">
        <f>IF('Step 11 - Board'!B46="","",IF('Step 11 - Board'!F46="","","Total"))</f>
        <v/>
      </c>
      <c r="P549" s="19" t="str">
        <f>IF('Step 11 - Board'!B46="","",IF('Step 11 - Board'!F46="","","&gt;="))</f>
        <v/>
      </c>
      <c r="Q549" s="20" t="str">
        <f>IF('Step 11 - Board'!B46="","",IF('Step 11 - Board'!F46="","",'Step 11 - Board'!F46))</f>
        <v/>
      </c>
      <c r="R549" s="20" t="str">
        <f>""</f>
        <v/>
      </c>
      <c r="S549" s="20" t="str">
        <f>""</f>
        <v/>
      </c>
      <c r="T549" s="20" t="str">
        <f>""</f>
        <v/>
      </c>
      <c r="U549" s="20" t="str">
        <f>IF('Step 11 - Board'!B46="","",'Step 11 - Board'!I46)</f>
        <v/>
      </c>
      <c r="V549" s="19" t="str">
        <f>IF('Step 11 - Board'!B46="","",'Step 11 - Board'!K46)</f>
        <v/>
      </c>
      <c r="W549" s="20" t="str">
        <f>IF('Step 11 - Board'!B46="","",'Step 11 - Board'!L46)</f>
        <v/>
      </c>
      <c r="X549" s="19" t="str">
        <f>IF('Step 11 - Board'!B46="","",'Step 11 - Board'!N46)</f>
        <v/>
      </c>
      <c r="Y549" s="20" t="str">
        <f>""</f>
        <v/>
      </c>
      <c r="Z549" s="20" t="str">
        <f>""</f>
        <v/>
      </c>
      <c r="AA549" s="20" t="str">
        <f>""</f>
        <v/>
      </c>
      <c r="AB549" s="20" t="str">
        <f>""</f>
        <v/>
      </c>
      <c r="AC549" s="20" t="str">
        <f>""</f>
        <v/>
      </c>
      <c r="AD549" s="20" t="str">
        <f>""</f>
        <v/>
      </c>
      <c r="AE549" s="20" t="str">
        <f>""</f>
        <v/>
      </c>
      <c r="AF549" s="20" t="str">
        <f>""</f>
        <v/>
      </c>
      <c r="AG549" s="20" t="str">
        <f>""</f>
        <v/>
      </c>
      <c r="AH549" s="20" t="str">
        <f>""</f>
        <v/>
      </c>
      <c r="AI549" s="20" t="str">
        <f>""</f>
        <v/>
      </c>
      <c r="AJ549" s="20" t="str">
        <f>""</f>
        <v/>
      </c>
      <c r="AK549" s="20" t="str">
        <f>""</f>
        <v/>
      </c>
      <c r="AL549" s="20" t="str">
        <f>""</f>
        <v/>
      </c>
      <c r="AM549" s="20" t="str">
        <f>""</f>
        <v/>
      </c>
    </row>
    <row r="550" spans="1:39" ht="15.75" customHeight="1" x14ac:dyDescent="0.25">
      <c r="A550" s="17" t="str">
        <f>IF('Step 11 - Board'!B47="","","Active")</f>
        <v/>
      </c>
      <c r="B550" s="18" t="str">
        <f>IF('Step 11 - Board'!B47="","",'Step 11 - Board'!B47)</f>
        <v/>
      </c>
      <c r="C550" s="18" t="str">
        <f>IF('Step 11 - Board'!B47="","",'Step 11 - Board'!B47)</f>
        <v/>
      </c>
      <c r="D550" s="17" t="str">
        <f>IF('Step 11 - Board'!B47="","",'Step 11 - Board'!G47)</f>
        <v/>
      </c>
      <c r="E550" s="17" t="str">
        <f>IF('Step 11 - Board'!B47="","",'Step 11 - Board'!H47)</f>
        <v/>
      </c>
      <c r="F550" s="18" t="str">
        <f>IF('Step 11 - Board'!B47="","",IF('Step 11 - Board'!C47="","","Fund Code"))</f>
        <v/>
      </c>
      <c r="G550" s="17" t="str">
        <f>IF('Step 11 - Board'!B47="","",IF('Step 11 - Board'!C47="","","Equals"))</f>
        <v/>
      </c>
      <c r="H550" s="18" t="str">
        <f>IF('Step 11 - Board'!B47="","",IF('Step 11 - Board'!C47="","",'Step 11 - Board'!C47))</f>
        <v/>
      </c>
      <c r="I550" s="18" t="str">
        <f>IF('Step 11 - Board'!B47="","","Organization Code")</f>
        <v/>
      </c>
      <c r="J550" s="17" t="str">
        <f>IF('Step 11 - Board'!B47="","","Equals")</f>
        <v/>
      </c>
      <c r="K550" s="18" t="str">
        <f>IF('Step 11 - Board'!B47="","",'Step 11 - Board'!D47)</f>
        <v/>
      </c>
      <c r="L550" s="18" t="str">
        <f>IF('Step 11 - Board'!B47="","","Other Criteria")</f>
        <v/>
      </c>
      <c r="M550" s="17" t="str">
        <f>IF('Step 11 - Board'!B47="","","Equals")</f>
        <v/>
      </c>
      <c r="N550" s="18" t="str">
        <f>IF('Step 11 - Board'!B47="","",'Step 11 - Board'!E47)</f>
        <v/>
      </c>
      <c r="O550" s="18" t="str">
        <f>IF('Step 11 - Board'!B47="","",IF('Step 11 - Board'!F47="","","Total"))</f>
        <v/>
      </c>
      <c r="P550" s="17" t="str">
        <f>IF('Step 11 - Board'!B47="","",IF('Step 11 - Board'!F47="","","&gt;="))</f>
        <v/>
      </c>
      <c r="Q550" s="18" t="str">
        <f>IF('Step 11 - Board'!B47="","",IF('Step 11 - Board'!F47="","",'Step 11 - Board'!F47))</f>
        <v/>
      </c>
      <c r="R550" s="18" t="str">
        <f>""</f>
        <v/>
      </c>
      <c r="S550" s="18" t="str">
        <f>""</f>
        <v/>
      </c>
      <c r="T550" s="18" t="str">
        <f>""</f>
        <v/>
      </c>
      <c r="U550" s="18" t="str">
        <f>IF('Step 11 - Board'!B47="","",'Step 11 - Board'!I47)</f>
        <v/>
      </c>
      <c r="V550" s="17" t="str">
        <f>IF('Step 11 - Board'!B47="","",'Step 11 - Board'!K47)</f>
        <v/>
      </c>
      <c r="W550" s="18" t="str">
        <f>IF('Step 11 - Board'!B47="","",'Step 11 - Board'!L47)</f>
        <v/>
      </c>
      <c r="X550" s="17" t="str">
        <f>IF('Step 11 - Board'!B47="","",'Step 11 - Board'!N47)</f>
        <v/>
      </c>
      <c r="Y550" s="18" t="str">
        <f>""</f>
        <v/>
      </c>
      <c r="Z550" s="18" t="str">
        <f>""</f>
        <v/>
      </c>
      <c r="AA550" s="18" t="str">
        <f>""</f>
        <v/>
      </c>
      <c r="AB550" s="18" t="str">
        <f>""</f>
        <v/>
      </c>
      <c r="AC550" s="18" t="str">
        <f>""</f>
        <v/>
      </c>
      <c r="AD550" s="18" t="str">
        <f>""</f>
        <v/>
      </c>
      <c r="AE550" s="18" t="str">
        <f>""</f>
        <v/>
      </c>
      <c r="AF550" s="18" t="str">
        <f>""</f>
        <v/>
      </c>
      <c r="AG550" s="18" t="str">
        <f>""</f>
        <v/>
      </c>
      <c r="AH550" s="18" t="str">
        <f>""</f>
        <v/>
      </c>
      <c r="AI550" s="18" t="str">
        <f>""</f>
        <v/>
      </c>
      <c r="AJ550" s="18" t="str">
        <f>""</f>
        <v/>
      </c>
      <c r="AK550" s="18" t="str">
        <f>""</f>
        <v/>
      </c>
      <c r="AL550" s="18" t="str">
        <f>""</f>
        <v/>
      </c>
      <c r="AM550" s="18" t="str">
        <f>""</f>
        <v/>
      </c>
    </row>
    <row r="551" spans="1:39" ht="15.75" customHeight="1" x14ac:dyDescent="0.25">
      <c r="A551" s="19" t="str">
        <f>IF('Step 11 - Board'!B48="","","Active")</f>
        <v/>
      </c>
      <c r="B551" s="20" t="str">
        <f>IF('Step 11 - Board'!B48="","",'Step 11 - Board'!B48)</f>
        <v/>
      </c>
      <c r="C551" s="20" t="str">
        <f>IF('Step 11 - Board'!B48="","",'Step 11 - Board'!B48)</f>
        <v/>
      </c>
      <c r="D551" s="19" t="str">
        <f>IF('Step 11 - Board'!B48="","",'Step 11 - Board'!G48)</f>
        <v/>
      </c>
      <c r="E551" s="19" t="str">
        <f>IF('Step 11 - Board'!B48="","",'Step 11 - Board'!H48)</f>
        <v/>
      </c>
      <c r="F551" s="20" t="str">
        <f>IF('Step 11 - Board'!B48="","",IF('Step 11 - Board'!C48="","","Fund Code"))</f>
        <v/>
      </c>
      <c r="G551" s="19" t="str">
        <f>IF('Step 11 - Board'!B48="","",IF('Step 11 - Board'!C48="","","Equals"))</f>
        <v/>
      </c>
      <c r="H551" s="20" t="str">
        <f>IF('Step 11 - Board'!B48="","",IF('Step 11 - Board'!C48="","",'Step 11 - Board'!C48))</f>
        <v/>
      </c>
      <c r="I551" s="20" t="str">
        <f>IF('Step 11 - Board'!B48="","","Organization Code")</f>
        <v/>
      </c>
      <c r="J551" s="19" t="str">
        <f>IF('Step 11 - Board'!B48="","","Equals")</f>
        <v/>
      </c>
      <c r="K551" s="20" t="str">
        <f>IF('Step 11 - Board'!B48="","",'Step 11 - Board'!D48)</f>
        <v/>
      </c>
      <c r="L551" s="20" t="str">
        <f>IF('Step 11 - Board'!B48="","","Other Criteria")</f>
        <v/>
      </c>
      <c r="M551" s="19" t="str">
        <f>IF('Step 11 - Board'!B48="","","Equals")</f>
        <v/>
      </c>
      <c r="N551" s="20" t="str">
        <f>IF('Step 11 - Board'!B48="","",'Step 11 - Board'!E48)</f>
        <v/>
      </c>
      <c r="O551" s="20" t="str">
        <f>IF('Step 11 - Board'!B48="","",IF('Step 11 - Board'!F48="","","Total"))</f>
        <v/>
      </c>
      <c r="P551" s="19" t="str">
        <f>IF('Step 11 - Board'!B48="","",IF('Step 11 - Board'!F48="","","&gt;="))</f>
        <v/>
      </c>
      <c r="Q551" s="20" t="str">
        <f>IF('Step 11 - Board'!B48="","",IF('Step 11 - Board'!F48="","",'Step 11 - Board'!F48))</f>
        <v/>
      </c>
      <c r="R551" s="20" t="str">
        <f>""</f>
        <v/>
      </c>
      <c r="S551" s="20" t="str">
        <f>""</f>
        <v/>
      </c>
      <c r="T551" s="20" t="str">
        <f>""</f>
        <v/>
      </c>
      <c r="U551" s="20" t="str">
        <f>IF('Step 11 - Board'!B48="","",'Step 11 - Board'!I48)</f>
        <v/>
      </c>
      <c r="V551" s="19" t="str">
        <f>IF('Step 11 - Board'!B48="","",'Step 11 - Board'!K48)</f>
        <v/>
      </c>
      <c r="W551" s="20" t="str">
        <f>IF('Step 11 - Board'!B48="","",'Step 11 - Board'!L48)</f>
        <v/>
      </c>
      <c r="X551" s="19" t="str">
        <f>IF('Step 11 - Board'!B48="","",'Step 11 - Board'!N48)</f>
        <v/>
      </c>
      <c r="Y551" s="20" t="str">
        <f>""</f>
        <v/>
      </c>
      <c r="Z551" s="20" t="str">
        <f>""</f>
        <v/>
      </c>
      <c r="AA551" s="20" t="str">
        <f>""</f>
        <v/>
      </c>
      <c r="AB551" s="20" t="str">
        <f>""</f>
        <v/>
      </c>
      <c r="AC551" s="20" t="str">
        <f>""</f>
        <v/>
      </c>
      <c r="AD551" s="20" t="str">
        <f>""</f>
        <v/>
      </c>
      <c r="AE551" s="20" t="str">
        <f>""</f>
        <v/>
      </c>
      <c r="AF551" s="20" t="str">
        <f>""</f>
        <v/>
      </c>
      <c r="AG551" s="20" t="str">
        <f>""</f>
        <v/>
      </c>
      <c r="AH551" s="20" t="str">
        <f>""</f>
        <v/>
      </c>
      <c r="AI551" s="20" t="str">
        <f>""</f>
        <v/>
      </c>
      <c r="AJ551" s="20" t="str">
        <f>""</f>
        <v/>
      </c>
      <c r="AK551" s="20" t="str">
        <f>""</f>
        <v/>
      </c>
      <c r="AL551" s="20" t="str">
        <f>""</f>
        <v/>
      </c>
      <c r="AM551" s="20" t="str">
        <f>""</f>
        <v/>
      </c>
    </row>
    <row r="552" spans="1:39" ht="15.75" customHeight="1" x14ac:dyDescent="0.25">
      <c r="A552" s="17" t="str">
        <f>IF('Step 11 - Board'!B49="","","Active")</f>
        <v/>
      </c>
      <c r="B552" s="18" t="str">
        <f>IF('Step 11 - Board'!B49="","",'Step 11 - Board'!B49)</f>
        <v/>
      </c>
      <c r="C552" s="18" t="str">
        <f>IF('Step 11 - Board'!B49="","",'Step 11 - Board'!B49)</f>
        <v/>
      </c>
      <c r="D552" s="17" t="str">
        <f>IF('Step 11 - Board'!B49="","",'Step 11 - Board'!G49)</f>
        <v/>
      </c>
      <c r="E552" s="17" t="str">
        <f>IF('Step 11 - Board'!B49="","",'Step 11 - Board'!H49)</f>
        <v/>
      </c>
      <c r="F552" s="18" t="str">
        <f>IF('Step 11 - Board'!B49="","",IF('Step 11 - Board'!C49="","","Fund Code"))</f>
        <v/>
      </c>
      <c r="G552" s="17" t="str">
        <f>IF('Step 11 - Board'!B49="","",IF('Step 11 - Board'!C49="","","Equals"))</f>
        <v/>
      </c>
      <c r="H552" s="18" t="str">
        <f>IF('Step 11 - Board'!B49="","",IF('Step 11 - Board'!C49="","",'Step 11 - Board'!C49))</f>
        <v/>
      </c>
      <c r="I552" s="18" t="str">
        <f>IF('Step 11 - Board'!B49="","","Organization Code")</f>
        <v/>
      </c>
      <c r="J552" s="17" t="str">
        <f>IF('Step 11 - Board'!B49="","","Equals")</f>
        <v/>
      </c>
      <c r="K552" s="18" t="str">
        <f>IF('Step 11 - Board'!B49="","",'Step 11 - Board'!D49)</f>
        <v/>
      </c>
      <c r="L552" s="18" t="str">
        <f>IF('Step 11 - Board'!B49="","","Other Criteria")</f>
        <v/>
      </c>
      <c r="M552" s="17" t="str">
        <f>IF('Step 11 - Board'!B49="","","Equals")</f>
        <v/>
      </c>
      <c r="N552" s="18" t="str">
        <f>IF('Step 11 - Board'!B49="","",'Step 11 - Board'!E49)</f>
        <v/>
      </c>
      <c r="O552" s="18" t="str">
        <f>IF('Step 11 - Board'!B49="","",IF('Step 11 - Board'!F49="","","Total"))</f>
        <v/>
      </c>
      <c r="P552" s="17" t="str">
        <f>IF('Step 11 - Board'!B49="","",IF('Step 11 - Board'!F49="","","&gt;="))</f>
        <v/>
      </c>
      <c r="Q552" s="18" t="str">
        <f>IF('Step 11 - Board'!B49="","",IF('Step 11 - Board'!F49="","",'Step 11 - Board'!F49))</f>
        <v/>
      </c>
      <c r="R552" s="18" t="str">
        <f>""</f>
        <v/>
      </c>
      <c r="S552" s="18" t="str">
        <f>""</f>
        <v/>
      </c>
      <c r="T552" s="18" t="str">
        <f>""</f>
        <v/>
      </c>
      <c r="U552" s="18" t="str">
        <f>IF('Step 11 - Board'!B49="","",'Step 11 - Board'!I49)</f>
        <v/>
      </c>
      <c r="V552" s="17" t="str">
        <f>IF('Step 11 - Board'!B49="","",'Step 11 - Board'!K49)</f>
        <v/>
      </c>
      <c r="W552" s="18" t="str">
        <f>IF('Step 11 - Board'!B49="","",'Step 11 - Board'!L49)</f>
        <v/>
      </c>
      <c r="X552" s="17" t="str">
        <f>IF('Step 11 - Board'!B49="","",'Step 11 - Board'!N49)</f>
        <v/>
      </c>
      <c r="Y552" s="18" t="str">
        <f>""</f>
        <v/>
      </c>
      <c r="Z552" s="18" t="str">
        <f>""</f>
        <v/>
      </c>
      <c r="AA552" s="18" t="str">
        <f>""</f>
        <v/>
      </c>
      <c r="AB552" s="18" t="str">
        <f>""</f>
        <v/>
      </c>
      <c r="AC552" s="18" t="str">
        <f>""</f>
        <v/>
      </c>
      <c r="AD552" s="18" t="str">
        <f>""</f>
        <v/>
      </c>
      <c r="AE552" s="18" t="str">
        <f>""</f>
        <v/>
      </c>
      <c r="AF552" s="18" t="str">
        <f>""</f>
        <v/>
      </c>
      <c r="AG552" s="18" t="str">
        <f>""</f>
        <v/>
      </c>
      <c r="AH552" s="18" t="str">
        <f>""</f>
        <v/>
      </c>
      <c r="AI552" s="18" t="str">
        <f>""</f>
        <v/>
      </c>
      <c r="AJ552" s="18" t="str">
        <f>""</f>
        <v/>
      </c>
      <c r="AK552" s="18" t="str">
        <f>""</f>
        <v/>
      </c>
      <c r="AL552" s="18" t="str">
        <f>""</f>
        <v/>
      </c>
      <c r="AM552" s="18" t="str">
        <f>""</f>
        <v/>
      </c>
    </row>
    <row r="553" spans="1:39" ht="15.75" customHeight="1" x14ac:dyDescent="0.25">
      <c r="A553" s="19" t="str">
        <f>IF('Step 11 - Board'!B50="","","Active")</f>
        <v/>
      </c>
      <c r="B553" s="20" t="str">
        <f>IF('Step 11 - Board'!B50="","",'Step 11 - Board'!B50)</f>
        <v/>
      </c>
      <c r="C553" s="20" t="str">
        <f>IF('Step 11 - Board'!B50="","",'Step 11 - Board'!B50)</f>
        <v/>
      </c>
      <c r="D553" s="19" t="str">
        <f>IF('Step 11 - Board'!B50="","",'Step 11 - Board'!G50)</f>
        <v/>
      </c>
      <c r="E553" s="19" t="str">
        <f>IF('Step 11 - Board'!B50="","",'Step 11 - Board'!H50)</f>
        <v/>
      </c>
      <c r="F553" s="20" t="str">
        <f>IF('Step 11 - Board'!B50="","",IF('Step 11 - Board'!C50="","","Fund Code"))</f>
        <v/>
      </c>
      <c r="G553" s="19" t="str">
        <f>IF('Step 11 - Board'!B50="","",IF('Step 11 - Board'!C50="","","Equals"))</f>
        <v/>
      </c>
      <c r="H553" s="20" t="str">
        <f>IF('Step 11 - Board'!B50="","",IF('Step 11 - Board'!C50="","",'Step 11 - Board'!C50))</f>
        <v/>
      </c>
      <c r="I553" s="20" t="str">
        <f>IF('Step 11 - Board'!B50="","","Organization Code")</f>
        <v/>
      </c>
      <c r="J553" s="19" t="str">
        <f>IF('Step 11 - Board'!B50="","","Equals")</f>
        <v/>
      </c>
      <c r="K553" s="20" t="str">
        <f>IF('Step 11 - Board'!B50="","",'Step 11 - Board'!D50)</f>
        <v/>
      </c>
      <c r="L553" s="20" t="str">
        <f>IF('Step 11 - Board'!B50="","","Other Criteria")</f>
        <v/>
      </c>
      <c r="M553" s="19" t="str">
        <f>IF('Step 11 - Board'!B50="","","Equals")</f>
        <v/>
      </c>
      <c r="N553" s="20" t="str">
        <f>IF('Step 11 - Board'!B50="","",'Step 11 - Board'!E50)</f>
        <v/>
      </c>
      <c r="O553" s="20" t="str">
        <f>IF('Step 11 - Board'!B50="","",IF('Step 11 - Board'!F50="","","Total"))</f>
        <v/>
      </c>
      <c r="P553" s="19" t="str">
        <f>IF('Step 11 - Board'!B50="","",IF('Step 11 - Board'!F50="","","&gt;="))</f>
        <v/>
      </c>
      <c r="Q553" s="20" t="str">
        <f>IF('Step 11 - Board'!B50="","",IF('Step 11 - Board'!F50="","",'Step 11 - Board'!F50))</f>
        <v/>
      </c>
      <c r="R553" s="20" t="str">
        <f>""</f>
        <v/>
      </c>
      <c r="S553" s="20" t="str">
        <f>""</f>
        <v/>
      </c>
      <c r="T553" s="20" t="str">
        <f>""</f>
        <v/>
      </c>
      <c r="U553" s="20" t="str">
        <f>IF('Step 11 - Board'!B50="","",'Step 11 - Board'!I50)</f>
        <v/>
      </c>
      <c r="V553" s="19" t="str">
        <f>IF('Step 11 - Board'!B50="","",'Step 11 - Board'!K50)</f>
        <v/>
      </c>
      <c r="W553" s="20" t="str">
        <f>IF('Step 11 - Board'!B50="","",'Step 11 - Board'!L50)</f>
        <v/>
      </c>
      <c r="X553" s="19" t="str">
        <f>IF('Step 11 - Board'!B50="","",'Step 11 - Board'!N50)</f>
        <v/>
      </c>
      <c r="Y553" s="20" t="str">
        <f>""</f>
        <v/>
      </c>
      <c r="Z553" s="20" t="str">
        <f>""</f>
        <v/>
      </c>
      <c r="AA553" s="20" t="str">
        <f>""</f>
        <v/>
      </c>
      <c r="AB553" s="20" t="str">
        <f>""</f>
        <v/>
      </c>
      <c r="AC553" s="20" t="str">
        <f>""</f>
        <v/>
      </c>
      <c r="AD553" s="20" t="str">
        <f>""</f>
        <v/>
      </c>
      <c r="AE553" s="20" t="str">
        <f>""</f>
        <v/>
      </c>
      <c r="AF553" s="20" t="str">
        <f>""</f>
        <v/>
      </c>
      <c r="AG553" s="20" t="str">
        <f>""</f>
        <v/>
      </c>
      <c r="AH553" s="20" t="str">
        <f>""</f>
        <v/>
      </c>
      <c r="AI553" s="20" t="str">
        <f>""</f>
        <v/>
      </c>
      <c r="AJ553" s="20" t="str">
        <f>""</f>
        <v/>
      </c>
      <c r="AK553" s="20" t="str">
        <f>""</f>
        <v/>
      </c>
      <c r="AL553" s="20" t="str">
        <f>""</f>
        <v/>
      </c>
      <c r="AM553" s="20" t="str">
        <f>""</f>
        <v/>
      </c>
    </row>
    <row r="554" spans="1:39" ht="15.75" customHeight="1" x14ac:dyDescent="0.25">
      <c r="A554" s="17" t="str">
        <f>IF('Step 11 - Board'!B51="","","Active")</f>
        <v/>
      </c>
      <c r="B554" s="18" t="str">
        <f>IF('Step 11 - Board'!B51="","",'Step 11 - Board'!B51)</f>
        <v/>
      </c>
      <c r="C554" s="18" t="str">
        <f>IF('Step 11 - Board'!B51="","",'Step 11 - Board'!B51)</f>
        <v/>
      </c>
      <c r="D554" s="17" t="str">
        <f>IF('Step 11 - Board'!B51="","",'Step 11 - Board'!G51)</f>
        <v/>
      </c>
      <c r="E554" s="17" t="str">
        <f>IF('Step 11 - Board'!B51="","",'Step 11 - Board'!H51)</f>
        <v/>
      </c>
      <c r="F554" s="18" t="str">
        <f>IF('Step 11 - Board'!B51="","",IF('Step 11 - Board'!C51="","","Fund Code"))</f>
        <v/>
      </c>
      <c r="G554" s="17" t="str">
        <f>IF('Step 11 - Board'!B51="","",IF('Step 11 - Board'!C51="","","Equals"))</f>
        <v/>
      </c>
      <c r="H554" s="18" t="str">
        <f>IF('Step 11 - Board'!B51="","",IF('Step 11 - Board'!C51="","",'Step 11 - Board'!C51))</f>
        <v/>
      </c>
      <c r="I554" s="18" t="str">
        <f>IF('Step 11 - Board'!B51="","","Organization Code")</f>
        <v/>
      </c>
      <c r="J554" s="17" t="str">
        <f>IF('Step 11 - Board'!B51="","","Equals")</f>
        <v/>
      </c>
      <c r="K554" s="18" t="str">
        <f>IF('Step 11 - Board'!B51="","",'Step 11 - Board'!D51)</f>
        <v/>
      </c>
      <c r="L554" s="18" t="str">
        <f>IF('Step 11 - Board'!B51="","","Other Criteria")</f>
        <v/>
      </c>
      <c r="M554" s="17" t="str">
        <f>IF('Step 11 - Board'!B51="","","Equals")</f>
        <v/>
      </c>
      <c r="N554" s="18" t="str">
        <f>IF('Step 11 - Board'!B51="","",'Step 11 - Board'!E51)</f>
        <v/>
      </c>
      <c r="O554" s="18" t="str">
        <f>IF('Step 11 - Board'!B51="","",IF('Step 11 - Board'!F51="","","Total"))</f>
        <v/>
      </c>
      <c r="P554" s="17" t="str">
        <f>IF('Step 11 - Board'!B51="","",IF('Step 11 - Board'!F51="","","&gt;="))</f>
        <v/>
      </c>
      <c r="Q554" s="18" t="str">
        <f>IF('Step 11 - Board'!B51="","",IF('Step 11 - Board'!F51="","",'Step 11 - Board'!F51))</f>
        <v/>
      </c>
      <c r="R554" s="18" t="str">
        <f>""</f>
        <v/>
      </c>
      <c r="S554" s="18" t="str">
        <f>""</f>
        <v/>
      </c>
      <c r="T554" s="18" t="str">
        <f>""</f>
        <v/>
      </c>
      <c r="U554" s="18" t="str">
        <f>IF('Step 11 - Board'!B51="","",'Step 11 - Board'!I51)</f>
        <v/>
      </c>
      <c r="V554" s="17" t="str">
        <f>IF('Step 11 - Board'!B51="","",'Step 11 - Board'!K51)</f>
        <v/>
      </c>
      <c r="W554" s="18" t="str">
        <f>IF('Step 11 - Board'!B51="","",'Step 11 - Board'!L51)</f>
        <v/>
      </c>
      <c r="X554" s="17" t="str">
        <f>IF('Step 11 - Board'!B51="","",'Step 11 - Board'!N51)</f>
        <v/>
      </c>
      <c r="Y554" s="18" t="str">
        <f>""</f>
        <v/>
      </c>
      <c r="Z554" s="18" t="str">
        <f>""</f>
        <v/>
      </c>
      <c r="AA554" s="18" t="str">
        <f>""</f>
        <v/>
      </c>
      <c r="AB554" s="18" t="str">
        <f>""</f>
        <v/>
      </c>
      <c r="AC554" s="18" t="str">
        <f>""</f>
        <v/>
      </c>
      <c r="AD554" s="18" t="str">
        <f>""</f>
        <v/>
      </c>
      <c r="AE554" s="18" t="str">
        <f>""</f>
        <v/>
      </c>
      <c r="AF554" s="18" t="str">
        <f>""</f>
        <v/>
      </c>
      <c r="AG554" s="18" t="str">
        <f>""</f>
        <v/>
      </c>
      <c r="AH554" s="18" t="str">
        <f>""</f>
        <v/>
      </c>
      <c r="AI554" s="18" t="str">
        <f>""</f>
        <v/>
      </c>
      <c r="AJ554" s="18" t="str">
        <f>""</f>
        <v/>
      </c>
      <c r="AK554" s="18" t="str">
        <f>""</f>
        <v/>
      </c>
      <c r="AL554" s="18" t="str">
        <f>""</f>
        <v/>
      </c>
      <c r="AM554" s="18" t="str">
        <f>""</f>
        <v/>
      </c>
    </row>
    <row r="555" spans="1:39" ht="15.75" customHeight="1" x14ac:dyDescent="0.25">
      <c r="A555" s="19" t="str">
        <f>IF('Step 11 - Board'!B52="","","Active")</f>
        <v/>
      </c>
      <c r="B555" s="20" t="str">
        <f>IF('Step 11 - Board'!B52="","",'Step 11 - Board'!B52)</f>
        <v/>
      </c>
      <c r="C555" s="20" t="str">
        <f>IF('Step 11 - Board'!B52="","",'Step 11 - Board'!B52)</f>
        <v/>
      </c>
      <c r="D555" s="19" t="str">
        <f>IF('Step 11 - Board'!B52="","",'Step 11 - Board'!G52)</f>
        <v/>
      </c>
      <c r="E555" s="19" t="str">
        <f>IF('Step 11 - Board'!B52="","",'Step 11 - Board'!H52)</f>
        <v/>
      </c>
      <c r="F555" s="20" t="str">
        <f>IF('Step 11 - Board'!B52="","",IF('Step 11 - Board'!C52="","","Fund Code"))</f>
        <v/>
      </c>
      <c r="G555" s="19" t="str">
        <f>IF('Step 11 - Board'!B52="","",IF('Step 11 - Board'!C52="","","Equals"))</f>
        <v/>
      </c>
      <c r="H555" s="20" t="str">
        <f>IF('Step 11 - Board'!B52="","",IF('Step 11 - Board'!C52="","",'Step 11 - Board'!C52))</f>
        <v/>
      </c>
      <c r="I555" s="20" t="str">
        <f>IF('Step 11 - Board'!B52="","","Organization Code")</f>
        <v/>
      </c>
      <c r="J555" s="19" t="str">
        <f>IF('Step 11 - Board'!B52="","","Equals")</f>
        <v/>
      </c>
      <c r="K555" s="20" t="str">
        <f>IF('Step 11 - Board'!B52="","",'Step 11 - Board'!D52)</f>
        <v/>
      </c>
      <c r="L555" s="20" t="str">
        <f>IF('Step 11 - Board'!B52="","","Other Criteria")</f>
        <v/>
      </c>
      <c r="M555" s="19" t="str">
        <f>IF('Step 11 - Board'!B52="","","Equals")</f>
        <v/>
      </c>
      <c r="N555" s="20" t="str">
        <f>IF('Step 11 - Board'!B52="","",'Step 11 - Board'!E52)</f>
        <v/>
      </c>
      <c r="O555" s="20" t="str">
        <f>IF('Step 11 - Board'!B52="","",IF('Step 11 - Board'!F52="","","Total"))</f>
        <v/>
      </c>
      <c r="P555" s="19" t="str">
        <f>IF('Step 11 - Board'!B52="","",IF('Step 11 - Board'!F52="","","&gt;="))</f>
        <v/>
      </c>
      <c r="Q555" s="20" t="str">
        <f>IF('Step 11 - Board'!B52="","",IF('Step 11 - Board'!F52="","",'Step 11 - Board'!F52))</f>
        <v/>
      </c>
      <c r="R555" s="20" t="str">
        <f>""</f>
        <v/>
      </c>
      <c r="S555" s="20" t="str">
        <f>""</f>
        <v/>
      </c>
      <c r="T555" s="20" t="str">
        <f>""</f>
        <v/>
      </c>
      <c r="U555" s="20" t="str">
        <f>IF('Step 11 - Board'!B52="","",'Step 11 - Board'!I52)</f>
        <v/>
      </c>
      <c r="V555" s="19" t="str">
        <f>IF('Step 11 - Board'!B52="","",'Step 11 - Board'!K52)</f>
        <v/>
      </c>
      <c r="W555" s="20" t="str">
        <f>IF('Step 11 - Board'!B52="","",'Step 11 - Board'!L52)</f>
        <v/>
      </c>
      <c r="X555" s="19" t="str">
        <f>IF('Step 11 - Board'!B52="","",'Step 11 - Board'!N52)</f>
        <v/>
      </c>
      <c r="Y555" s="20" t="str">
        <f>""</f>
        <v/>
      </c>
      <c r="Z555" s="20" t="str">
        <f>""</f>
        <v/>
      </c>
      <c r="AA555" s="20" t="str">
        <f>""</f>
        <v/>
      </c>
      <c r="AB555" s="20" t="str">
        <f>""</f>
        <v/>
      </c>
      <c r="AC555" s="20" t="str">
        <f>""</f>
        <v/>
      </c>
      <c r="AD555" s="20" t="str">
        <f>""</f>
        <v/>
      </c>
      <c r="AE555" s="20" t="str">
        <f>""</f>
        <v/>
      </c>
      <c r="AF555" s="20" t="str">
        <f>""</f>
        <v/>
      </c>
      <c r="AG555" s="20" t="str">
        <f>""</f>
        <v/>
      </c>
      <c r="AH555" s="20" t="str">
        <f>""</f>
        <v/>
      </c>
      <c r="AI555" s="20" t="str">
        <f>""</f>
        <v/>
      </c>
      <c r="AJ555" s="20" t="str">
        <f>""</f>
        <v/>
      </c>
      <c r="AK555" s="20" t="str">
        <f>""</f>
        <v/>
      </c>
      <c r="AL555" s="20" t="str">
        <f>""</f>
        <v/>
      </c>
      <c r="AM555" s="20" t="str">
        <f>""</f>
        <v/>
      </c>
    </row>
    <row r="556" spans="1:39" ht="15.75" customHeight="1" x14ac:dyDescent="0.25">
      <c r="A556" s="17" t="str">
        <f>IF('Step 11 - Board'!B53="","","Active")</f>
        <v/>
      </c>
      <c r="B556" s="18" t="str">
        <f>IF('Step 11 - Board'!B53="","",'Step 11 - Board'!B53)</f>
        <v/>
      </c>
      <c r="C556" s="18" t="str">
        <f>IF('Step 11 - Board'!B53="","",'Step 11 - Board'!B53)</f>
        <v/>
      </c>
      <c r="D556" s="17" t="str">
        <f>IF('Step 11 - Board'!B53="","",'Step 11 - Board'!G53)</f>
        <v/>
      </c>
      <c r="E556" s="17" t="str">
        <f>IF('Step 11 - Board'!B53="","",'Step 11 - Board'!H53)</f>
        <v/>
      </c>
      <c r="F556" s="18" t="str">
        <f>IF('Step 11 - Board'!B53="","",IF('Step 11 - Board'!C53="","","Fund Code"))</f>
        <v/>
      </c>
      <c r="G556" s="17" t="str">
        <f>IF('Step 11 - Board'!B53="","",IF('Step 11 - Board'!C53="","","Equals"))</f>
        <v/>
      </c>
      <c r="H556" s="18" t="str">
        <f>IF('Step 11 - Board'!B53="","",IF('Step 11 - Board'!C53="","",'Step 11 - Board'!C53))</f>
        <v/>
      </c>
      <c r="I556" s="18" t="str">
        <f>IF('Step 11 - Board'!B53="","","Organization Code")</f>
        <v/>
      </c>
      <c r="J556" s="17" t="str">
        <f>IF('Step 11 - Board'!B53="","","Equals")</f>
        <v/>
      </c>
      <c r="K556" s="18" t="str">
        <f>IF('Step 11 - Board'!B53="","",'Step 11 - Board'!D53)</f>
        <v/>
      </c>
      <c r="L556" s="18" t="str">
        <f>IF('Step 11 - Board'!B53="","","Other Criteria")</f>
        <v/>
      </c>
      <c r="M556" s="17" t="str">
        <f>IF('Step 11 - Board'!B53="","","Equals")</f>
        <v/>
      </c>
      <c r="N556" s="18" t="str">
        <f>IF('Step 11 - Board'!B53="","",'Step 11 - Board'!E53)</f>
        <v/>
      </c>
      <c r="O556" s="18" t="str">
        <f>IF('Step 11 - Board'!B53="","",IF('Step 11 - Board'!F53="","","Total"))</f>
        <v/>
      </c>
      <c r="P556" s="17" t="str">
        <f>IF('Step 11 - Board'!B53="","",IF('Step 11 - Board'!F53="","","&gt;="))</f>
        <v/>
      </c>
      <c r="Q556" s="18" t="str">
        <f>IF('Step 11 - Board'!B53="","",IF('Step 11 - Board'!F53="","",'Step 11 - Board'!F53))</f>
        <v/>
      </c>
      <c r="R556" s="18" t="str">
        <f>""</f>
        <v/>
      </c>
      <c r="S556" s="18" t="str">
        <f>""</f>
        <v/>
      </c>
      <c r="T556" s="18" t="str">
        <f>""</f>
        <v/>
      </c>
      <c r="U556" s="18" t="str">
        <f>IF('Step 11 - Board'!B53="","",'Step 11 - Board'!I53)</f>
        <v/>
      </c>
      <c r="V556" s="17" t="str">
        <f>IF('Step 11 - Board'!B53="","",'Step 11 - Board'!K53)</f>
        <v/>
      </c>
      <c r="W556" s="18" t="str">
        <f>IF('Step 11 - Board'!B53="","",'Step 11 - Board'!L53)</f>
        <v/>
      </c>
      <c r="X556" s="17" t="str">
        <f>IF('Step 11 - Board'!B53="","",'Step 11 - Board'!N53)</f>
        <v/>
      </c>
      <c r="Y556" s="18" t="str">
        <f>""</f>
        <v/>
      </c>
      <c r="Z556" s="18" t="str">
        <f>""</f>
        <v/>
      </c>
      <c r="AA556" s="18" t="str">
        <f>""</f>
        <v/>
      </c>
      <c r="AB556" s="18" t="str">
        <f>""</f>
        <v/>
      </c>
      <c r="AC556" s="18" t="str">
        <f>""</f>
        <v/>
      </c>
      <c r="AD556" s="18" t="str">
        <f>""</f>
        <v/>
      </c>
      <c r="AE556" s="18" t="str">
        <f>""</f>
        <v/>
      </c>
      <c r="AF556" s="18" t="str">
        <f>""</f>
        <v/>
      </c>
      <c r="AG556" s="18" t="str">
        <f>""</f>
        <v/>
      </c>
      <c r="AH556" s="18" t="str">
        <f>""</f>
        <v/>
      </c>
      <c r="AI556" s="18" t="str">
        <f>""</f>
        <v/>
      </c>
      <c r="AJ556" s="18" t="str">
        <f>""</f>
        <v/>
      </c>
      <c r="AK556" s="18" t="str">
        <f>""</f>
        <v/>
      </c>
      <c r="AL556" s="18" t="str">
        <f>""</f>
        <v/>
      </c>
      <c r="AM556" s="18" t="str">
        <f>""</f>
        <v/>
      </c>
    </row>
    <row r="557" spans="1:39" ht="13.5" customHeight="1" x14ac:dyDescent="0.25">
      <c r="A557" s="29" t="s">
        <v>198</v>
      </c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</row>
    <row r="558" spans="1:39" ht="15.75" customHeight="1" x14ac:dyDescent="0.25">
      <c r="A558" s="17" t="str">
        <f>IF('Step 12 - Legal'!B5="","","Active")</f>
        <v/>
      </c>
      <c r="B558" s="18" t="str">
        <f>IF('Step 12 - Legal'!B5="","",'Step 12 - Legal'!B5)</f>
        <v/>
      </c>
      <c r="C558" s="18" t="str">
        <f>IF('Step 12 - Legal'!B5="","",'Step 12 - Legal'!B5)</f>
        <v/>
      </c>
      <c r="D558" s="17" t="str">
        <f>IF('Step 12 - Legal'!B5="","",'Step 12 - Legal'!G5)</f>
        <v/>
      </c>
      <c r="E558" s="17" t="str">
        <f>IF('Step 12 - Legal'!B5="","",'Step 12 - Legal'!H5)</f>
        <v/>
      </c>
      <c r="F558" s="18" t="str">
        <f>IF('Step 12 - Legal'!B5="","",IF('Step 12 - Legal'!C5="","","Fund Code"))</f>
        <v/>
      </c>
      <c r="G558" s="17" t="str">
        <f>IF('Step 12 - Legal'!B5="","",IF('Step 12 - Legal'!C5="","","Equals"))</f>
        <v/>
      </c>
      <c r="H558" s="18" t="str">
        <f>IF('Step 12 - Legal'!B5="","",IF('Step 12 - Legal'!C5="","",'Step 12 - Legal'!C5))</f>
        <v/>
      </c>
      <c r="I558" s="18" t="str">
        <f>IF('Step 12 - Legal'!B5="","","Organization Code")</f>
        <v/>
      </c>
      <c r="J558" s="17" t="str">
        <f>IF('Step 12 - Legal'!B5="","","Equals")</f>
        <v/>
      </c>
      <c r="K558" s="18" t="str">
        <f>IF('Step 12 - Legal'!B5="","",'Step 12 - Legal'!D5)</f>
        <v/>
      </c>
      <c r="L558" s="18" t="str">
        <f>IF('Step 12 - Legal'!B5="","","Other Criteria")</f>
        <v/>
      </c>
      <c r="M558" s="17" t="str">
        <f>IF('Step 12 - Legal'!B5="","","Equals")</f>
        <v/>
      </c>
      <c r="N558" s="18" t="str">
        <f>IF('Step 12 - Legal'!B5="","",'Step 12 - Legal'!E5)</f>
        <v/>
      </c>
      <c r="O558" s="18" t="str">
        <f>IF('Step 12 - Legal'!B5="","",IF('Step 12 - Legal'!F5="","","Total"))</f>
        <v/>
      </c>
      <c r="P558" s="17" t="str">
        <f>IF('Step 12 - Legal'!B5="","",IF('Step 12 - Legal'!F5="","","&gt;="))</f>
        <v/>
      </c>
      <c r="Q558" s="18" t="str">
        <f>IF('Step 12 - Legal'!B5="","",IF('Step 12 - Legal'!F5="","",'Step 12 - Legal'!F5))</f>
        <v/>
      </c>
      <c r="R558" s="18" t="str">
        <f>""</f>
        <v/>
      </c>
      <c r="S558" s="18" t="str">
        <f>""</f>
        <v/>
      </c>
      <c r="T558" s="18" t="str">
        <f>""</f>
        <v/>
      </c>
      <c r="U558" s="18" t="str">
        <f>IF('Step 12 - Legal'!B5="","",'Step 12 - Legal'!I5)</f>
        <v/>
      </c>
      <c r="V558" s="17" t="str">
        <f>IF('Step 12 - Legal'!B5="","",'Step 12 - Legal'!K5)</f>
        <v/>
      </c>
      <c r="W558" s="18" t="str">
        <f>IF('Step 12 - Legal'!B5="","",'Step 12 - Legal'!L5)</f>
        <v/>
      </c>
      <c r="X558" s="17" t="str">
        <f>IF('Step 12 - Legal'!B5="","",'Step 12 - Legal'!N5)</f>
        <v/>
      </c>
      <c r="Y558" s="18" t="str">
        <f>""</f>
        <v/>
      </c>
      <c r="Z558" s="18" t="str">
        <f>""</f>
        <v/>
      </c>
      <c r="AA558" s="18" t="str">
        <f>""</f>
        <v/>
      </c>
      <c r="AB558" s="18" t="str">
        <f>""</f>
        <v/>
      </c>
      <c r="AC558" s="18" t="str">
        <f>""</f>
        <v/>
      </c>
      <c r="AD558" s="18" t="str">
        <f>""</f>
        <v/>
      </c>
      <c r="AE558" s="18" t="str">
        <f>""</f>
        <v/>
      </c>
      <c r="AF558" s="18" t="str">
        <f>""</f>
        <v/>
      </c>
      <c r="AG558" s="18" t="str">
        <f>""</f>
        <v/>
      </c>
      <c r="AH558" s="18" t="str">
        <f>""</f>
        <v/>
      </c>
      <c r="AI558" s="18" t="str">
        <f>""</f>
        <v/>
      </c>
      <c r="AJ558" s="18" t="str">
        <f>""</f>
        <v/>
      </c>
      <c r="AK558" s="18" t="str">
        <f>""</f>
        <v/>
      </c>
      <c r="AL558" s="18" t="str">
        <f>""</f>
        <v/>
      </c>
      <c r="AM558" s="18" t="str">
        <f>""</f>
        <v/>
      </c>
    </row>
    <row r="559" spans="1:39" ht="15.75" customHeight="1" x14ac:dyDescent="0.25">
      <c r="A559" s="19" t="str">
        <f>IF('Step 12 - Legal'!B6="","","Active")</f>
        <v/>
      </c>
      <c r="B559" s="20" t="str">
        <f>IF('Step 12 - Legal'!B6="","",'Step 12 - Legal'!B6)</f>
        <v/>
      </c>
      <c r="C559" s="20" t="str">
        <f>IF('Step 12 - Legal'!B6="","",'Step 12 - Legal'!B6)</f>
        <v/>
      </c>
      <c r="D559" s="19" t="str">
        <f>IF('Step 12 - Legal'!B6="","",'Step 12 - Legal'!G6)</f>
        <v/>
      </c>
      <c r="E559" s="19" t="str">
        <f>IF('Step 12 - Legal'!B6="","",'Step 12 - Legal'!H6)</f>
        <v/>
      </c>
      <c r="F559" s="20" t="str">
        <f>IF('Step 12 - Legal'!B6="","",IF('Step 12 - Legal'!C6="","","Fund Code"))</f>
        <v/>
      </c>
      <c r="G559" s="19" t="str">
        <f>IF('Step 12 - Legal'!B6="","",IF('Step 12 - Legal'!C6="","","Equals"))</f>
        <v/>
      </c>
      <c r="H559" s="20" t="str">
        <f>IF('Step 12 - Legal'!B6="","",IF('Step 12 - Legal'!C6="","",'Step 12 - Legal'!C6))</f>
        <v/>
      </c>
      <c r="I559" s="20" t="str">
        <f>IF('Step 12 - Legal'!B6="","","Organization Code")</f>
        <v/>
      </c>
      <c r="J559" s="19" t="str">
        <f>IF('Step 12 - Legal'!B6="","","Equals")</f>
        <v/>
      </c>
      <c r="K559" s="20" t="str">
        <f>IF('Step 12 - Legal'!B6="","",'Step 12 - Legal'!D6)</f>
        <v/>
      </c>
      <c r="L559" s="20" t="str">
        <f>IF('Step 12 - Legal'!B6="","","Other Criteria")</f>
        <v/>
      </c>
      <c r="M559" s="19" t="str">
        <f>IF('Step 12 - Legal'!B6="","","Equals")</f>
        <v/>
      </c>
      <c r="N559" s="20" t="str">
        <f>IF('Step 12 - Legal'!B6="","",'Step 12 - Legal'!E6)</f>
        <v/>
      </c>
      <c r="O559" s="20" t="str">
        <f>IF('Step 12 - Legal'!B6="","",IF('Step 12 - Legal'!F6="","","Total"))</f>
        <v/>
      </c>
      <c r="P559" s="19" t="str">
        <f>IF('Step 12 - Legal'!B6="","",IF('Step 12 - Legal'!F6="","","&gt;="))</f>
        <v/>
      </c>
      <c r="Q559" s="20" t="str">
        <f>IF('Step 12 - Legal'!B6="","",IF('Step 12 - Legal'!F6="","",'Step 12 - Legal'!F6))</f>
        <v/>
      </c>
      <c r="R559" s="20" t="str">
        <f>""</f>
        <v/>
      </c>
      <c r="S559" s="20" t="str">
        <f>""</f>
        <v/>
      </c>
      <c r="T559" s="20" t="str">
        <f>""</f>
        <v/>
      </c>
      <c r="U559" s="20" t="str">
        <f>IF('Step 12 - Legal'!B6="","",'Step 12 - Legal'!I6)</f>
        <v/>
      </c>
      <c r="V559" s="19" t="str">
        <f>IF('Step 12 - Legal'!B6="","",'Step 12 - Legal'!K6)</f>
        <v/>
      </c>
      <c r="W559" s="20" t="str">
        <f>IF('Step 12 - Legal'!B6="","",'Step 12 - Legal'!L6)</f>
        <v/>
      </c>
      <c r="X559" s="19" t="str">
        <f>IF('Step 12 - Legal'!B6="","",'Step 12 - Legal'!N6)</f>
        <v/>
      </c>
      <c r="Y559" s="20" t="str">
        <f>""</f>
        <v/>
      </c>
      <c r="Z559" s="20" t="str">
        <f>""</f>
        <v/>
      </c>
      <c r="AA559" s="20" t="str">
        <f>""</f>
        <v/>
      </c>
      <c r="AB559" s="20" t="str">
        <f>""</f>
        <v/>
      </c>
      <c r="AC559" s="20" t="str">
        <f>""</f>
        <v/>
      </c>
      <c r="AD559" s="20" t="str">
        <f>""</f>
        <v/>
      </c>
      <c r="AE559" s="20" t="str">
        <f>""</f>
        <v/>
      </c>
      <c r="AF559" s="20" t="str">
        <f>""</f>
        <v/>
      </c>
      <c r="AG559" s="20" t="str">
        <f>""</f>
        <v/>
      </c>
      <c r="AH559" s="20" t="str">
        <f>""</f>
        <v/>
      </c>
      <c r="AI559" s="20" t="str">
        <f>""</f>
        <v/>
      </c>
      <c r="AJ559" s="20" t="str">
        <f>""</f>
        <v/>
      </c>
      <c r="AK559" s="20" t="str">
        <f>""</f>
        <v/>
      </c>
      <c r="AL559" s="20" t="str">
        <f>""</f>
        <v/>
      </c>
      <c r="AM559" s="20" t="str">
        <f>""</f>
        <v/>
      </c>
    </row>
    <row r="560" spans="1:39" ht="15.75" customHeight="1" x14ac:dyDescent="0.25">
      <c r="A560" s="17" t="str">
        <f>IF('Step 12 - Legal'!B7="","","Active")</f>
        <v/>
      </c>
      <c r="B560" s="18" t="str">
        <f>IF('Step 12 - Legal'!B7="","",'Step 12 - Legal'!B7)</f>
        <v/>
      </c>
      <c r="C560" s="18" t="str">
        <f>IF('Step 12 - Legal'!B7="","",'Step 12 - Legal'!B7)</f>
        <v/>
      </c>
      <c r="D560" s="17" t="str">
        <f>IF('Step 12 - Legal'!B7="","",'Step 12 - Legal'!G7)</f>
        <v/>
      </c>
      <c r="E560" s="17" t="str">
        <f>IF('Step 12 - Legal'!B7="","",'Step 12 - Legal'!H7)</f>
        <v/>
      </c>
      <c r="F560" s="18" t="str">
        <f>IF('Step 12 - Legal'!B7="","",IF('Step 12 - Legal'!C7="","","Fund Code"))</f>
        <v/>
      </c>
      <c r="G560" s="17" t="str">
        <f>IF('Step 12 - Legal'!B7="","",IF('Step 12 - Legal'!C7="","","Equals"))</f>
        <v/>
      </c>
      <c r="H560" s="18" t="str">
        <f>IF('Step 12 - Legal'!B7="","",IF('Step 12 - Legal'!C7="","",'Step 12 - Legal'!C7))</f>
        <v/>
      </c>
      <c r="I560" s="18" t="str">
        <f>IF('Step 12 - Legal'!B7="","","Organization Code")</f>
        <v/>
      </c>
      <c r="J560" s="17" t="str">
        <f>IF('Step 12 - Legal'!B7="","","Equals")</f>
        <v/>
      </c>
      <c r="K560" s="18" t="str">
        <f>IF('Step 12 - Legal'!B7="","",'Step 12 - Legal'!D7)</f>
        <v/>
      </c>
      <c r="L560" s="18" t="str">
        <f>IF('Step 12 - Legal'!B7="","","Other Criteria")</f>
        <v/>
      </c>
      <c r="M560" s="17" t="str">
        <f>IF('Step 12 - Legal'!B7="","","Equals")</f>
        <v/>
      </c>
      <c r="N560" s="18" t="str">
        <f>IF('Step 12 - Legal'!B7="","",'Step 12 - Legal'!E7)</f>
        <v/>
      </c>
      <c r="O560" s="18" t="str">
        <f>IF('Step 12 - Legal'!B7="","",IF('Step 12 - Legal'!F7="","","Total"))</f>
        <v/>
      </c>
      <c r="P560" s="17" t="str">
        <f>IF('Step 12 - Legal'!B7="","",IF('Step 12 - Legal'!F7="","","&gt;="))</f>
        <v/>
      </c>
      <c r="Q560" s="18" t="str">
        <f>IF('Step 12 - Legal'!B7="","",IF('Step 12 - Legal'!F7="","",'Step 12 - Legal'!F7))</f>
        <v/>
      </c>
      <c r="R560" s="18" t="str">
        <f>""</f>
        <v/>
      </c>
      <c r="S560" s="18" t="str">
        <f>""</f>
        <v/>
      </c>
      <c r="T560" s="18" t="str">
        <f>""</f>
        <v/>
      </c>
      <c r="U560" s="18" t="str">
        <f>IF('Step 12 - Legal'!B7="","",'Step 12 - Legal'!I7)</f>
        <v/>
      </c>
      <c r="V560" s="17" t="str">
        <f>IF('Step 12 - Legal'!B7="","",'Step 12 - Legal'!K7)</f>
        <v/>
      </c>
      <c r="W560" s="18" t="str">
        <f>IF('Step 12 - Legal'!B7="","",'Step 12 - Legal'!L7)</f>
        <v/>
      </c>
      <c r="X560" s="17" t="str">
        <f>IF('Step 12 - Legal'!B7="","",'Step 12 - Legal'!N7)</f>
        <v/>
      </c>
      <c r="Y560" s="18" t="str">
        <f>""</f>
        <v/>
      </c>
      <c r="Z560" s="18" t="str">
        <f>""</f>
        <v/>
      </c>
      <c r="AA560" s="18" t="str">
        <f>""</f>
        <v/>
      </c>
      <c r="AB560" s="18" t="str">
        <f>""</f>
        <v/>
      </c>
      <c r="AC560" s="18" t="str">
        <f>""</f>
        <v/>
      </c>
      <c r="AD560" s="18" t="str">
        <f>""</f>
        <v/>
      </c>
      <c r="AE560" s="18" t="str">
        <f>""</f>
        <v/>
      </c>
      <c r="AF560" s="18" t="str">
        <f>""</f>
        <v/>
      </c>
      <c r="AG560" s="18" t="str">
        <f>""</f>
        <v/>
      </c>
      <c r="AH560" s="18" t="str">
        <f>""</f>
        <v/>
      </c>
      <c r="AI560" s="18" t="str">
        <f>""</f>
        <v/>
      </c>
      <c r="AJ560" s="18" t="str">
        <f>""</f>
        <v/>
      </c>
      <c r="AK560" s="18" t="str">
        <f>""</f>
        <v/>
      </c>
      <c r="AL560" s="18" t="str">
        <f>""</f>
        <v/>
      </c>
      <c r="AM560" s="18" t="str">
        <f>""</f>
        <v/>
      </c>
    </row>
    <row r="561" spans="1:39" ht="15.75" customHeight="1" x14ac:dyDescent="0.25">
      <c r="A561" s="19" t="str">
        <f>IF('Step 12 - Legal'!B8="","","Active")</f>
        <v/>
      </c>
      <c r="B561" s="20" t="str">
        <f>IF('Step 12 - Legal'!B8="","",'Step 12 - Legal'!B8)</f>
        <v/>
      </c>
      <c r="C561" s="20" t="str">
        <f>IF('Step 12 - Legal'!B8="","",'Step 12 - Legal'!B8)</f>
        <v/>
      </c>
      <c r="D561" s="19" t="str">
        <f>IF('Step 12 - Legal'!B8="","",'Step 12 - Legal'!G8)</f>
        <v/>
      </c>
      <c r="E561" s="19" t="str">
        <f>IF('Step 12 - Legal'!B8="","",'Step 12 - Legal'!H8)</f>
        <v/>
      </c>
      <c r="F561" s="20" t="str">
        <f>IF('Step 12 - Legal'!B8="","",IF('Step 12 - Legal'!C8="","","Fund Code"))</f>
        <v/>
      </c>
      <c r="G561" s="19" t="str">
        <f>IF('Step 12 - Legal'!B8="","",IF('Step 12 - Legal'!C8="","","Equals"))</f>
        <v/>
      </c>
      <c r="H561" s="20" t="str">
        <f>IF('Step 12 - Legal'!B8="","",IF('Step 12 - Legal'!C8="","",'Step 12 - Legal'!C8))</f>
        <v/>
      </c>
      <c r="I561" s="20" t="str">
        <f>IF('Step 12 - Legal'!B8="","","Organization Code")</f>
        <v/>
      </c>
      <c r="J561" s="19" t="str">
        <f>IF('Step 12 - Legal'!B8="","","Equals")</f>
        <v/>
      </c>
      <c r="K561" s="20" t="str">
        <f>IF('Step 12 - Legal'!B8="","",'Step 12 - Legal'!D8)</f>
        <v/>
      </c>
      <c r="L561" s="20" t="str">
        <f>IF('Step 12 - Legal'!B8="","","Other Criteria")</f>
        <v/>
      </c>
      <c r="M561" s="19" t="str">
        <f>IF('Step 12 - Legal'!B8="","","Equals")</f>
        <v/>
      </c>
      <c r="N561" s="20" t="str">
        <f>IF('Step 12 - Legal'!B8="","",'Step 12 - Legal'!E8)</f>
        <v/>
      </c>
      <c r="O561" s="20" t="str">
        <f>IF('Step 12 - Legal'!B8="","",IF('Step 12 - Legal'!F8="","","Total"))</f>
        <v/>
      </c>
      <c r="P561" s="19" t="str">
        <f>IF('Step 12 - Legal'!B8="","",IF('Step 12 - Legal'!F8="","","&gt;="))</f>
        <v/>
      </c>
      <c r="Q561" s="20" t="str">
        <f>IF('Step 12 - Legal'!B8="","",IF('Step 12 - Legal'!F8="","",'Step 12 - Legal'!F8))</f>
        <v/>
      </c>
      <c r="R561" s="20" t="str">
        <f>""</f>
        <v/>
      </c>
      <c r="S561" s="20" t="str">
        <f>""</f>
        <v/>
      </c>
      <c r="T561" s="20" t="str">
        <f>""</f>
        <v/>
      </c>
      <c r="U561" s="20" t="str">
        <f>IF('Step 12 - Legal'!B8="","",'Step 12 - Legal'!I8)</f>
        <v/>
      </c>
      <c r="V561" s="19" t="str">
        <f>IF('Step 12 - Legal'!B8="","",'Step 12 - Legal'!K8)</f>
        <v/>
      </c>
      <c r="W561" s="20" t="str">
        <f>IF('Step 12 - Legal'!B8="","",'Step 12 - Legal'!L8)</f>
        <v/>
      </c>
      <c r="X561" s="19" t="str">
        <f>IF('Step 12 - Legal'!B8="","",'Step 12 - Legal'!N8)</f>
        <v/>
      </c>
      <c r="Y561" s="20" t="str">
        <f>""</f>
        <v/>
      </c>
      <c r="Z561" s="20" t="str">
        <f>""</f>
        <v/>
      </c>
      <c r="AA561" s="20" t="str">
        <f>""</f>
        <v/>
      </c>
      <c r="AB561" s="20" t="str">
        <f>""</f>
        <v/>
      </c>
      <c r="AC561" s="20" t="str">
        <f>""</f>
        <v/>
      </c>
      <c r="AD561" s="20" t="str">
        <f>""</f>
        <v/>
      </c>
      <c r="AE561" s="20" t="str">
        <f>""</f>
        <v/>
      </c>
      <c r="AF561" s="20" t="str">
        <f>""</f>
        <v/>
      </c>
      <c r="AG561" s="20" t="str">
        <f>""</f>
        <v/>
      </c>
      <c r="AH561" s="20" t="str">
        <f>""</f>
        <v/>
      </c>
      <c r="AI561" s="20" t="str">
        <f>""</f>
        <v/>
      </c>
      <c r="AJ561" s="20" t="str">
        <f>""</f>
        <v/>
      </c>
      <c r="AK561" s="20" t="str">
        <f>""</f>
        <v/>
      </c>
      <c r="AL561" s="20" t="str">
        <f>""</f>
        <v/>
      </c>
      <c r="AM561" s="20" t="str">
        <f>""</f>
        <v/>
      </c>
    </row>
    <row r="562" spans="1:39" ht="15.75" customHeight="1" x14ac:dyDescent="0.25">
      <c r="A562" s="17" t="str">
        <f>IF('Step 12 - Legal'!B9="","","Active")</f>
        <v/>
      </c>
      <c r="B562" s="18" t="str">
        <f>IF('Step 12 - Legal'!B9="","",'Step 12 - Legal'!B9)</f>
        <v/>
      </c>
      <c r="C562" s="18" t="str">
        <f>IF('Step 12 - Legal'!B9="","",'Step 12 - Legal'!B9)</f>
        <v/>
      </c>
      <c r="D562" s="17" t="str">
        <f>IF('Step 12 - Legal'!B9="","",'Step 12 - Legal'!G9)</f>
        <v/>
      </c>
      <c r="E562" s="17" t="str">
        <f>IF('Step 12 - Legal'!B9="","",'Step 12 - Legal'!H9)</f>
        <v/>
      </c>
      <c r="F562" s="18" t="str">
        <f>IF('Step 12 - Legal'!B9="","",IF('Step 12 - Legal'!C9="","","Fund Code"))</f>
        <v/>
      </c>
      <c r="G562" s="17" t="str">
        <f>IF('Step 12 - Legal'!B9="","",IF('Step 12 - Legal'!C9="","","Equals"))</f>
        <v/>
      </c>
      <c r="H562" s="18" t="str">
        <f>IF('Step 12 - Legal'!B9="","",IF('Step 12 - Legal'!C9="","",'Step 12 - Legal'!C9))</f>
        <v/>
      </c>
      <c r="I562" s="18" t="str">
        <f>IF('Step 12 - Legal'!B9="","","Organization Code")</f>
        <v/>
      </c>
      <c r="J562" s="17" t="str">
        <f>IF('Step 12 - Legal'!B9="","","Equals")</f>
        <v/>
      </c>
      <c r="K562" s="18" t="str">
        <f>IF('Step 12 - Legal'!B9="","",'Step 12 - Legal'!D9)</f>
        <v/>
      </c>
      <c r="L562" s="18" t="str">
        <f>IF('Step 12 - Legal'!B9="","","Other Criteria")</f>
        <v/>
      </c>
      <c r="M562" s="17" t="str">
        <f>IF('Step 12 - Legal'!B9="","","Equals")</f>
        <v/>
      </c>
      <c r="N562" s="18" t="str">
        <f>IF('Step 12 - Legal'!B9="","",'Step 12 - Legal'!E9)</f>
        <v/>
      </c>
      <c r="O562" s="18" t="str">
        <f>IF('Step 12 - Legal'!B9="","",IF('Step 12 - Legal'!F9="","","Total"))</f>
        <v/>
      </c>
      <c r="P562" s="17" t="str">
        <f>IF('Step 12 - Legal'!B9="","",IF('Step 12 - Legal'!F9="","","&gt;="))</f>
        <v/>
      </c>
      <c r="Q562" s="18" t="str">
        <f>IF('Step 12 - Legal'!B9="","",IF('Step 12 - Legal'!F9="","",'Step 12 - Legal'!F9))</f>
        <v/>
      </c>
      <c r="R562" s="18" t="str">
        <f>""</f>
        <v/>
      </c>
      <c r="S562" s="18" t="str">
        <f>""</f>
        <v/>
      </c>
      <c r="T562" s="18" t="str">
        <f>""</f>
        <v/>
      </c>
      <c r="U562" s="18" t="str">
        <f>IF('Step 12 - Legal'!B9="","",'Step 12 - Legal'!I9)</f>
        <v/>
      </c>
      <c r="V562" s="17" t="str">
        <f>IF('Step 12 - Legal'!B9="","",'Step 12 - Legal'!K9)</f>
        <v/>
      </c>
      <c r="W562" s="18" t="str">
        <f>IF('Step 12 - Legal'!B9="","",'Step 12 - Legal'!L9)</f>
        <v/>
      </c>
      <c r="X562" s="17" t="str">
        <f>IF('Step 12 - Legal'!B9="","",'Step 12 - Legal'!N9)</f>
        <v/>
      </c>
      <c r="Y562" s="18" t="str">
        <f>""</f>
        <v/>
      </c>
      <c r="Z562" s="18" t="str">
        <f>""</f>
        <v/>
      </c>
      <c r="AA562" s="18" t="str">
        <f>""</f>
        <v/>
      </c>
      <c r="AB562" s="18" t="str">
        <f>""</f>
        <v/>
      </c>
      <c r="AC562" s="18" t="str">
        <f>""</f>
        <v/>
      </c>
      <c r="AD562" s="18" t="str">
        <f>""</f>
        <v/>
      </c>
      <c r="AE562" s="18" t="str">
        <f>""</f>
        <v/>
      </c>
      <c r="AF562" s="18" t="str">
        <f>""</f>
        <v/>
      </c>
      <c r="AG562" s="18" t="str">
        <f>""</f>
        <v/>
      </c>
      <c r="AH562" s="18" t="str">
        <f>""</f>
        <v/>
      </c>
      <c r="AI562" s="18" t="str">
        <f>""</f>
        <v/>
      </c>
      <c r="AJ562" s="18" t="str">
        <f>""</f>
        <v/>
      </c>
      <c r="AK562" s="18" t="str">
        <f>""</f>
        <v/>
      </c>
      <c r="AL562" s="18" t="str">
        <f>""</f>
        <v/>
      </c>
      <c r="AM562" s="18" t="str">
        <f>""</f>
        <v/>
      </c>
    </row>
    <row r="563" spans="1:39" ht="15.75" customHeight="1" x14ac:dyDescent="0.25">
      <c r="A563" s="19" t="str">
        <f>IF('Step 12 - Legal'!B10="","","Active")</f>
        <v/>
      </c>
      <c r="B563" s="20" t="str">
        <f>IF('Step 12 - Legal'!B10="","",'Step 12 - Legal'!B10)</f>
        <v/>
      </c>
      <c r="C563" s="20" t="str">
        <f>IF('Step 12 - Legal'!B10="","",'Step 12 - Legal'!B10)</f>
        <v/>
      </c>
      <c r="D563" s="19" t="str">
        <f>IF('Step 12 - Legal'!B10="","",'Step 12 - Legal'!G10)</f>
        <v/>
      </c>
      <c r="E563" s="19" t="str">
        <f>IF('Step 12 - Legal'!B10="","",'Step 12 - Legal'!H10)</f>
        <v/>
      </c>
      <c r="F563" s="20" t="str">
        <f>IF('Step 12 - Legal'!B10="","",IF('Step 12 - Legal'!C10="","","Fund Code"))</f>
        <v/>
      </c>
      <c r="G563" s="19" t="str">
        <f>IF('Step 12 - Legal'!B10="","",IF('Step 12 - Legal'!C10="","","Equals"))</f>
        <v/>
      </c>
      <c r="H563" s="20" t="str">
        <f>IF('Step 12 - Legal'!B10="","",IF('Step 12 - Legal'!C10="","",'Step 12 - Legal'!C10))</f>
        <v/>
      </c>
      <c r="I563" s="20" t="str">
        <f>IF('Step 12 - Legal'!B10="","","Organization Code")</f>
        <v/>
      </c>
      <c r="J563" s="19" t="str">
        <f>IF('Step 12 - Legal'!B10="","","Equals")</f>
        <v/>
      </c>
      <c r="K563" s="20" t="str">
        <f>IF('Step 12 - Legal'!B10="","",'Step 12 - Legal'!D10)</f>
        <v/>
      </c>
      <c r="L563" s="20" t="str">
        <f>IF('Step 12 - Legal'!B10="","","Other Criteria")</f>
        <v/>
      </c>
      <c r="M563" s="19" t="str">
        <f>IF('Step 12 - Legal'!B10="","","Equals")</f>
        <v/>
      </c>
      <c r="N563" s="20" t="str">
        <f>IF('Step 12 - Legal'!B10="","",'Step 12 - Legal'!E10)</f>
        <v/>
      </c>
      <c r="O563" s="20" t="str">
        <f>IF('Step 12 - Legal'!B10="","",IF('Step 12 - Legal'!F10="","","Total"))</f>
        <v/>
      </c>
      <c r="P563" s="19" t="str">
        <f>IF('Step 12 - Legal'!B10="","",IF('Step 12 - Legal'!F10="","","&gt;="))</f>
        <v/>
      </c>
      <c r="Q563" s="20" t="str">
        <f>IF('Step 12 - Legal'!B10="","",IF('Step 12 - Legal'!F10="","",'Step 12 - Legal'!F10))</f>
        <v/>
      </c>
      <c r="R563" s="20" t="str">
        <f>""</f>
        <v/>
      </c>
      <c r="S563" s="20" t="str">
        <f>""</f>
        <v/>
      </c>
      <c r="T563" s="20" t="str">
        <f>""</f>
        <v/>
      </c>
      <c r="U563" s="20" t="str">
        <f>IF('Step 12 - Legal'!B10="","",'Step 12 - Legal'!I10)</f>
        <v/>
      </c>
      <c r="V563" s="19" t="str">
        <f>IF('Step 12 - Legal'!B10="","",'Step 12 - Legal'!K10)</f>
        <v/>
      </c>
      <c r="W563" s="20" t="str">
        <f>IF('Step 12 - Legal'!B10="","",'Step 12 - Legal'!L10)</f>
        <v/>
      </c>
      <c r="X563" s="19" t="str">
        <f>IF('Step 12 - Legal'!B10="","",'Step 12 - Legal'!N10)</f>
        <v/>
      </c>
      <c r="Y563" s="20" t="str">
        <f>""</f>
        <v/>
      </c>
      <c r="Z563" s="20" t="str">
        <f>""</f>
        <v/>
      </c>
      <c r="AA563" s="20" t="str">
        <f>""</f>
        <v/>
      </c>
      <c r="AB563" s="20" t="str">
        <f>""</f>
        <v/>
      </c>
      <c r="AC563" s="20" t="str">
        <f>""</f>
        <v/>
      </c>
      <c r="AD563" s="20" t="str">
        <f>""</f>
        <v/>
      </c>
      <c r="AE563" s="20" t="str">
        <f>""</f>
        <v/>
      </c>
      <c r="AF563" s="20" t="str">
        <f>""</f>
        <v/>
      </c>
      <c r="AG563" s="20" t="str">
        <f>""</f>
        <v/>
      </c>
      <c r="AH563" s="20" t="str">
        <f>""</f>
        <v/>
      </c>
      <c r="AI563" s="20" t="str">
        <f>""</f>
        <v/>
      </c>
      <c r="AJ563" s="20" t="str">
        <f>""</f>
        <v/>
      </c>
      <c r="AK563" s="20" t="str">
        <f>""</f>
        <v/>
      </c>
      <c r="AL563" s="20" t="str">
        <f>""</f>
        <v/>
      </c>
      <c r="AM563" s="20" t="str">
        <f>""</f>
        <v/>
      </c>
    </row>
    <row r="564" spans="1:39" ht="15.75" customHeight="1" x14ac:dyDescent="0.25">
      <c r="A564" s="17" t="str">
        <f>IF('Step 12 - Legal'!B11="","","Active")</f>
        <v/>
      </c>
      <c r="B564" s="18" t="str">
        <f>IF('Step 12 - Legal'!B11="","",'Step 12 - Legal'!B11)</f>
        <v/>
      </c>
      <c r="C564" s="18" t="str">
        <f>IF('Step 12 - Legal'!B11="","",'Step 12 - Legal'!B11)</f>
        <v/>
      </c>
      <c r="D564" s="17" t="str">
        <f>IF('Step 12 - Legal'!B11="","",'Step 12 - Legal'!G11)</f>
        <v/>
      </c>
      <c r="E564" s="17" t="str">
        <f>IF('Step 12 - Legal'!B11="","",'Step 12 - Legal'!H11)</f>
        <v/>
      </c>
      <c r="F564" s="18" t="str">
        <f>IF('Step 12 - Legal'!B11="","",IF('Step 12 - Legal'!C11="","","Fund Code"))</f>
        <v/>
      </c>
      <c r="G564" s="17" t="str">
        <f>IF('Step 12 - Legal'!B11="","",IF('Step 12 - Legal'!C11="","","Equals"))</f>
        <v/>
      </c>
      <c r="H564" s="18" t="str">
        <f>IF('Step 12 - Legal'!B11="","",IF('Step 12 - Legal'!C11="","",'Step 12 - Legal'!C11))</f>
        <v/>
      </c>
      <c r="I564" s="18" t="str">
        <f>IF('Step 12 - Legal'!B11="","","Organization Code")</f>
        <v/>
      </c>
      <c r="J564" s="17" t="str">
        <f>IF('Step 12 - Legal'!B11="","","Equals")</f>
        <v/>
      </c>
      <c r="K564" s="18" t="str">
        <f>IF('Step 12 - Legal'!B11="","",'Step 12 - Legal'!D11)</f>
        <v/>
      </c>
      <c r="L564" s="18" t="str">
        <f>IF('Step 12 - Legal'!B11="","","Other Criteria")</f>
        <v/>
      </c>
      <c r="M564" s="17" t="str">
        <f>IF('Step 12 - Legal'!B11="","","Equals")</f>
        <v/>
      </c>
      <c r="N564" s="18" t="str">
        <f>IF('Step 12 - Legal'!B11="","",'Step 12 - Legal'!E11)</f>
        <v/>
      </c>
      <c r="O564" s="18" t="str">
        <f>IF('Step 12 - Legal'!B11="","",IF('Step 12 - Legal'!F11="","","Total"))</f>
        <v/>
      </c>
      <c r="P564" s="17" t="str">
        <f>IF('Step 12 - Legal'!B11="","",IF('Step 12 - Legal'!F11="","","&gt;="))</f>
        <v/>
      </c>
      <c r="Q564" s="18" t="str">
        <f>IF('Step 12 - Legal'!B11="","",IF('Step 12 - Legal'!F11="","",'Step 12 - Legal'!F11))</f>
        <v/>
      </c>
      <c r="R564" s="18" t="str">
        <f>""</f>
        <v/>
      </c>
      <c r="S564" s="18" t="str">
        <f>""</f>
        <v/>
      </c>
      <c r="T564" s="18" t="str">
        <f>""</f>
        <v/>
      </c>
      <c r="U564" s="18" t="str">
        <f>IF('Step 12 - Legal'!B11="","",'Step 12 - Legal'!I11)</f>
        <v/>
      </c>
      <c r="V564" s="17" t="str">
        <f>IF('Step 12 - Legal'!B11="","",'Step 12 - Legal'!K11)</f>
        <v/>
      </c>
      <c r="W564" s="18" t="str">
        <f>IF('Step 12 - Legal'!B11="","",'Step 12 - Legal'!L11)</f>
        <v/>
      </c>
      <c r="X564" s="17" t="str">
        <f>IF('Step 12 - Legal'!B11="","",'Step 12 - Legal'!N11)</f>
        <v/>
      </c>
      <c r="Y564" s="18" t="str">
        <f>""</f>
        <v/>
      </c>
      <c r="Z564" s="18" t="str">
        <f>""</f>
        <v/>
      </c>
      <c r="AA564" s="18" t="str">
        <f>""</f>
        <v/>
      </c>
      <c r="AB564" s="18" t="str">
        <f>""</f>
        <v/>
      </c>
      <c r="AC564" s="18" t="str">
        <f>""</f>
        <v/>
      </c>
      <c r="AD564" s="18" t="str">
        <f>""</f>
        <v/>
      </c>
      <c r="AE564" s="18" t="str">
        <f>""</f>
        <v/>
      </c>
      <c r="AF564" s="18" t="str">
        <f>""</f>
        <v/>
      </c>
      <c r="AG564" s="18" t="str">
        <f>""</f>
        <v/>
      </c>
      <c r="AH564" s="18" t="str">
        <f>""</f>
        <v/>
      </c>
      <c r="AI564" s="18" t="str">
        <f>""</f>
        <v/>
      </c>
      <c r="AJ564" s="18" t="str">
        <f>""</f>
        <v/>
      </c>
      <c r="AK564" s="18" t="str">
        <f>""</f>
        <v/>
      </c>
      <c r="AL564" s="18" t="str">
        <f>""</f>
        <v/>
      </c>
      <c r="AM564" s="18" t="str">
        <f>""</f>
        <v/>
      </c>
    </row>
    <row r="565" spans="1:39" ht="15.75" customHeight="1" x14ac:dyDescent="0.25">
      <c r="A565" s="19" t="str">
        <f>IF('Step 12 - Legal'!B12="","","Active")</f>
        <v/>
      </c>
      <c r="B565" s="20" t="str">
        <f>IF('Step 12 - Legal'!B12="","",'Step 12 - Legal'!B12)</f>
        <v/>
      </c>
      <c r="C565" s="20" t="str">
        <f>IF('Step 12 - Legal'!B12="","",'Step 12 - Legal'!B12)</f>
        <v/>
      </c>
      <c r="D565" s="19" t="str">
        <f>IF('Step 12 - Legal'!B12="","",'Step 12 - Legal'!G12)</f>
        <v/>
      </c>
      <c r="E565" s="19" t="str">
        <f>IF('Step 12 - Legal'!B12="","",'Step 12 - Legal'!H12)</f>
        <v/>
      </c>
      <c r="F565" s="20" t="str">
        <f>IF('Step 12 - Legal'!B12="","",IF('Step 12 - Legal'!C12="","","Fund Code"))</f>
        <v/>
      </c>
      <c r="G565" s="19" t="str">
        <f>IF('Step 12 - Legal'!B12="","",IF('Step 12 - Legal'!C12="","","Equals"))</f>
        <v/>
      </c>
      <c r="H565" s="20" t="str">
        <f>IF('Step 12 - Legal'!B12="","",IF('Step 12 - Legal'!C12="","",'Step 12 - Legal'!C12))</f>
        <v/>
      </c>
      <c r="I565" s="20" t="str">
        <f>IF('Step 12 - Legal'!B12="","","Organization Code")</f>
        <v/>
      </c>
      <c r="J565" s="19" t="str">
        <f>IF('Step 12 - Legal'!B12="","","Equals")</f>
        <v/>
      </c>
      <c r="K565" s="20" t="str">
        <f>IF('Step 12 - Legal'!B12="","",'Step 12 - Legal'!D12)</f>
        <v/>
      </c>
      <c r="L565" s="20" t="str">
        <f>IF('Step 12 - Legal'!B12="","","Other Criteria")</f>
        <v/>
      </c>
      <c r="M565" s="19" t="str">
        <f>IF('Step 12 - Legal'!B12="","","Equals")</f>
        <v/>
      </c>
      <c r="N565" s="20" t="str">
        <f>IF('Step 12 - Legal'!B12="","",'Step 12 - Legal'!E12)</f>
        <v/>
      </c>
      <c r="O565" s="20" t="str">
        <f>IF('Step 12 - Legal'!B12="","",IF('Step 12 - Legal'!F12="","","Total"))</f>
        <v/>
      </c>
      <c r="P565" s="19" t="str">
        <f>IF('Step 12 - Legal'!B12="","",IF('Step 12 - Legal'!F12="","","&gt;="))</f>
        <v/>
      </c>
      <c r="Q565" s="20" t="str">
        <f>IF('Step 12 - Legal'!B12="","",IF('Step 12 - Legal'!F12="","",'Step 12 - Legal'!F12))</f>
        <v/>
      </c>
      <c r="R565" s="20" t="str">
        <f>""</f>
        <v/>
      </c>
      <c r="S565" s="20" t="str">
        <f>""</f>
        <v/>
      </c>
      <c r="T565" s="20" t="str">
        <f>""</f>
        <v/>
      </c>
      <c r="U565" s="20" t="str">
        <f>IF('Step 12 - Legal'!B12="","",'Step 12 - Legal'!I12)</f>
        <v/>
      </c>
      <c r="V565" s="19" t="str">
        <f>IF('Step 12 - Legal'!B12="","",'Step 12 - Legal'!K12)</f>
        <v/>
      </c>
      <c r="W565" s="20" t="str">
        <f>IF('Step 12 - Legal'!B12="","",'Step 12 - Legal'!L12)</f>
        <v/>
      </c>
      <c r="X565" s="19" t="str">
        <f>IF('Step 12 - Legal'!B12="","",'Step 12 - Legal'!N12)</f>
        <v/>
      </c>
      <c r="Y565" s="20" t="str">
        <f>""</f>
        <v/>
      </c>
      <c r="Z565" s="20" t="str">
        <f>""</f>
        <v/>
      </c>
      <c r="AA565" s="20" t="str">
        <f>""</f>
        <v/>
      </c>
      <c r="AB565" s="20" t="str">
        <f>""</f>
        <v/>
      </c>
      <c r="AC565" s="20" t="str">
        <f>""</f>
        <v/>
      </c>
      <c r="AD565" s="20" t="str">
        <f>""</f>
        <v/>
      </c>
      <c r="AE565" s="20" t="str">
        <f>""</f>
        <v/>
      </c>
      <c r="AF565" s="20" t="str">
        <f>""</f>
        <v/>
      </c>
      <c r="AG565" s="20" t="str">
        <f>""</f>
        <v/>
      </c>
      <c r="AH565" s="20" t="str">
        <f>""</f>
        <v/>
      </c>
      <c r="AI565" s="20" t="str">
        <f>""</f>
        <v/>
      </c>
      <c r="AJ565" s="20" t="str">
        <f>""</f>
        <v/>
      </c>
      <c r="AK565" s="20" t="str">
        <f>""</f>
        <v/>
      </c>
      <c r="AL565" s="20" t="str">
        <f>""</f>
        <v/>
      </c>
      <c r="AM565" s="20" t="str">
        <f>""</f>
        <v/>
      </c>
    </row>
    <row r="566" spans="1:39" ht="15.75" customHeight="1" x14ac:dyDescent="0.25">
      <c r="A566" s="17" t="str">
        <f>IF('Step 12 - Legal'!B13="","","Active")</f>
        <v/>
      </c>
      <c r="B566" s="18" t="str">
        <f>IF('Step 12 - Legal'!B13="","",'Step 12 - Legal'!B13)</f>
        <v/>
      </c>
      <c r="C566" s="18" t="str">
        <f>IF('Step 12 - Legal'!B13="","",'Step 12 - Legal'!B13)</f>
        <v/>
      </c>
      <c r="D566" s="17" t="str">
        <f>IF('Step 12 - Legal'!B13="","",'Step 12 - Legal'!G13)</f>
        <v/>
      </c>
      <c r="E566" s="17" t="str">
        <f>IF('Step 12 - Legal'!B13="","",'Step 12 - Legal'!H13)</f>
        <v/>
      </c>
      <c r="F566" s="18" t="str">
        <f>IF('Step 12 - Legal'!B13="","",IF('Step 12 - Legal'!C13="","","Fund Code"))</f>
        <v/>
      </c>
      <c r="G566" s="17" t="str">
        <f>IF('Step 12 - Legal'!B13="","",IF('Step 12 - Legal'!C13="","","Equals"))</f>
        <v/>
      </c>
      <c r="H566" s="18" t="str">
        <f>IF('Step 12 - Legal'!B13="","",IF('Step 12 - Legal'!C13="","",'Step 12 - Legal'!C13))</f>
        <v/>
      </c>
      <c r="I566" s="18" t="str">
        <f>IF('Step 12 - Legal'!B13="","","Organization Code")</f>
        <v/>
      </c>
      <c r="J566" s="17" t="str">
        <f>IF('Step 12 - Legal'!B13="","","Equals")</f>
        <v/>
      </c>
      <c r="K566" s="18" t="str">
        <f>IF('Step 12 - Legal'!B13="","",'Step 12 - Legal'!D13)</f>
        <v/>
      </c>
      <c r="L566" s="18" t="str">
        <f>IF('Step 12 - Legal'!B13="","","Other Criteria")</f>
        <v/>
      </c>
      <c r="M566" s="17" t="str">
        <f>IF('Step 12 - Legal'!B13="","","Equals")</f>
        <v/>
      </c>
      <c r="N566" s="18" t="str">
        <f>IF('Step 12 - Legal'!B13="","",'Step 12 - Legal'!E13)</f>
        <v/>
      </c>
      <c r="O566" s="18" t="str">
        <f>IF('Step 12 - Legal'!B13="","",IF('Step 12 - Legal'!F13="","","Total"))</f>
        <v/>
      </c>
      <c r="P566" s="17" t="str">
        <f>IF('Step 12 - Legal'!B13="","",IF('Step 12 - Legal'!F13="","","&gt;="))</f>
        <v/>
      </c>
      <c r="Q566" s="18" t="str">
        <f>IF('Step 12 - Legal'!B13="","",IF('Step 12 - Legal'!F13="","",'Step 12 - Legal'!F13))</f>
        <v/>
      </c>
      <c r="R566" s="18" t="str">
        <f>""</f>
        <v/>
      </c>
      <c r="S566" s="18" t="str">
        <f>""</f>
        <v/>
      </c>
      <c r="T566" s="18" t="str">
        <f>""</f>
        <v/>
      </c>
      <c r="U566" s="18" t="str">
        <f>IF('Step 12 - Legal'!B13="","",'Step 12 - Legal'!I13)</f>
        <v/>
      </c>
      <c r="V566" s="17" t="str">
        <f>IF('Step 12 - Legal'!B13="","",'Step 12 - Legal'!K13)</f>
        <v/>
      </c>
      <c r="W566" s="18" t="str">
        <f>IF('Step 12 - Legal'!B13="","",'Step 12 - Legal'!L13)</f>
        <v/>
      </c>
      <c r="X566" s="17" t="str">
        <f>IF('Step 12 - Legal'!B13="","",'Step 12 - Legal'!N13)</f>
        <v/>
      </c>
      <c r="Y566" s="18" t="str">
        <f>""</f>
        <v/>
      </c>
      <c r="Z566" s="18" t="str">
        <f>""</f>
        <v/>
      </c>
      <c r="AA566" s="18" t="str">
        <f>""</f>
        <v/>
      </c>
      <c r="AB566" s="18" t="str">
        <f>""</f>
        <v/>
      </c>
      <c r="AC566" s="18" t="str">
        <f>""</f>
        <v/>
      </c>
      <c r="AD566" s="18" t="str">
        <f>""</f>
        <v/>
      </c>
      <c r="AE566" s="18" t="str">
        <f>""</f>
        <v/>
      </c>
      <c r="AF566" s="18" t="str">
        <f>""</f>
        <v/>
      </c>
      <c r="AG566" s="18" t="str">
        <f>""</f>
        <v/>
      </c>
      <c r="AH566" s="18" t="str">
        <f>""</f>
        <v/>
      </c>
      <c r="AI566" s="18" t="str">
        <f>""</f>
        <v/>
      </c>
      <c r="AJ566" s="18" t="str">
        <f>""</f>
        <v/>
      </c>
      <c r="AK566" s="18" t="str">
        <f>""</f>
        <v/>
      </c>
      <c r="AL566" s="18" t="str">
        <f>""</f>
        <v/>
      </c>
      <c r="AM566" s="18" t="str">
        <f>""</f>
        <v/>
      </c>
    </row>
    <row r="567" spans="1:39" ht="15.75" customHeight="1" x14ac:dyDescent="0.25">
      <c r="A567" s="19" t="str">
        <f>IF('Step 12 - Legal'!B14="","","Active")</f>
        <v/>
      </c>
      <c r="B567" s="20" t="str">
        <f>IF('Step 12 - Legal'!B14="","",'Step 12 - Legal'!B14)</f>
        <v/>
      </c>
      <c r="C567" s="20" t="str">
        <f>IF('Step 12 - Legal'!B14="","",'Step 12 - Legal'!B14)</f>
        <v/>
      </c>
      <c r="D567" s="19" t="str">
        <f>IF('Step 12 - Legal'!B14="","",'Step 12 - Legal'!G14)</f>
        <v/>
      </c>
      <c r="E567" s="19" t="str">
        <f>IF('Step 12 - Legal'!B14="","",'Step 12 - Legal'!H14)</f>
        <v/>
      </c>
      <c r="F567" s="20" t="str">
        <f>IF('Step 12 - Legal'!B14="","",IF('Step 12 - Legal'!C14="","","Fund Code"))</f>
        <v/>
      </c>
      <c r="G567" s="19" t="str">
        <f>IF('Step 12 - Legal'!B14="","",IF('Step 12 - Legal'!C14="","","Equals"))</f>
        <v/>
      </c>
      <c r="H567" s="20" t="str">
        <f>IF('Step 12 - Legal'!B14="","",IF('Step 12 - Legal'!C14="","",'Step 12 - Legal'!C14))</f>
        <v/>
      </c>
      <c r="I567" s="20" t="str">
        <f>IF('Step 12 - Legal'!B14="","","Organization Code")</f>
        <v/>
      </c>
      <c r="J567" s="19" t="str">
        <f>IF('Step 12 - Legal'!B14="","","Equals")</f>
        <v/>
      </c>
      <c r="K567" s="20" t="str">
        <f>IF('Step 12 - Legal'!B14="","",'Step 12 - Legal'!D14)</f>
        <v/>
      </c>
      <c r="L567" s="20" t="str">
        <f>IF('Step 12 - Legal'!B14="","","Other Criteria")</f>
        <v/>
      </c>
      <c r="M567" s="19" t="str">
        <f>IF('Step 12 - Legal'!B14="","","Equals")</f>
        <v/>
      </c>
      <c r="N567" s="20" t="str">
        <f>IF('Step 12 - Legal'!B14="","",'Step 12 - Legal'!E14)</f>
        <v/>
      </c>
      <c r="O567" s="20" t="str">
        <f>IF('Step 12 - Legal'!B14="","",IF('Step 12 - Legal'!F14="","","Total"))</f>
        <v/>
      </c>
      <c r="P567" s="19" t="str">
        <f>IF('Step 12 - Legal'!B14="","",IF('Step 12 - Legal'!F14="","","&gt;="))</f>
        <v/>
      </c>
      <c r="Q567" s="20" t="str">
        <f>IF('Step 12 - Legal'!B14="","",IF('Step 12 - Legal'!F14="","",'Step 12 - Legal'!F14))</f>
        <v/>
      </c>
      <c r="R567" s="20" t="str">
        <f>""</f>
        <v/>
      </c>
      <c r="S567" s="20" t="str">
        <f>""</f>
        <v/>
      </c>
      <c r="T567" s="20" t="str">
        <f>""</f>
        <v/>
      </c>
      <c r="U567" s="20" t="str">
        <f>IF('Step 12 - Legal'!B14="","",'Step 12 - Legal'!I14)</f>
        <v/>
      </c>
      <c r="V567" s="19" t="str">
        <f>IF('Step 12 - Legal'!B14="","",'Step 12 - Legal'!K14)</f>
        <v/>
      </c>
      <c r="W567" s="20" t="str">
        <f>IF('Step 12 - Legal'!B14="","",'Step 12 - Legal'!L14)</f>
        <v/>
      </c>
      <c r="X567" s="19" t="str">
        <f>IF('Step 12 - Legal'!B14="","",'Step 12 - Legal'!N14)</f>
        <v/>
      </c>
      <c r="Y567" s="20" t="str">
        <f>""</f>
        <v/>
      </c>
      <c r="Z567" s="20" t="str">
        <f>""</f>
        <v/>
      </c>
      <c r="AA567" s="20" t="str">
        <f>""</f>
        <v/>
      </c>
      <c r="AB567" s="20" t="str">
        <f>""</f>
        <v/>
      </c>
      <c r="AC567" s="20" t="str">
        <f>""</f>
        <v/>
      </c>
      <c r="AD567" s="20" t="str">
        <f>""</f>
        <v/>
      </c>
      <c r="AE567" s="20" t="str">
        <f>""</f>
        <v/>
      </c>
      <c r="AF567" s="20" t="str">
        <f>""</f>
        <v/>
      </c>
      <c r="AG567" s="20" t="str">
        <f>""</f>
        <v/>
      </c>
      <c r="AH567" s="20" t="str">
        <f>""</f>
        <v/>
      </c>
      <c r="AI567" s="20" t="str">
        <f>""</f>
        <v/>
      </c>
      <c r="AJ567" s="20" t="str">
        <f>""</f>
        <v/>
      </c>
      <c r="AK567" s="20" t="str">
        <f>""</f>
        <v/>
      </c>
      <c r="AL567" s="20" t="str">
        <f>""</f>
        <v/>
      </c>
      <c r="AM567" s="20" t="str">
        <f>""</f>
        <v/>
      </c>
    </row>
    <row r="568" spans="1:39" ht="15.75" customHeight="1" x14ac:dyDescent="0.25">
      <c r="A568" s="17" t="str">
        <f>IF('Step 12 - Legal'!B15="","","Active")</f>
        <v/>
      </c>
      <c r="B568" s="18" t="str">
        <f>IF('Step 12 - Legal'!B15="","",'Step 12 - Legal'!B15)</f>
        <v/>
      </c>
      <c r="C568" s="18" t="str">
        <f>IF('Step 12 - Legal'!B15="","",'Step 12 - Legal'!B15)</f>
        <v/>
      </c>
      <c r="D568" s="17" t="str">
        <f>IF('Step 12 - Legal'!B15="","",'Step 12 - Legal'!G15)</f>
        <v/>
      </c>
      <c r="E568" s="17" t="str">
        <f>IF('Step 12 - Legal'!B15="","",'Step 12 - Legal'!H15)</f>
        <v/>
      </c>
      <c r="F568" s="18" t="str">
        <f>IF('Step 12 - Legal'!B15="","",IF('Step 12 - Legal'!C15="","","Fund Code"))</f>
        <v/>
      </c>
      <c r="G568" s="17" t="str">
        <f>IF('Step 12 - Legal'!B15="","",IF('Step 12 - Legal'!C15="","","Equals"))</f>
        <v/>
      </c>
      <c r="H568" s="18" t="str">
        <f>IF('Step 12 - Legal'!B15="","",IF('Step 12 - Legal'!C15="","",'Step 12 - Legal'!C15))</f>
        <v/>
      </c>
      <c r="I568" s="18" t="str">
        <f>IF('Step 12 - Legal'!B15="","","Organization Code")</f>
        <v/>
      </c>
      <c r="J568" s="17" t="str">
        <f>IF('Step 12 - Legal'!B15="","","Equals")</f>
        <v/>
      </c>
      <c r="K568" s="18" t="str">
        <f>IF('Step 12 - Legal'!B15="","",'Step 12 - Legal'!D15)</f>
        <v/>
      </c>
      <c r="L568" s="18" t="str">
        <f>IF('Step 12 - Legal'!B15="","","Other Criteria")</f>
        <v/>
      </c>
      <c r="M568" s="17" t="str">
        <f>IF('Step 12 - Legal'!B15="","","Equals")</f>
        <v/>
      </c>
      <c r="N568" s="18" t="str">
        <f>IF('Step 12 - Legal'!B15="","",'Step 12 - Legal'!E15)</f>
        <v/>
      </c>
      <c r="O568" s="18" t="str">
        <f>IF('Step 12 - Legal'!B15="","",IF('Step 12 - Legal'!F15="","","Total"))</f>
        <v/>
      </c>
      <c r="P568" s="17" t="str">
        <f>IF('Step 12 - Legal'!B15="","",IF('Step 12 - Legal'!F15="","","&gt;="))</f>
        <v/>
      </c>
      <c r="Q568" s="18" t="str">
        <f>IF('Step 12 - Legal'!B15="","",IF('Step 12 - Legal'!F15="","",'Step 12 - Legal'!F15))</f>
        <v/>
      </c>
      <c r="R568" s="18" t="str">
        <f>""</f>
        <v/>
      </c>
      <c r="S568" s="18" t="str">
        <f>""</f>
        <v/>
      </c>
      <c r="T568" s="18" t="str">
        <f>""</f>
        <v/>
      </c>
      <c r="U568" s="18" t="str">
        <f>IF('Step 12 - Legal'!B15="","",'Step 12 - Legal'!I15)</f>
        <v/>
      </c>
      <c r="V568" s="17" t="str">
        <f>IF('Step 12 - Legal'!B15="","",'Step 12 - Legal'!K15)</f>
        <v/>
      </c>
      <c r="W568" s="18" t="str">
        <f>IF('Step 12 - Legal'!B15="","",'Step 12 - Legal'!L15)</f>
        <v/>
      </c>
      <c r="X568" s="17" t="str">
        <f>IF('Step 12 - Legal'!B15="","",'Step 12 - Legal'!N15)</f>
        <v/>
      </c>
      <c r="Y568" s="18" t="str">
        <f>""</f>
        <v/>
      </c>
      <c r="Z568" s="18" t="str">
        <f>""</f>
        <v/>
      </c>
      <c r="AA568" s="18" t="str">
        <f>""</f>
        <v/>
      </c>
      <c r="AB568" s="18" t="str">
        <f>""</f>
        <v/>
      </c>
      <c r="AC568" s="18" t="str">
        <f>""</f>
        <v/>
      </c>
      <c r="AD568" s="18" t="str">
        <f>""</f>
        <v/>
      </c>
      <c r="AE568" s="18" t="str">
        <f>""</f>
        <v/>
      </c>
      <c r="AF568" s="18" t="str">
        <f>""</f>
        <v/>
      </c>
      <c r="AG568" s="18" t="str">
        <f>""</f>
        <v/>
      </c>
      <c r="AH568" s="18" t="str">
        <f>""</f>
        <v/>
      </c>
      <c r="AI568" s="18" t="str">
        <f>""</f>
        <v/>
      </c>
      <c r="AJ568" s="18" t="str">
        <f>""</f>
        <v/>
      </c>
      <c r="AK568" s="18" t="str">
        <f>""</f>
        <v/>
      </c>
      <c r="AL568" s="18" t="str">
        <f>""</f>
        <v/>
      </c>
      <c r="AM568" s="18" t="str">
        <f>""</f>
        <v/>
      </c>
    </row>
    <row r="569" spans="1:39" ht="15.75" customHeight="1" x14ac:dyDescent="0.25">
      <c r="A569" s="19" t="str">
        <f>IF('Step 12 - Legal'!B16="","","Active")</f>
        <v/>
      </c>
      <c r="B569" s="20" t="str">
        <f>IF('Step 12 - Legal'!B16="","",'Step 12 - Legal'!B16)</f>
        <v/>
      </c>
      <c r="C569" s="20" t="str">
        <f>IF('Step 12 - Legal'!B16="","",'Step 12 - Legal'!B16)</f>
        <v/>
      </c>
      <c r="D569" s="19" t="str">
        <f>IF('Step 12 - Legal'!B16="","",'Step 12 - Legal'!G16)</f>
        <v/>
      </c>
      <c r="E569" s="19" t="str">
        <f>IF('Step 12 - Legal'!B16="","",'Step 12 - Legal'!H16)</f>
        <v/>
      </c>
      <c r="F569" s="20" t="str">
        <f>IF('Step 12 - Legal'!B16="","",IF('Step 12 - Legal'!C16="","","Fund Code"))</f>
        <v/>
      </c>
      <c r="G569" s="19" t="str">
        <f>IF('Step 12 - Legal'!B16="","",IF('Step 12 - Legal'!C16="","","Equals"))</f>
        <v/>
      </c>
      <c r="H569" s="20" t="str">
        <f>IF('Step 12 - Legal'!B16="","",IF('Step 12 - Legal'!C16="","",'Step 12 - Legal'!C16))</f>
        <v/>
      </c>
      <c r="I569" s="20" t="str">
        <f>IF('Step 12 - Legal'!B16="","","Organization Code")</f>
        <v/>
      </c>
      <c r="J569" s="19" t="str">
        <f>IF('Step 12 - Legal'!B16="","","Equals")</f>
        <v/>
      </c>
      <c r="K569" s="20" t="str">
        <f>IF('Step 12 - Legal'!B16="","",'Step 12 - Legal'!D16)</f>
        <v/>
      </c>
      <c r="L569" s="20" t="str">
        <f>IF('Step 12 - Legal'!B16="","","Other Criteria")</f>
        <v/>
      </c>
      <c r="M569" s="19" t="str">
        <f>IF('Step 12 - Legal'!B16="","","Equals")</f>
        <v/>
      </c>
      <c r="N569" s="20" t="str">
        <f>IF('Step 12 - Legal'!B16="","",'Step 12 - Legal'!E16)</f>
        <v/>
      </c>
      <c r="O569" s="20" t="str">
        <f>IF('Step 12 - Legal'!B16="","",IF('Step 12 - Legal'!F16="","","Total"))</f>
        <v/>
      </c>
      <c r="P569" s="19" t="str">
        <f>IF('Step 12 - Legal'!B16="","",IF('Step 12 - Legal'!F16="","","&gt;="))</f>
        <v/>
      </c>
      <c r="Q569" s="20" t="str">
        <f>IF('Step 12 - Legal'!B16="","",IF('Step 12 - Legal'!F16="","",'Step 12 - Legal'!F16))</f>
        <v/>
      </c>
      <c r="R569" s="20" t="str">
        <f>""</f>
        <v/>
      </c>
      <c r="S569" s="20" t="str">
        <f>""</f>
        <v/>
      </c>
      <c r="T569" s="20" t="str">
        <f>""</f>
        <v/>
      </c>
      <c r="U569" s="20" t="str">
        <f>IF('Step 12 - Legal'!B16="","",'Step 12 - Legal'!I16)</f>
        <v/>
      </c>
      <c r="V569" s="19" t="str">
        <f>IF('Step 12 - Legal'!B16="","",'Step 12 - Legal'!K16)</f>
        <v/>
      </c>
      <c r="W569" s="20" t="str">
        <f>IF('Step 12 - Legal'!B16="","",'Step 12 - Legal'!L16)</f>
        <v/>
      </c>
      <c r="X569" s="19" t="str">
        <f>IF('Step 12 - Legal'!B16="","",'Step 12 - Legal'!N16)</f>
        <v/>
      </c>
      <c r="Y569" s="20" t="str">
        <f>""</f>
        <v/>
      </c>
      <c r="Z569" s="20" t="str">
        <f>""</f>
        <v/>
      </c>
      <c r="AA569" s="20" t="str">
        <f>""</f>
        <v/>
      </c>
      <c r="AB569" s="20" t="str">
        <f>""</f>
        <v/>
      </c>
      <c r="AC569" s="20" t="str">
        <f>""</f>
        <v/>
      </c>
      <c r="AD569" s="20" t="str">
        <f>""</f>
        <v/>
      </c>
      <c r="AE569" s="20" t="str">
        <f>""</f>
        <v/>
      </c>
      <c r="AF569" s="20" t="str">
        <f>""</f>
        <v/>
      </c>
      <c r="AG569" s="20" t="str">
        <f>""</f>
        <v/>
      </c>
      <c r="AH569" s="20" t="str">
        <f>""</f>
        <v/>
      </c>
      <c r="AI569" s="20" t="str">
        <f>""</f>
        <v/>
      </c>
      <c r="AJ569" s="20" t="str">
        <f>""</f>
        <v/>
      </c>
      <c r="AK569" s="20" t="str">
        <f>""</f>
        <v/>
      </c>
      <c r="AL569" s="20" t="str">
        <f>""</f>
        <v/>
      </c>
      <c r="AM569" s="20" t="str">
        <f>""</f>
        <v/>
      </c>
    </row>
    <row r="570" spans="1:39" ht="15.75" customHeight="1" x14ac:dyDescent="0.25">
      <c r="A570" s="17" t="str">
        <f>IF('Step 12 - Legal'!B17="","","Active")</f>
        <v/>
      </c>
      <c r="B570" s="18" t="str">
        <f>IF('Step 12 - Legal'!B17="","",'Step 12 - Legal'!B17)</f>
        <v/>
      </c>
      <c r="C570" s="18" t="str">
        <f>IF('Step 12 - Legal'!B17="","",'Step 12 - Legal'!B17)</f>
        <v/>
      </c>
      <c r="D570" s="17" t="str">
        <f>IF('Step 12 - Legal'!B17="","",'Step 12 - Legal'!G17)</f>
        <v/>
      </c>
      <c r="E570" s="17" t="str">
        <f>IF('Step 12 - Legal'!B17="","",'Step 12 - Legal'!H17)</f>
        <v/>
      </c>
      <c r="F570" s="18" t="str">
        <f>IF('Step 12 - Legal'!B17="","",IF('Step 12 - Legal'!C17="","","Fund Code"))</f>
        <v/>
      </c>
      <c r="G570" s="17" t="str">
        <f>IF('Step 12 - Legal'!B17="","",IF('Step 12 - Legal'!C17="","","Equals"))</f>
        <v/>
      </c>
      <c r="H570" s="18" t="str">
        <f>IF('Step 12 - Legal'!B17="","",IF('Step 12 - Legal'!C17="","",'Step 12 - Legal'!C17))</f>
        <v/>
      </c>
      <c r="I570" s="18" t="str">
        <f>IF('Step 12 - Legal'!B17="","","Organization Code")</f>
        <v/>
      </c>
      <c r="J570" s="17" t="str">
        <f>IF('Step 12 - Legal'!B17="","","Equals")</f>
        <v/>
      </c>
      <c r="K570" s="18" t="str">
        <f>IF('Step 12 - Legal'!B17="","",'Step 12 - Legal'!D17)</f>
        <v/>
      </c>
      <c r="L570" s="18" t="str">
        <f>IF('Step 12 - Legal'!B17="","","Other Criteria")</f>
        <v/>
      </c>
      <c r="M570" s="17" t="str">
        <f>IF('Step 12 - Legal'!B17="","","Equals")</f>
        <v/>
      </c>
      <c r="N570" s="18" t="str">
        <f>IF('Step 12 - Legal'!B17="","",'Step 12 - Legal'!E17)</f>
        <v/>
      </c>
      <c r="O570" s="18" t="str">
        <f>IF('Step 12 - Legal'!B17="","",IF('Step 12 - Legal'!F17="","","Total"))</f>
        <v/>
      </c>
      <c r="P570" s="17" t="str">
        <f>IF('Step 12 - Legal'!B17="","",IF('Step 12 - Legal'!F17="","","&gt;="))</f>
        <v/>
      </c>
      <c r="Q570" s="18" t="str">
        <f>IF('Step 12 - Legal'!B17="","",IF('Step 12 - Legal'!F17="","",'Step 12 - Legal'!F17))</f>
        <v/>
      </c>
      <c r="R570" s="18" t="str">
        <f>""</f>
        <v/>
      </c>
      <c r="S570" s="18" t="str">
        <f>""</f>
        <v/>
      </c>
      <c r="T570" s="18" t="str">
        <f>""</f>
        <v/>
      </c>
      <c r="U570" s="18" t="str">
        <f>IF('Step 12 - Legal'!B17="","",'Step 12 - Legal'!I17)</f>
        <v/>
      </c>
      <c r="V570" s="17" t="str">
        <f>IF('Step 12 - Legal'!B17="","",'Step 12 - Legal'!K17)</f>
        <v/>
      </c>
      <c r="W570" s="18" t="str">
        <f>IF('Step 12 - Legal'!B17="","",'Step 12 - Legal'!L17)</f>
        <v/>
      </c>
      <c r="X570" s="17" t="str">
        <f>IF('Step 12 - Legal'!B17="","",'Step 12 - Legal'!N17)</f>
        <v/>
      </c>
      <c r="Y570" s="18" t="str">
        <f>""</f>
        <v/>
      </c>
      <c r="Z570" s="18" t="str">
        <f>""</f>
        <v/>
      </c>
      <c r="AA570" s="18" t="str">
        <f>""</f>
        <v/>
      </c>
      <c r="AB570" s="18" t="str">
        <f>""</f>
        <v/>
      </c>
      <c r="AC570" s="18" t="str">
        <f>""</f>
        <v/>
      </c>
      <c r="AD570" s="18" t="str">
        <f>""</f>
        <v/>
      </c>
      <c r="AE570" s="18" t="str">
        <f>""</f>
        <v/>
      </c>
      <c r="AF570" s="18" t="str">
        <f>""</f>
        <v/>
      </c>
      <c r="AG570" s="18" t="str">
        <f>""</f>
        <v/>
      </c>
      <c r="AH570" s="18" t="str">
        <f>""</f>
        <v/>
      </c>
      <c r="AI570" s="18" t="str">
        <f>""</f>
        <v/>
      </c>
      <c r="AJ570" s="18" t="str">
        <f>""</f>
        <v/>
      </c>
      <c r="AK570" s="18" t="str">
        <f>""</f>
        <v/>
      </c>
      <c r="AL570" s="18" t="str">
        <f>""</f>
        <v/>
      </c>
      <c r="AM570" s="18" t="str">
        <f>""</f>
        <v/>
      </c>
    </row>
    <row r="571" spans="1:39" ht="15.75" customHeight="1" x14ac:dyDescent="0.25">
      <c r="A571" s="19" t="str">
        <f>IF('Step 12 - Legal'!B18="","","Active")</f>
        <v/>
      </c>
      <c r="B571" s="20" t="str">
        <f>IF('Step 12 - Legal'!B18="","",'Step 12 - Legal'!B18)</f>
        <v/>
      </c>
      <c r="C571" s="20" t="str">
        <f>IF('Step 12 - Legal'!B18="","",'Step 12 - Legal'!B18)</f>
        <v/>
      </c>
      <c r="D571" s="19" t="str">
        <f>IF('Step 12 - Legal'!B18="","",'Step 12 - Legal'!G18)</f>
        <v/>
      </c>
      <c r="E571" s="19" t="str">
        <f>IF('Step 12 - Legal'!B18="","",'Step 12 - Legal'!H18)</f>
        <v/>
      </c>
      <c r="F571" s="20" t="str">
        <f>IF('Step 12 - Legal'!B18="","",IF('Step 12 - Legal'!C18="","","Fund Code"))</f>
        <v/>
      </c>
      <c r="G571" s="19" t="str">
        <f>IF('Step 12 - Legal'!B18="","",IF('Step 12 - Legal'!C18="","","Equals"))</f>
        <v/>
      </c>
      <c r="H571" s="20" t="str">
        <f>IF('Step 12 - Legal'!B18="","",IF('Step 12 - Legal'!C18="","",'Step 12 - Legal'!C18))</f>
        <v/>
      </c>
      <c r="I571" s="20" t="str">
        <f>IF('Step 12 - Legal'!B18="","","Organization Code")</f>
        <v/>
      </c>
      <c r="J571" s="19" t="str">
        <f>IF('Step 12 - Legal'!B18="","","Equals")</f>
        <v/>
      </c>
      <c r="K571" s="20" t="str">
        <f>IF('Step 12 - Legal'!B18="","",'Step 12 - Legal'!D18)</f>
        <v/>
      </c>
      <c r="L571" s="20" t="str">
        <f>IF('Step 12 - Legal'!B18="","","Other Criteria")</f>
        <v/>
      </c>
      <c r="M571" s="19" t="str">
        <f>IF('Step 12 - Legal'!B18="","","Equals")</f>
        <v/>
      </c>
      <c r="N571" s="20" t="str">
        <f>IF('Step 12 - Legal'!B18="","",'Step 12 - Legal'!E18)</f>
        <v/>
      </c>
      <c r="O571" s="20" t="str">
        <f>IF('Step 12 - Legal'!B18="","",IF('Step 12 - Legal'!F18="","","Total"))</f>
        <v/>
      </c>
      <c r="P571" s="19" t="str">
        <f>IF('Step 12 - Legal'!B18="","",IF('Step 12 - Legal'!F18="","","&gt;="))</f>
        <v/>
      </c>
      <c r="Q571" s="20" t="str">
        <f>IF('Step 12 - Legal'!B18="","",IF('Step 12 - Legal'!F18="","",'Step 12 - Legal'!F18))</f>
        <v/>
      </c>
      <c r="R571" s="20" t="str">
        <f>""</f>
        <v/>
      </c>
      <c r="S571" s="20" t="str">
        <f>""</f>
        <v/>
      </c>
      <c r="T571" s="20" t="str">
        <f>""</f>
        <v/>
      </c>
      <c r="U571" s="20" t="str">
        <f>IF('Step 12 - Legal'!B18="","",'Step 12 - Legal'!I18)</f>
        <v/>
      </c>
      <c r="V571" s="19" t="str">
        <f>IF('Step 12 - Legal'!B18="","",'Step 12 - Legal'!K18)</f>
        <v/>
      </c>
      <c r="W571" s="20" t="str">
        <f>IF('Step 12 - Legal'!B18="","",'Step 12 - Legal'!L18)</f>
        <v/>
      </c>
      <c r="X571" s="19" t="str">
        <f>IF('Step 12 - Legal'!B18="","",'Step 12 - Legal'!N18)</f>
        <v/>
      </c>
      <c r="Y571" s="20" t="str">
        <f>""</f>
        <v/>
      </c>
      <c r="Z571" s="20" t="str">
        <f>""</f>
        <v/>
      </c>
      <c r="AA571" s="20" t="str">
        <f>""</f>
        <v/>
      </c>
      <c r="AB571" s="20" t="str">
        <f>""</f>
        <v/>
      </c>
      <c r="AC571" s="20" t="str">
        <f>""</f>
        <v/>
      </c>
      <c r="AD571" s="20" t="str">
        <f>""</f>
        <v/>
      </c>
      <c r="AE571" s="20" t="str">
        <f>""</f>
        <v/>
      </c>
      <c r="AF571" s="20" t="str">
        <f>""</f>
        <v/>
      </c>
      <c r="AG571" s="20" t="str">
        <f>""</f>
        <v/>
      </c>
      <c r="AH571" s="20" t="str">
        <f>""</f>
        <v/>
      </c>
      <c r="AI571" s="20" t="str">
        <f>""</f>
        <v/>
      </c>
      <c r="AJ571" s="20" t="str">
        <f>""</f>
        <v/>
      </c>
      <c r="AK571" s="20" t="str">
        <f>""</f>
        <v/>
      </c>
      <c r="AL571" s="20" t="str">
        <f>""</f>
        <v/>
      </c>
      <c r="AM571" s="20" t="str">
        <f>""</f>
        <v/>
      </c>
    </row>
    <row r="572" spans="1:39" ht="15.75" customHeight="1" x14ac:dyDescent="0.25">
      <c r="A572" s="17" t="str">
        <f>IF('Step 12 - Legal'!B19="","","Active")</f>
        <v/>
      </c>
      <c r="B572" s="18" t="str">
        <f>IF('Step 12 - Legal'!B19="","",'Step 12 - Legal'!B19)</f>
        <v/>
      </c>
      <c r="C572" s="18" t="str">
        <f>IF('Step 12 - Legal'!B19="","",'Step 12 - Legal'!B19)</f>
        <v/>
      </c>
      <c r="D572" s="17" t="str">
        <f>IF('Step 12 - Legal'!B19="","",'Step 12 - Legal'!G19)</f>
        <v/>
      </c>
      <c r="E572" s="17" t="str">
        <f>IF('Step 12 - Legal'!B19="","",'Step 12 - Legal'!H19)</f>
        <v/>
      </c>
      <c r="F572" s="18" t="str">
        <f>IF('Step 12 - Legal'!B19="","",IF('Step 12 - Legal'!C19="","","Fund Code"))</f>
        <v/>
      </c>
      <c r="G572" s="17" t="str">
        <f>IF('Step 12 - Legal'!B19="","",IF('Step 12 - Legal'!C19="","","Equals"))</f>
        <v/>
      </c>
      <c r="H572" s="18" t="str">
        <f>IF('Step 12 - Legal'!B19="","",IF('Step 12 - Legal'!C19="","",'Step 12 - Legal'!C19))</f>
        <v/>
      </c>
      <c r="I572" s="18" t="str">
        <f>IF('Step 12 - Legal'!B19="","","Organization Code")</f>
        <v/>
      </c>
      <c r="J572" s="17" t="str">
        <f>IF('Step 12 - Legal'!B19="","","Equals")</f>
        <v/>
      </c>
      <c r="K572" s="18" t="str">
        <f>IF('Step 12 - Legal'!B19="","",'Step 12 - Legal'!D19)</f>
        <v/>
      </c>
      <c r="L572" s="18" t="str">
        <f>IF('Step 12 - Legal'!B19="","","Other Criteria")</f>
        <v/>
      </c>
      <c r="M572" s="17" t="str">
        <f>IF('Step 12 - Legal'!B19="","","Equals")</f>
        <v/>
      </c>
      <c r="N572" s="18" t="str">
        <f>IF('Step 12 - Legal'!B19="","",'Step 12 - Legal'!E19)</f>
        <v/>
      </c>
      <c r="O572" s="18" t="str">
        <f>IF('Step 12 - Legal'!B19="","",IF('Step 12 - Legal'!F19="","","Total"))</f>
        <v/>
      </c>
      <c r="P572" s="17" t="str">
        <f>IF('Step 12 - Legal'!B19="","",IF('Step 12 - Legal'!F19="","","&gt;="))</f>
        <v/>
      </c>
      <c r="Q572" s="18" t="str">
        <f>IF('Step 12 - Legal'!B19="","",IF('Step 12 - Legal'!F19="","",'Step 12 - Legal'!F19))</f>
        <v/>
      </c>
      <c r="R572" s="18" t="str">
        <f>""</f>
        <v/>
      </c>
      <c r="S572" s="18" t="str">
        <f>""</f>
        <v/>
      </c>
      <c r="T572" s="18" t="str">
        <f>""</f>
        <v/>
      </c>
      <c r="U572" s="18" t="str">
        <f>IF('Step 12 - Legal'!B19="","",'Step 12 - Legal'!I19)</f>
        <v/>
      </c>
      <c r="V572" s="17" t="str">
        <f>IF('Step 12 - Legal'!B19="","",'Step 12 - Legal'!K19)</f>
        <v/>
      </c>
      <c r="W572" s="18" t="str">
        <f>IF('Step 12 - Legal'!B19="","",'Step 12 - Legal'!L19)</f>
        <v/>
      </c>
      <c r="X572" s="17" t="str">
        <f>IF('Step 12 - Legal'!B19="","",'Step 12 - Legal'!N19)</f>
        <v/>
      </c>
      <c r="Y572" s="18" t="str">
        <f>""</f>
        <v/>
      </c>
      <c r="Z572" s="18" t="str">
        <f>""</f>
        <v/>
      </c>
      <c r="AA572" s="18" t="str">
        <f>""</f>
        <v/>
      </c>
      <c r="AB572" s="18" t="str">
        <f>""</f>
        <v/>
      </c>
      <c r="AC572" s="18" t="str">
        <f>""</f>
        <v/>
      </c>
      <c r="AD572" s="18" t="str">
        <f>""</f>
        <v/>
      </c>
      <c r="AE572" s="18" t="str">
        <f>""</f>
        <v/>
      </c>
      <c r="AF572" s="18" t="str">
        <f>""</f>
        <v/>
      </c>
      <c r="AG572" s="18" t="str">
        <f>""</f>
        <v/>
      </c>
      <c r="AH572" s="18" t="str">
        <f>""</f>
        <v/>
      </c>
      <c r="AI572" s="18" t="str">
        <f>""</f>
        <v/>
      </c>
      <c r="AJ572" s="18" t="str">
        <f>""</f>
        <v/>
      </c>
      <c r="AK572" s="18" t="str">
        <f>""</f>
        <v/>
      </c>
      <c r="AL572" s="18" t="str">
        <f>""</f>
        <v/>
      </c>
      <c r="AM572" s="18" t="str">
        <f>""</f>
        <v/>
      </c>
    </row>
    <row r="573" spans="1:39" ht="15.75" customHeight="1" x14ac:dyDescent="0.25">
      <c r="A573" s="19" t="str">
        <f>IF('Step 12 - Legal'!B20="","","Active")</f>
        <v/>
      </c>
      <c r="B573" s="20" t="str">
        <f>IF('Step 12 - Legal'!B20="","",'Step 12 - Legal'!B20)</f>
        <v/>
      </c>
      <c r="C573" s="20" t="str">
        <f>IF('Step 12 - Legal'!B20="","",'Step 12 - Legal'!B20)</f>
        <v/>
      </c>
      <c r="D573" s="19" t="str">
        <f>IF('Step 12 - Legal'!B20="","",'Step 12 - Legal'!G20)</f>
        <v/>
      </c>
      <c r="E573" s="19" t="str">
        <f>IF('Step 12 - Legal'!B20="","",'Step 12 - Legal'!H20)</f>
        <v/>
      </c>
      <c r="F573" s="20" t="str">
        <f>IF('Step 12 - Legal'!B20="","",IF('Step 12 - Legal'!C20="","","Fund Code"))</f>
        <v/>
      </c>
      <c r="G573" s="19" t="str">
        <f>IF('Step 12 - Legal'!B20="","",IF('Step 12 - Legal'!C20="","","Equals"))</f>
        <v/>
      </c>
      <c r="H573" s="20" t="str">
        <f>IF('Step 12 - Legal'!B20="","",IF('Step 12 - Legal'!C20="","",'Step 12 - Legal'!C20))</f>
        <v/>
      </c>
      <c r="I573" s="20" t="str">
        <f>IF('Step 12 - Legal'!B20="","","Organization Code")</f>
        <v/>
      </c>
      <c r="J573" s="19" t="str">
        <f>IF('Step 12 - Legal'!B20="","","Equals")</f>
        <v/>
      </c>
      <c r="K573" s="20" t="str">
        <f>IF('Step 12 - Legal'!B20="","",'Step 12 - Legal'!D20)</f>
        <v/>
      </c>
      <c r="L573" s="20" t="str">
        <f>IF('Step 12 - Legal'!B20="","","Other Criteria")</f>
        <v/>
      </c>
      <c r="M573" s="19" t="str">
        <f>IF('Step 12 - Legal'!B20="","","Equals")</f>
        <v/>
      </c>
      <c r="N573" s="20" t="str">
        <f>IF('Step 12 - Legal'!B20="","",'Step 12 - Legal'!E20)</f>
        <v/>
      </c>
      <c r="O573" s="20" t="str">
        <f>IF('Step 12 - Legal'!B20="","",IF('Step 12 - Legal'!F20="","","Total"))</f>
        <v/>
      </c>
      <c r="P573" s="19" t="str">
        <f>IF('Step 12 - Legal'!B20="","",IF('Step 12 - Legal'!F20="","","&gt;="))</f>
        <v/>
      </c>
      <c r="Q573" s="20" t="str">
        <f>IF('Step 12 - Legal'!B20="","",IF('Step 12 - Legal'!F20="","",'Step 12 - Legal'!F20))</f>
        <v/>
      </c>
      <c r="R573" s="20" t="str">
        <f>""</f>
        <v/>
      </c>
      <c r="S573" s="20" t="str">
        <f>""</f>
        <v/>
      </c>
      <c r="T573" s="20" t="str">
        <f>""</f>
        <v/>
      </c>
      <c r="U573" s="20" t="str">
        <f>IF('Step 12 - Legal'!B20="","",'Step 12 - Legal'!I20)</f>
        <v/>
      </c>
      <c r="V573" s="19" t="str">
        <f>IF('Step 12 - Legal'!B20="","",'Step 12 - Legal'!K20)</f>
        <v/>
      </c>
      <c r="W573" s="20" t="str">
        <f>IF('Step 12 - Legal'!B20="","",'Step 12 - Legal'!L20)</f>
        <v/>
      </c>
      <c r="X573" s="19" t="str">
        <f>IF('Step 12 - Legal'!B20="","",'Step 12 - Legal'!N20)</f>
        <v/>
      </c>
      <c r="Y573" s="20" t="str">
        <f>""</f>
        <v/>
      </c>
      <c r="Z573" s="20" t="str">
        <f>""</f>
        <v/>
      </c>
      <c r="AA573" s="20" t="str">
        <f>""</f>
        <v/>
      </c>
      <c r="AB573" s="20" t="str">
        <f>""</f>
        <v/>
      </c>
      <c r="AC573" s="20" t="str">
        <f>""</f>
        <v/>
      </c>
      <c r="AD573" s="20" t="str">
        <f>""</f>
        <v/>
      </c>
      <c r="AE573" s="20" t="str">
        <f>""</f>
        <v/>
      </c>
      <c r="AF573" s="20" t="str">
        <f>""</f>
        <v/>
      </c>
      <c r="AG573" s="20" t="str">
        <f>""</f>
        <v/>
      </c>
      <c r="AH573" s="20" t="str">
        <f>""</f>
        <v/>
      </c>
      <c r="AI573" s="20" t="str">
        <f>""</f>
        <v/>
      </c>
      <c r="AJ573" s="20" t="str">
        <f>""</f>
        <v/>
      </c>
      <c r="AK573" s="20" t="str">
        <f>""</f>
        <v/>
      </c>
      <c r="AL573" s="20" t="str">
        <f>""</f>
        <v/>
      </c>
      <c r="AM573" s="20" t="str">
        <f>""</f>
        <v/>
      </c>
    </row>
    <row r="574" spans="1:39" ht="15.75" customHeight="1" x14ac:dyDescent="0.25">
      <c r="A574" s="17" t="str">
        <f>IF('Step 12 - Legal'!B21="","","Active")</f>
        <v/>
      </c>
      <c r="B574" s="18" t="str">
        <f>IF('Step 12 - Legal'!B21="","",'Step 12 - Legal'!B21)</f>
        <v/>
      </c>
      <c r="C574" s="18" t="str">
        <f>IF('Step 12 - Legal'!B21="","",'Step 12 - Legal'!B21)</f>
        <v/>
      </c>
      <c r="D574" s="17" t="str">
        <f>IF('Step 12 - Legal'!B21="","",'Step 12 - Legal'!G21)</f>
        <v/>
      </c>
      <c r="E574" s="17" t="str">
        <f>IF('Step 12 - Legal'!B21="","",'Step 12 - Legal'!H21)</f>
        <v/>
      </c>
      <c r="F574" s="18" t="str">
        <f>IF('Step 12 - Legal'!B21="","",IF('Step 12 - Legal'!C21="","","Fund Code"))</f>
        <v/>
      </c>
      <c r="G574" s="17" t="str">
        <f>IF('Step 12 - Legal'!B21="","",IF('Step 12 - Legal'!C21="","","Equals"))</f>
        <v/>
      </c>
      <c r="H574" s="18" t="str">
        <f>IF('Step 12 - Legal'!B21="","",IF('Step 12 - Legal'!C21="","",'Step 12 - Legal'!C21))</f>
        <v/>
      </c>
      <c r="I574" s="18" t="str">
        <f>IF('Step 12 - Legal'!B21="","","Organization Code")</f>
        <v/>
      </c>
      <c r="J574" s="17" t="str">
        <f>IF('Step 12 - Legal'!B21="","","Equals")</f>
        <v/>
      </c>
      <c r="K574" s="18" t="str">
        <f>IF('Step 12 - Legal'!B21="","",'Step 12 - Legal'!D21)</f>
        <v/>
      </c>
      <c r="L574" s="18" t="str">
        <f>IF('Step 12 - Legal'!B21="","","Other Criteria")</f>
        <v/>
      </c>
      <c r="M574" s="17" t="str">
        <f>IF('Step 12 - Legal'!B21="","","Equals")</f>
        <v/>
      </c>
      <c r="N574" s="18" t="str">
        <f>IF('Step 12 - Legal'!B21="","",'Step 12 - Legal'!E21)</f>
        <v/>
      </c>
      <c r="O574" s="18" t="str">
        <f>IF('Step 12 - Legal'!B21="","",IF('Step 12 - Legal'!F21="","","Total"))</f>
        <v/>
      </c>
      <c r="P574" s="17" t="str">
        <f>IF('Step 12 - Legal'!B21="","",IF('Step 12 - Legal'!F21="","","&gt;="))</f>
        <v/>
      </c>
      <c r="Q574" s="18" t="str">
        <f>IF('Step 12 - Legal'!B21="","",IF('Step 12 - Legal'!F21="","",'Step 12 - Legal'!F21))</f>
        <v/>
      </c>
      <c r="R574" s="18" t="str">
        <f>""</f>
        <v/>
      </c>
      <c r="S574" s="18" t="str">
        <f>""</f>
        <v/>
      </c>
      <c r="T574" s="18" t="str">
        <f>""</f>
        <v/>
      </c>
      <c r="U574" s="18" t="str">
        <f>IF('Step 12 - Legal'!B21="","",'Step 12 - Legal'!I21)</f>
        <v/>
      </c>
      <c r="V574" s="17" t="str">
        <f>IF('Step 12 - Legal'!B21="","",'Step 12 - Legal'!K21)</f>
        <v/>
      </c>
      <c r="W574" s="18" t="str">
        <f>IF('Step 12 - Legal'!B21="","",'Step 12 - Legal'!L21)</f>
        <v/>
      </c>
      <c r="X574" s="17" t="str">
        <f>IF('Step 12 - Legal'!B21="","",'Step 12 - Legal'!N21)</f>
        <v/>
      </c>
      <c r="Y574" s="18" t="str">
        <f>""</f>
        <v/>
      </c>
      <c r="Z574" s="18" t="str">
        <f>""</f>
        <v/>
      </c>
      <c r="AA574" s="18" t="str">
        <f>""</f>
        <v/>
      </c>
      <c r="AB574" s="18" t="str">
        <f>""</f>
        <v/>
      </c>
      <c r="AC574" s="18" t="str">
        <f>""</f>
        <v/>
      </c>
      <c r="AD574" s="18" t="str">
        <f>""</f>
        <v/>
      </c>
      <c r="AE574" s="18" t="str">
        <f>""</f>
        <v/>
      </c>
      <c r="AF574" s="18" t="str">
        <f>""</f>
        <v/>
      </c>
      <c r="AG574" s="18" t="str">
        <f>""</f>
        <v/>
      </c>
      <c r="AH574" s="18" t="str">
        <f>""</f>
        <v/>
      </c>
      <c r="AI574" s="18" t="str">
        <f>""</f>
        <v/>
      </c>
      <c r="AJ574" s="18" t="str">
        <f>""</f>
        <v/>
      </c>
      <c r="AK574" s="18" t="str">
        <f>""</f>
        <v/>
      </c>
      <c r="AL574" s="18" t="str">
        <f>""</f>
        <v/>
      </c>
      <c r="AM574" s="18" t="str">
        <f>""</f>
        <v/>
      </c>
    </row>
    <row r="575" spans="1:39" ht="15.75" customHeight="1" x14ac:dyDescent="0.25">
      <c r="A575" s="19" t="str">
        <f>IF('Step 12 - Legal'!B22="","","Active")</f>
        <v/>
      </c>
      <c r="B575" s="20" t="str">
        <f>IF('Step 12 - Legal'!B22="","",'Step 12 - Legal'!B22)</f>
        <v/>
      </c>
      <c r="C575" s="20" t="str">
        <f>IF('Step 12 - Legal'!B22="","",'Step 12 - Legal'!B22)</f>
        <v/>
      </c>
      <c r="D575" s="19" t="str">
        <f>IF('Step 12 - Legal'!B22="","",'Step 12 - Legal'!G22)</f>
        <v/>
      </c>
      <c r="E575" s="19" t="str">
        <f>IF('Step 12 - Legal'!B22="","",'Step 12 - Legal'!H22)</f>
        <v/>
      </c>
      <c r="F575" s="20" t="str">
        <f>IF('Step 12 - Legal'!B22="","",IF('Step 12 - Legal'!C22="","","Fund Code"))</f>
        <v/>
      </c>
      <c r="G575" s="19" t="str">
        <f>IF('Step 12 - Legal'!B22="","",IF('Step 12 - Legal'!C22="","","Equals"))</f>
        <v/>
      </c>
      <c r="H575" s="20" t="str">
        <f>IF('Step 12 - Legal'!B22="","",IF('Step 12 - Legal'!C22="","",'Step 12 - Legal'!C22))</f>
        <v/>
      </c>
      <c r="I575" s="20" t="str">
        <f>IF('Step 12 - Legal'!B22="","","Organization Code")</f>
        <v/>
      </c>
      <c r="J575" s="19" t="str">
        <f>IF('Step 12 - Legal'!B22="","","Equals")</f>
        <v/>
      </c>
      <c r="K575" s="20" t="str">
        <f>IF('Step 12 - Legal'!B22="","",'Step 12 - Legal'!D22)</f>
        <v/>
      </c>
      <c r="L575" s="20" t="str">
        <f>IF('Step 12 - Legal'!B22="","","Other Criteria")</f>
        <v/>
      </c>
      <c r="M575" s="19" t="str">
        <f>IF('Step 12 - Legal'!B22="","","Equals")</f>
        <v/>
      </c>
      <c r="N575" s="20" t="str">
        <f>IF('Step 12 - Legal'!B22="","",'Step 12 - Legal'!E22)</f>
        <v/>
      </c>
      <c r="O575" s="20" t="str">
        <f>IF('Step 12 - Legal'!B22="","",IF('Step 12 - Legal'!F22="","","Total"))</f>
        <v/>
      </c>
      <c r="P575" s="19" t="str">
        <f>IF('Step 12 - Legal'!B22="","",IF('Step 12 - Legal'!F22="","","&gt;="))</f>
        <v/>
      </c>
      <c r="Q575" s="20" t="str">
        <f>IF('Step 12 - Legal'!B22="","",IF('Step 12 - Legal'!F22="","",'Step 12 - Legal'!F22))</f>
        <v/>
      </c>
      <c r="R575" s="20" t="str">
        <f>""</f>
        <v/>
      </c>
      <c r="S575" s="20" t="str">
        <f>""</f>
        <v/>
      </c>
      <c r="T575" s="20" t="str">
        <f>""</f>
        <v/>
      </c>
      <c r="U575" s="20" t="str">
        <f>IF('Step 12 - Legal'!B22="","",'Step 12 - Legal'!I22)</f>
        <v/>
      </c>
      <c r="V575" s="19" t="str">
        <f>IF('Step 12 - Legal'!B22="","",'Step 12 - Legal'!K22)</f>
        <v/>
      </c>
      <c r="W575" s="20" t="str">
        <f>IF('Step 12 - Legal'!B22="","",'Step 12 - Legal'!L22)</f>
        <v/>
      </c>
      <c r="X575" s="19" t="str">
        <f>IF('Step 12 - Legal'!B22="","",'Step 12 - Legal'!N22)</f>
        <v/>
      </c>
      <c r="Y575" s="20" t="str">
        <f>""</f>
        <v/>
      </c>
      <c r="Z575" s="20" t="str">
        <f>""</f>
        <v/>
      </c>
      <c r="AA575" s="20" t="str">
        <f>""</f>
        <v/>
      </c>
      <c r="AB575" s="20" t="str">
        <f>""</f>
        <v/>
      </c>
      <c r="AC575" s="20" t="str">
        <f>""</f>
        <v/>
      </c>
      <c r="AD575" s="20" t="str">
        <f>""</f>
        <v/>
      </c>
      <c r="AE575" s="20" t="str">
        <f>""</f>
        <v/>
      </c>
      <c r="AF575" s="20" t="str">
        <f>""</f>
        <v/>
      </c>
      <c r="AG575" s="20" t="str">
        <f>""</f>
        <v/>
      </c>
      <c r="AH575" s="20" t="str">
        <f>""</f>
        <v/>
      </c>
      <c r="AI575" s="20" t="str">
        <f>""</f>
        <v/>
      </c>
      <c r="AJ575" s="20" t="str">
        <f>""</f>
        <v/>
      </c>
      <c r="AK575" s="20" t="str">
        <f>""</f>
        <v/>
      </c>
      <c r="AL575" s="20" t="str">
        <f>""</f>
        <v/>
      </c>
      <c r="AM575" s="20" t="str">
        <f>""</f>
        <v/>
      </c>
    </row>
    <row r="576" spans="1:39" ht="15.75" customHeight="1" x14ac:dyDescent="0.25">
      <c r="A576" s="17" t="str">
        <f>IF('Step 12 - Legal'!B23="","","Active")</f>
        <v/>
      </c>
      <c r="B576" s="18" t="str">
        <f>IF('Step 12 - Legal'!B23="","",'Step 12 - Legal'!B23)</f>
        <v/>
      </c>
      <c r="C576" s="18" t="str">
        <f>IF('Step 12 - Legal'!B23="","",'Step 12 - Legal'!B23)</f>
        <v/>
      </c>
      <c r="D576" s="17" t="str">
        <f>IF('Step 12 - Legal'!B23="","",'Step 12 - Legal'!G23)</f>
        <v/>
      </c>
      <c r="E576" s="17" t="str">
        <f>IF('Step 12 - Legal'!B23="","",'Step 12 - Legal'!H23)</f>
        <v/>
      </c>
      <c r="F576" s="18" t="str">
        <f>IF('Step 12 - Legal'!B23="","",IF('Step 12 - Legal'!C23="","","Fund Code"))</f>
        <v/>
      </c>
      <c r="G576" s="17" t="str">
        <f>IF('Step 12 - Legal'!B23="","",IF('Step 12 - Legal'!C23="","","Equals"))</f>
        <v/>
      </c>
      <c r="H576" s="18" t="str">
        <f>IF('Step 12 - Legal'!B23="","",IF('Step 12 - Legal'!C23="","",'Step 12 - Legal'!C23))</f>
        <v/>
      </c>
      <c r="I576" s="18" t="str">
        <f>IF('Step 12 - Legal'!B23="","","Organization Code")</f>
        <v/>
      </c>
      <c r="J576" s="17" t="str">
        <f>IF('Step 12 - Legal'!B23="","","Equals")</f>
        <v/>
      </c>
      <c r="K576" s="18" t="str">
        <f>IF('Step 12 - Legal'!B23="","",'Step 12 - Legal'!D23)</f>
        <v/>
      </c>
      <c r="L576" s="18" t="str">
        <f>IF('Step 12 - Legal'!B23="","","Other Criteria")</f>
        <v/>
      </c>
      <c r="M576" s="17" t="str">
        <f>IF('Step 12 - Legal'!B23="","","Equals")</f>
        <v/>
      </c>
      <c r="N576" s="18" t="str">
        <f>IF('Step 12 - Legal'!B23="","",'Step 12 - Legal'!E23)</f>
        <v/>
      </c>
      <c r="O576" s="18" t="str">
        <f>IF('Step 12 - Legal'!B23="","",IF('Step 12 - Legal'!F23="","","Total"))</f>
        <v/>
      </c>
      <c r="P576" s="17" t="str">
        <f>IF('Step 12 - Legal'!B23="","",IF('Step 12 - Legal'!F23="","","&gt;="))</f>
        <v/>
      </c>
      <c r="Q576" s="18" t="str">
        <f>IF('Step 12 - Legal'!B23="","",IF('Step 12 - Legal'!F23="","",'Step 12 - Legal'!F23))</f>
        <v/>
      </c>
      <c r="R576" s="18" t="str">
        <f>""</f>
        <v/>
      </c>
      <c r="S576" s="18" t="str">
        <f>""</f>
        <v/>
      </c>
      <c r="T576" s="18" t="str">
        <f>""</f>
        <v/>
      </c>
      <c r="U576" s="18" t="str">
        <f>IF('Step 12 - Legal'!B23="","",'Step 12 - Legal'!I23)</f>
        <v/>
      </c>
      <c r="V576" s="17" t="str">
        <f>IF('Step 12 - Legal'!B23="","",'Step 12 - Legal'!K23)</f>
        <v/>
      </c>
      <c r="W576" s="18" t="str">
        <f>IF('Step 12 - Legal'!B23="","",'Step 12 - Legal'!L23)</f>
        <v/>
      </c>
      <c r="X576" s="17" t="str">
        <f>IF('Step 12 - Legal'!B23="","",'Step 12 - Legal'!N23)</f>
        <v/>
      </c>
      <c r="Y576" s="18" t="str">
        <f>""</f>
        <v/>
      </c>
      <c r="Z576" s="18" t="str">
        <f>""</f>
        <v/>
      </c>
      <c r="AA576" s="18" t="str">
        <f>""</f>
        <v/>
      </c>
      <c r="AB576" s="18" t="str">
        <f>""</f>
        <v/>
      </c>
      <c r="AC576" s="18" t="str">
        <f>""</f>
        <v/>
      </c>
      <c r="AD576" s="18" t="str">
        <f>""</f>
        <v/>
      </c>
      <c r="AE576" s="18" t="str">
        <f>""</f>
        <v/>
      </c>
      <c r="AF576" s="18" t="str">
        <f>""</f>
        <v/>
      </c>
      <c r="AG576" s="18" t="str">
        <f>""</f>
        <v/>
      </c>
      <c r="AH576" s="18" t="str">
        <f>""</f>
        <v/>
      </c>
      <c r="AI576" s="18" t="str">
        <f>""</f>
        <v/>
      </c>
      <c r="AJ576" s="18" t="str">
        <f>""</f>
        <v/>
      </c>
      <c r="AK576" s="18" t="str">
        <f>""</f>
        <v/>
      </c>
      <c r="AL576" s="18" t="str">
        <f>""</f>
        <v/>
      </c>
      <c r="AM576" s="18" t="str">
        <f>""</f>
        <v/>
      </c>
    </row>
    <row r="577" spans="1:39" ht="15.75" customHeight="1" x14ac:dyDescent="0.25">
      <c r="A577" s="19" t="str">
        <f>IF('Step 12 - Legal'!B24="","","Active")</f>
        <v/>
      </c>
      <c r="B577" s="20" t="str">
        <f>IF('Step 12 - Legal'!B24="","",'Step 12 - Legal'!B24)</f>
        <v/>
      </c>
      <c r="C577" s="20" t="str">
        <f>IF('Step 12 - Legal'!B24="","",'Step 12 - Legal'!B24)</f>
        <v/>
      </c>
      <c r="D577" s="19" t="str">
        <f>IF('Step 12 - Legal'!B24="","",'Step 12 - Legal'!G24)</f>
        <v/>
      </c>
      <c r="E577" s="19" t="str">
        <f>IF('Step 12 - Legal'!B24="","",'Step 12 - Legal'!H24)</f>
        <v/>
      </c>
      <c r="F577" s="20" t="str">
        <f>IF('Step 12 - Legal'!B24="","",IF('Step 12 - Legal'!C24="","","Fund Code"))</f>
        <v/>
      </c>
      <c r="G577" s="19" t="str">
        <f>IF('Step 12 - Legal'!B24="","",IF('Step 12 - Legal'!C24="","","Equals"))</f>
        <v/>
      </c>
      <c r="H577" s="20" t="str">
        <f>IF('Step 12 - Legal'!B24="","",IF('Step 12 - Legal'!C24="","",'Step 12 - Legal'!C24))</f>
        <v/>
      </c>
      <c r="I577" s="20" t="str">
        <f>IF('Step 12 - Legal'!B24="","","Organization Code")</f>
        <v/>
      </c>
      <c r="J577" s="19" t="str">
        <f>IF('Step 12 - Legal'!B24="","","Equals")</f>
        <v/>
      </c>
      <c r="K577" s="20" t="str">
        <f>IF('Step 12 - Legal'!B24="","",'Step 12 - Legal'!D24)</f>
        <v/>
      </c>
      <c r="L577" s="20" t="str">
        <f>IF('Step 12 - Legal'!B24="","","Other Criteria")</f>
        <v/>
      </c>
      <c r="M577" s="19" t="str">
        <f>IF('Step 12 - Legal'!B24="","","Equals")</f>
        <v/>
      </c>
      <c r="N577" s="20" t="str">
        <f>IF('Step 12 - Legal'!B24="","",'Step 12 - Legal'!E24)</f>
        <v/>
      </c>
      <c r="O577" s="20" t="str">
        <f>IF('Step 12 - Legal'!B24="","",IF('Step 12 - Legal'!F24="","","Total"))</f>
        <v/>
      </c>
      <c r="P577" s="19" t="str">
        <f>IF('Step 12 - Legal'!B24="","",IF('Step 12 - Legal'!F24="","","&gt;="))</f>
        <v/>
      </c>
      <c r="Q577" s="20" t="str">
        <f>IF('Step 12 - Legal'!B24="","",IF('Step 12 - Legal'!F24="","",'Step 12 - Legal'!F24))</f>
        <v/>
      </c>
      <c r="R577" s="20" t="str">
        <f>""</f>
        <v/>
      </c>
      <c r="S577" s="20" t="str">
        <f>""</f>
        <v/>
      </c>
      <c r="T577" s="20" t="str">
        <f>""</f>
        <v/>
      </c>
      <c r="U577" s="20" t="str">
        <f>IF('Step 12 - Legal'!B24="","",'Step 12 - Legal'!I24)</f>
        <v/>
      </c>
      <c r="V577" s="19" t="str">
        <f>IF('Step 12 - Legal'!B24="","",'Step 12 - Legal'!K24)</f>
        <v/>
      </c>
      <c r="W577" s="20" t="str">
        <f>IF('Step 12 - Legal'!B24="","",'Step 12 - Legal'!L24)</f>
        <v/>
      </c>
      <c r="X577" s="19" t="str">
        <f>IF('Step 12 - Legal'!B24="","",'Step 12 - Legal'!N24)</f>
        <v/>
      </c>
      <c r="Y577" s="20" t="str">
        <f>""</f>
        <v/>
      </c>
      <c r="Z577" s="20" t="str">
        <f>""</f>
        <v/>
      </c>
      <c r="AA577" s="20" t="str">
        <f>""</f>
        <v/>
      </c>
      <c r="AB577" s="20" t="str">
        <f>""</f>
        <v/>
      </c>
      <c r="AC577" s="20" t="str">
        <f>""</f>
        <v/>
      </c>
      <c r="AD577" s="20" t="str">
        <f>""</f>
        <v/>
      </c>
      <c r="AE577" s="20" t="str">
        <f>""</f>
        <v/>
      </c>
      <c r="AF577" s="20" t="str">
        <f>""</f>
        <v/>
      </c>
      <c r="AG577" s="20" t="str">
        <f>""</f>
        <v/>
      </c>
      <c r="AH577" s="20" t="str">
        <f>""</f>
        <v/>
      </c>
      <c r="AI577" s="20" t="str">
        <f>""</f>
        <v/>
      </c>
      <c r="AJ577" s="20" t="str">
        <f>""</f>
        <v/>
      </c>
      <c r="AK577" s="20" t="str">
        <f>""</f>
        <v/>
      </c>
      <c r="AL577" s="20" t="str">
        <f>""</f>
        <v/>
      </c>
      <c r="AM577" s="20" t="str">
        <f>""</f>
        <v/>
      </c>
    </row>
    <row r="578" spans="1:39" ht="15.75" customHeight="1" x14ac:dyDescent="0.25">
      <c r="A578" s="17" t="str">
        <f>IF('Step 12 - Legal'!B25="","","Active")</f>
        <v/>
      </c>
      <c r="B578" s="18" t="str">
        <f>IF('Step 12 - Legal'!B25="","",'Step 12 - Legal'!B25)</f>
        <v/>
      </c>
      <c r="C578" s="18" t="str">
        <f>IF('Step 12 - Legal'!B25="","",'Step 12 - Legal'!B25)</f>
        <v/>
      </c>
      <c r="D578" s="17" t="str">
        <f>IF('Step 12 - Legal'!B25="","",'Step 12 - Legal'!G25)</f>
        <v/>
      </c>
      <c r="E578" s="17" t="str">
        <f>IF('Step 12 - Legal'!B25="","",'Step 12 - Legal'!H25)</f>
        <v/>
      </c>
      <c r="F578" s="18" t="str">
        <f>IF('Step 12 - Legal'!B25="","",IF('Step 12 - Legal'!C25="","","Fund Code"))</f>
        <v/>
      </c>
      <c r="G578" s="17" t="str">
        <f>IF('Step 12 - Legal'!B25="","",IF('Step 12 - Legal'!C25="","","Equals"))</f>
        <v/>
      </c>
      <c r="H578" s="18" t="str">
        <f>IF('Step 12 - Legal'!B25="","",IF('Step 12 - Legal'!C25="","",'Step 12 - Legal'!C25))</f>
        <v/>
      </c>
      <c r="I578" s="18" t="str">
        <f>IF('Step 12 - Legal'!B25="","","Organization Code")</f>
        <v/>
      </c>
      <c r="J578" s="17" t="str">
        <f>IF('Step 12 - Legal'!B25="","","Equals")</f>
        <v/>
      </c>
      <c r="K578" s="18" t="str">
        <f>IF('Step 12 - Legal'!B25="","",'Step 12 - Legal'!D25)</f>
        <v/>
      </c>
      <c r="L578" s="18" t="str">
        <f>IF('Step 12 - Legal'!B25="","","Other Criteria")</f>
        <v/>
      </c>
      <c r="M578" s="17" t="str">
        <f>IF('Step 12 - Legal'!B25="","","Equals")</f>
        <v/>
      </c>
      <c r="N578" s="18" t="str">
        <f>IF('Step 12 - Legal'!B25="","",'Step 12 - Legal'!E25)</f>
        <v/>
      </c>
      <c r="O578" s="18" t="str">
        <f>IF('Step 12 - Legal'!B25="","",IF('Step 12 - Legal'!F25="","","Total"))</f>
        <v/>
      </c>
      <c r="P578" s="17" t="str">
        <f>IF('Step 12 - Legal'!B25="","",IF('Step 12 - Legal'!F25="","","&gt;="))</f>
        <v/>
      </c>
      <c r="Q578" s="18" t="str">
        <f>IF('Step 12 - Legal'!B25="","",IF('Step 12 - Legal'!F25="","",'Step 12 - Legal'!F25))</f>
        <v/>
      </c>
      <c r="R578" s="18" t="str">
        <f>""</f>
        <v/>
      </c>
      <c r="S578" s="18" t="str">
        <f>""</f>
        <v/>
      </c>
      <c r="T578" s="18" t="str">
        <f>""</f>
        <v/>
      </c>
      <c r="U578" s="18" t="str">
        <f>IF('Step 12 - Legal'!B25="","",'Step 12 - Legal'!I25)</f>
        <v/>
      </c>
      <c r="V578" s="17" t="str">
        <f>IF('Step 12 - Legal'!B25="","",'Step 12 - Legal'!K25)</f>
        <v/>
      </c>
      <c r="W578" s="18" t="str">
        <f>IF('Step 12 - Legal'!B25="","",'Step 12 - Legal'!L25)</f>
        <v/>
      </c>
      <c r="X578" s="17" t="str">
        <f>IF('Step 12 - Legal'!B25="","",'Step 12 - Legal'!N25)</f>
        <v/>
      </c>
      <c r="Y578" s="18" t="str">
        <f>""</f>
        <v/>
      </c>
      <c r="Z578" s="18" t="str">
        <f>""</f>
        <v/>
      </c>
      <c r="AA578" s="18" t="str">
        <f>""</f>
        <v/>
      </c>
      <c r="AB578" s="18" t="str">
        <f>""</f>
        <v/>
      </c>
      <c r="AC578" s="18" t="str">
        <f>""</f>
        <v/>
      </c>
      <c r="AD578" s="18" t="str">
        <f>""</f>
        <v/>
      </c>
      <c r="AE578" s="18" t="str">
        <f>""</f>
        <v/>
      </c>
      <c r="AF578" s="18" t="str">
        <f>""</f>
        <v/>
      </c>
      <c r="AG578" s="18" t="str">
        <f>""</f>
        <v/>
      </c>
      <c r="AH578" s="18" t="str">
        <f>""</f>
        <v/>
      </c>
      <c r="AI578" s="18" t="str">
        <f>""</f>
        <v/>
      </c>
      <c r="AJ578" s="18" t="str">
        <f>""</f>
        <v/>
      </c>
      <c r="AK578" s="18" t="str">
        <f>""</f>
        <v/>
      </c>
      <c r="AL578" s="18" t="str">
        <f>""</f>
        <v/>
      </c>
      <c r="AM578" s="18" t="str">
        <f>""</f>
        <v/>
      </c>
    </row>
    <row r="579" spans="1:39" ht="15.75" customHeight="1" x14ac:dyDescent="0.25">
      <c r="A579" s="19" t="str">
        <f>IF('Step 12 - Legal'!B26="","","Active")</f>
        <v/>
      </c>
      <c r="B579" s="20" t="str">
        <f>IF('Step 12 - Legal'!B26="","",'Step 12 - Legal'!B26)</f>
        <v/>
      </c>
      <c r="C579" s="20" t="str">
        <f>IF('Step 12 - Legal'!B26="","",'Step 12 - Legal'!B26)</f>
        <v/>
      </c>
      <c r="D579" s="19" t="str">
        <f>IF('Step 12 - Legal'!B26="","",'Step 12 - Legal'!G26)</f>
        <v/>
      </c>
      <c r="E579" s="19" t="str">
        <f>IF('Step 12 - Legal'!B26="","",'Step 12 - Legal'!H26)</f>
        <v/>
      </c>
      <c r="F579" s="20" t="str">
        <f>IF('Step 12 - Legal'!B26="","",IF('Step 12 - Legal'!C26="","","Fund Code"))</f>
        <v/>
      </c>
      <c r="G579" s="19" t="str">
        <f>IF('Step 12 - Legal'!B26="","",IF('Step 12 - Legal'!C26="","","Equals"))</f>
        <v/>
      </c>
      <c r="H579" s="20" t="str">
        <f>IF('Step 12 - Legal'!B26="","",IF('Step 12 - Legal'!C26="","",'Step 12 - Legal'!C26))</f>
        <v/>
      </c>
      <c r="I579" s="20" t="str">
        <f>IF('Step 12 - Legal'!B26="","","Organization Code")</f>
        <v/>
      </c>
      <c r="J579" s="19" t="str">
        <f>IF('Step 12 - Legal'!B26="","","Equals")</f>
        <v/>
      </c>
      <c r="K579" s="20" t="str">
        <f>IF('Step 12 - Legal'!B26="","",'Step 12 - Legal'!D26)</f>
        <v/>
      </c>
      <c r="L579" s="20" t="str">
        <f>IF('Step 12 - Legal'!B26="","","Other Criteria")</f>
        <v/>
      </c>
      <c r="M579" s="19" t="str">
        <f>IF('Step 12 - Legal'!B26="","","Equals")</f>
        <v/>
      </c>
      <c r="N579" s="20" t="str">
        <f>IF('Step 12 - Legal'!B26="","",'Step 12 - Legal'!E26)</f>
        <v/>
      </c>
      <c r="O579" s="20" t="str">
        <f>IF('Step 12 - Legal'!B26="","",IF('Step 12 - Legal'!F26="","","Total"))</f>
        <v/>
      </c>
      <c r="P579" s="19" t="str">
        <f>IF('Step 12 - Legal'!B26="","",IF('Step 12 - Legal'!F26="","","&gt;="))</f>
        <v/>
      </c>
      <c r="Q579" s="20" t="str">
        <f>IF('Step 12 - Legal'!B26="","",IF('Step 12 - Legal'!F26="","",'Step 12 - Legal'!F26))</f>
        <v/>
      </c>
      <c r="R579" s="20" t="str">
        <f>""</f>
        <v/>
      </c>
      <c r="S579" s="20" t="str">
        <f>""</f>
        <v/>
      </c>
      <c r="T579" s="20" t="str">
        <f>""</f>
        <v/>
      </c>
      <c r="U579" s="20" t="str">
        <f>IF('Step 12 - Legal'!B26="","",'Step 12 - Legal'!I26)</f>
        <v/>
      </c>
      <c r="V579" s="19" t="str">
        <f>IF('Step 12 - Legal'!B26="","",'Step 12 - Legal'!K26)</f>
        <v/>
      </c>
      <c r="W579" s="20" t="str">
        <f>IF('Step 12 - Legal'!B26="","",'Step 12 - Legal'!L26)</f>
        <v/>
      </c>
      <c r="X579" s="19" t="str">
        <f>IF('Step 12 - Legal'!B26="","",'Step 12 - Legal'!N26)</f>
        <v/>
      </c>
      <c r="Y579" s="20" t="str">
        <f>""</f>
        <v/>
      </c>
      <c r="Z579" s="20" t="str">
        <f>""</f>
        <v/>
      </c>
      <c r="AA579" s="20" t="str">
        <f>""</f>
        <v/>
      </c>
      <c r="AB579" s="20" t="str">
        <f>""</f>
        <v/>
      </c>
      <c r="AC579" s="20" t="str">
        <f>""</f>
        <v/>
      </c>
      <c r="AD579" s="20" t="str">
        <f>""</f>
        <v/>
      </c>
      <c r="AE579" s="20" t="str">
        <f>""</f>
        <v/>
      </c>
      <c r="AF579" s="20" t="str">
        <f>""</f>
        <v/>
      </c>
      <c r="AG579" s="20" t="str">
        <f>""</f>
        <v/>
      </c>
      <c r="AH579" s="20" t="str">
        <f>""</f>
        <v/>
      </c>
      <c r="AI579" s="20" t="str">
        <f>""</f>
        <v/>
      </c>
      <c r="AJ579" s="20" t="str">
        <f>""</f>
        <v/>
      </c>
      <c r="AK579" s="20" t="str">
        <f>""</f>
        <v/>
      </c>
      <c r="AL579" s="20" t="str">
        <f>""</f>
        <v/>
      </c>
      <c r="AM579" s="20" t="str">
        <f>""</f>
        <v/>
      </c>
    </row>
    <row r="580" spans="1:39" ht="15.75" customHeight="1" x14ac:dyDescent="0.25">
      <c r="A580" s="17" t="str">
        <f>IF('Step 12 - Legal'!B27="","","Active")</f>
        <v/>
      </c>
      <c r="B580" s="18" t="str">
        <f>IF('Step 12 - Legal'!B27="","",'Step 12 - Legal'!B27)</f>
        <v/>
      </c>
      <c r="C580" s="18" t="str">
        <f>IF('Step 12 - Legal'!B27="","",'Step 12 - Legal'!B27)</f>
        <v/>
      </c>
      <c r="D580" s="17" t="str">
        <f>IF('Step 12 - Legal'!B27="","",'Step 12 - Legal'!G27)</f>
        <v/>
      </c>
      <c r="E580" s="17" t="str">
        <f>IF('Step 12 - Legal'!B27="","",'Step 12 - Legal'!H27)</f>
        <v/>
      </c>
      <c r="F580" s="18" t="str">
        <f>IF('Step 12 - Legal'!B27="","",IF('Step 12 - Legal'!C27="","","Fund Code"))</f>
        <v/>
      </c>
      <c r="G580" s="17" t="str">
        <f>IF('Step 12 - Legal'!B27="","",IF('Step 12 - Legal'!C27="","","Equals"))</f>
        <v/>
      </c>
      <c r="H580" s="18" t="str">
        <f>IF('Step 12 - Legal'!B27="","",IF('Step 12 - Legal'!C27="","",'Step 12 - Legal'!C27))</f>
        <v/>
      </c>
      <c r="I580" s="18" t="str">
        <f>IF('Step 12 - Legal'!B27="","","Organization Code")</f>
        <v/>
      </c>
      <c r="J580" s="17" t="str">
        <f>IF('Step 12 - Legal'!B27="","","Equals")</f>
        <v/>
      </c>
      <c r="K580" s="18" t="str">
        <f>IF('Step 12 - Legal'!B27="","",'Step 12 - Legal'!D27)</f>
        <v/>
      </c>
      <c r="L580" s="18" t="str">
        <f>IF('Step 12 - Legal'!B27="","","Other Criteria")</f>
        <v/>
      </c>
      <c r="M580" s="17" t="str">
        <f>IF('Step 12 - Legal'!B27="","","Equals")</f>
        <v/>
      </c>
      <c r="N580" s="18" t="str">
        <f>IF('Step 12 - Legal'!B27="","",'Step 12 - Legal'!E27)</f>
        <v/>
      </c>
      <c r="O580" s="18" t="str">
        <f>IF('Step 12 - Legal'!B27="","",IF('Step 12 - Legal'!F27="","","Total"))</f>
        <v/>
      </c>
      <c r="P580" s="17" t="str">
        <f>IF('Step 12 - Legal'!B27="","",IF('Step 12 - Legal'!F27="","","&gt;="))</f>
        <v/>
      </c>
      <c r="Q580" s="18" t="str">
        <f>IF('Step 12 - Legal'!B27="","",IF('Step 12 - Legal'!F27="","",'Step 12 - Legal'!F27))</f>
        <v/>
      </c>
      <c r="R580" s="18" t="str">
        <f>""</f>
        <v/>
      </c>
      <c r="S580" s="18" t="str">
        <f>""</f>
        <v/>
      </c>
      <c r="T580" s="18" t="str">
        <f>""</f>
        <v/>
      </c>
      <c r="U580" s="18" t="str">
        <f>IF('Step 12 - Legal'!B27="","",'Step 12 - Legal'!I27)</f>
        <v/>
      </c>
      <c r="V580" s="17" t="str">
        <f>IF('Step 12 - Legal'!B27="","",'Step 12 - Legal'!K27)</f>
        <v/>
      </c>
      <c r="W580" s="18" t="str">
        <f>IF('Step 12 - Legal'!B27="","",'Step 12 - Legal'!L27)</f>
        <v/>
      </c>
      <c r="X580" s="17" t="str">
        <f>IF('Step 12 - Legal'!B27="","",'Step 12 - Legal'!N27)</f>
        <v/>
      </c>
      <c r="Y580" s="18" t="str">
        <f>""</f>
        <v/>
      </c>
      <c r="Z580" s="18" t="str">
        <f>""</f>
        <v/>
      </c>
      <c r="AA580" s="18" t="str">
        <f>""</f>
        <v/>
      </c>
      <c r="AB580" s="18" t="str">
        <f>""</f>
        <v/>
      </c>
      <c r="AC580" s="18" t="str">
        <f>""</f>
        <v/>
      </c>
      <c r="AD580" s="18" t="str">
        <f>""</f>
        <v/>
      </c>
      <c r="AE580" s="18" t="str">
        <f>""</f>
        <v/>
      </c>
      <c r="AF580" s="18" t="str">
        <f>""</f>
        <v/>
      </c>
      <c r="AG580" s="18" t="str">
        <f>""</f>
        <v/>
      </c>
      <c r="AH580" s="18" t="str">
        <f>""</f>
        <v/>
      </c>
      <c r="AI580" s="18" t="str">
        <f>""</f>
        <v/>
      </c>
      <c r="AJ580" s="18" t="str">
        <f>""</f>
        <v/>
      </c>
      <c r="AK580" s="18" t="str">
        <f>""</f>
        <v/>
      </c>
      <c r="AL580" s="18" t="str">
        <f>""</f>
        <v/>
      </c>
      <c r="AM580" s="18" t="str">
        <f>""</f>
        <v/>
      </c>
    </row>
    <row r="581" spans="1:39" ht="15.75" customHeight="1" x14ac:dyDescent="0.25">
      <c r="A581" s="19" t="str">
        <f>IF('Step 12 - Legal'!B28="","","Active")</f>
        <v/>
      </c>
      <c r="B581" s="20" t="str">
        <f>IF('Step 12 - Legal'!B28="","",'Step 12 - Legal'!B28)</f>
        <v/>
      </c>
      <c r="C581" s="20" t="str">
        <f>IF('Step 12 - Legal'!B28="","",'Step 12 - Legal'!B28)</f>
        <v/>
      </c>
      <c r="D581" s="19" t="str">
        <f>IF('Step 12 - Legal'!B28="","",'Step 12 - Legal'!G28)</f>
        <v/>
      </c>
      <c r="E581" s="19" t="str">
        <f>IF('Step 12 - Legal'!B28="","",'Step 12 - Legal'!H28)</f>
        <v/>
      </c>
      <c r="F581" s="20" t="str">
        <f>IF('Step 12 - Legal'!B28="","",IF('Step 12 - Legal'!C28="","","Fund Code"))</f>
        <v/>
      </c>
      <c r="G581" s="19" t="str">
        <f>IF('Step 12 - Legal'!B28="","",IF('Step 12 - Legal'!C28="","","Equals"))</f>
        <v/>
      </c>
      <c r="H581" s="20" t="str">
        <f>IF('Step 12 - Legal'!B28="","",IF('Step 12 - Legal'!C28="","",'Step 12 - Legal'!C28))</f>
        <v/>
      </c>
      <c r="I581" s="20" t="str">
        <f>IF('Step 12 - Legal'!B28="","","Organization Code")</f>
        <v/>
      </c>
      <c r="J581" s="19" t="str">
        <f>IF('Step 12 - Legal'!B28="","","Equals")</f>
        <v/>
      </c>
      <c r="K581" s="20" t="str">
        <f>IF('Step 12 - Legal'!B28="","",'Step 12 - Legal'!D28)</f>
        <v/>
      </c>
      <c r="L581" s="20" t="str">
        <f>IF('Step 12 - Legal'!B28="","","Other Criteria")</f>
        <v/>
      </c>
      <c r="M581" s="19" t="str">
        <f>IF('Step 12 - Legal'!B28="","","Equals")</f>
        <v/>
      </c>
      <c r="N581" s="20" t="str">
        <f>IF('Step 12 - Legal'!B28="","",'Step 12 - Legal'!E28)</f>
        <v/>
      </c>
      <c r="O581" s="20" t="str">
        <f>IF('Step 12 - Legal'!B28="","",IF('Step 12 - Legal'!F28="","","Total"))</f>
        <v/>
      </c>
      <c r="P581" s="19" t="str">
        <f>IF('Step 12 - Legal'!B28="","",IF('Step 12 - Legal'!F28="","","&gt;="))</f>
        <v/>
      </c>
      <c r="Q581" s="20" t="str">
        <f>IF('Step 12 - Legal'!B28="","",IF('Step 12 - Legal'!F28="","",'Step 12 - Legal'!F28))</f>
        <v/>
      </c>
      <c r="R581" s="20" t="str">
        <f>""</f>
        <v/>
      </c>
      <c r="S581" s="20" t="str">
        <f>""</f>
        <v/>
      </c>
      <c r="T581" s="20" t="str">
        <f>""</f>
        <v/>
      </c>
      <c r="U581" s="20" t="str">
        <f>IF('Step 12 - Legal'!B28="","",'Step 12 - Legal'!I28)</f>
        <v/>
      </c>
      <c r="V581" s="19" t="str">
        <f>IF('Step 12 - Legal'!B28="","",'Step 12 - Legal'!K28)</f>
        <v/>
      </c>
      <c r="W581" s="20" t="str">
        <f>IF('Step 12 - Legal'!B28="","",'Step 12 - Legal'!L28)</f>
        <v/>
      </c>
      <c r="X581" s="19" t="str">
        <f>IF('Step 12 - Legal'!B28="","",'Step 12 - Legal'!N28)</f>
        <v/>
      </c>
      <c r="Y581" s="20" t="str">
        <f>""</f>
        <v/>
      </c>
      <c r="Z581" s="20" t="str">
        <f>""</f>
        <v/>
      </c>
      <c r="AA581" s="20" t="str">
        <f>""</f>
        <v/>
      </c>
      <c r="AB581" s="20" t="str">
        <f>""</f>
        <v/>
      </c>
      <c r="AC581" s="20" t="str">
        <f>""</f>
        <v/>
      </c>
      <c r="AD581" s="20" t="str">
        <f>""</f>
        <v/>
      </c>
      <c r="AE581" s="20" t="str">
        <f>""</f>
        <v/>
      </c>
      <c r="AF581" s="20" t="str">
        <f>""</f>
        <v/>
      </c>
      <c r="AG581" s="20" t="str">
        <f>""</f>
        <v/>
      </c>
      <c r="AH581" s="20" t="str">
        <f>""</f>
        <v/>
      </c>
      <c r="AI581" s="20" t="str">
        <f>""</f>
        <v/>
      </c>
      <c r="AJ581" s="20" t="str">
        <f>""</f>
        <v/>
      </c>
      <c r="AK581" s="20" t="str">
        <f>""</f>
        <v/>
      </c>
      <c r="AL581" s="20" t="str">
        <f>""</f>
        <v/>
      </c>
      <c r="AM581" s="20" t="str">
        <f>""</f>
        <v/>
      </c>
    </row>
    <row r="582" spans="1:39" ht="15.75" customHeight="1" x14ac:dyDescent="0.25">
      <c r="A582" s="17" t="str">
        <f>IF('Step 12 - Legal'!B29="","","Active")</f>
        <v/>
      </c>
      <c r="B582" s="18" t="str">
        <f>IF('Step 12 - Legal'!B29="","",'Step 12 - Legal'!B29)</f>
        <v/>
      </c>
      <c r="C582" s="18" t="str">
        <f>IF('Step 12 - Legal'!B29="","",'Step 12 - Legal'!B29)</f>
        <v/>
      </c>
      <c r="D582" s="17" t="str">
        <f>IF('Step 12 - Legal'!B29="","",'Step 12 - Legal'!G29)</f>
        <v/>
      </c>
      <c r="E582" s="17" t="str">
        <f>IF('Step 12 - Legal'!B29="","",'Step 12 - Legal'!H29)</f>
        <v/>
      </c>
      <c r="F582" s="18" t="str">
        <f>IF('Step 12 - Legal'!B29="","",IF('Step 12 - Legal'!C29="","","Fund Code"))</f>
        <v/>
      </c>
      <c r="G582" s="17" t="str">
        <f>IF('Step 12 - Legal'!B29="","",IF('Step 12 - Legal'!C29="","","Equals"))</f>
        <v/>
      </c>
      <c r="H582" s="18" t="str">
        <f>IF('Step 12 - Legal'!B29="","",IF('Step 12 - Legal'!C29="","",'Step 12 - Legal'!C29))</f>
        <v/>
      </c>
      <c r="I582" s="18" t="str">
        <f>IF('Step 12 - Legal'!B29="","","Organization Code")</f>
        <v/>
      </c>
      <c r="J582" s="17" t="str">
        <f>IF('Step 12 - Legal'!B29="","","Equals")</f>
        <v/>
      </c>
      <c r="K582" s="18" t="str">
        <f>IF('Step 12 - Legal'!B29="","",'Step 12 - Legal'!D29)</f>
        <v/>
      </c>
      <c r="L582" s="18" t="str">
        <f>IF('Step 12 - Legal'!B29="","","Other Criteria")</f>
        <v/>
      </c>
      <c r="M582" s="17" t="str">
        <f>IF('Step 12 - Legal'!B29="","","Equals")</f>
        <v/>
      </c>
      <c r="N582" s="18" t="str">
        <f>IF('Step 12 - Legal'!B29="","",'Step 12 - Legal'!E29)</f>
        <v/>
      </c>
      <c r="O582" s="18" t="str">
        <f>IF('Step 12 - Legal'!B29="","",IF('Step 12 - Legal'!F29="","","Total"))</f>
        <v/>
      </c>
      <c r="P582" s="17" t="str">
        <f>IF('Step 12 - Legal'!B29="","",IF('Step 12 - Legal'!F29="","","&gt;="))</f>
        <v/>
      </c>
      <c r="Q582" s="18" t="str">
        <f>IF('Step 12 - Legal'!B29="","",IF('Step 12 - Legal'!F29="","",'Step 12 - Legal'!F29))</f>
        <v/>
      </c>
      <c r="R582" s="18" t="str">
        <f>""</f>
        <v/>
      </c>
      <c r="S582" s="18" t="str">
        <f>""</f>
        <v/>
      </c>
      <c r="T582" s="18" t="str">
        <f>""</f>
        <v/>
      </c>
      <c r="U582" s="18" t="str">
        <f>IF('Step 12 - Legal'!B29="","",'Step 12 - Legal'!I29)</f>
        <v/>
      </c>
      <c r="V582" s="17" t="str">
        <f>IF('Step 12 - Legal'!B29="","",'Step 12 - Legal'!K29)</f>
        <v/>
      </c>
      <c r="W582" s="18" t="str">
        <f>IF('Step 12 - Legal'!B29="","",'Step 12 - Legal'!L29)</f>
        <v/>
      </c>
      <c r="X582" s="17" t="str">
        <f>IF('Step 12 - Legal'!B29="","",'Step 12 - Legal'!N29)</f>
        <v/>
      </c>
      <c r="Y582" s="18" t="str">
        <f>""</f>
        <v/>
      </c>
      <c r="Z582" s="18" t="str">
        <f>""</f>
        <v/>
      </c>
      <c r="AA582" s="18" t="str">
        <f>""</f>
        <v/>
      </c>
      <c r="AB582" s="18" t="str">
        <f>""</f>
        <v/>
      </c>
      <c r="AC582" s="18" t="str">
        <f>""</f>
        <v/>
      </c>
      <c r="AD582" s="18" t="str">
        <f>""</f>
        <v/>
      </c>
      <c r="AE582" s="18" t="str">
        <f>""</f>
        <v/>
      </c>
      <c r="AF582" s="18" t="str">
        <f>""</f>
        <v/>
      </c>
      <c r="AG582" s="18" t="str">
        <f>""</f>
        <v/>
      </c>
      <c r="AH582" s="18" t="str">
        <f>""</f>
        <v/>
      </c>
      <c r="AI582" s="18" t="str">
        <f>""</f>
        <v/>
      </c>
      <c r="AJ582" s="18" t="str">
        <f>""</f>
        <v/>
      </c>
      <c r="AK582" s="18" t="str">
        <f>""</f>
        <v/>
      </c>
      <c r="AL582" s="18" t="str">
        <f>""</f>
        <v/>
      </c>
      <c r="AM582" s="18" t="str">
        <f>""</f>
        <v/>
      </c>
    </row>
    <row r="583" spans="1:39" ht="15.75" customHeight="1" x14ac:dyDescent="0.25">
      <c r="A583" s="19" t="str">
        <f>IF('Step 12 - Legal'!B30="","","Active")</f>
        <v/>
      </c>
      <c r="B583" s="20" t="str">
        <f>IF('Step 12 - Legal'!B30="","",'Step 12 - Legal'!B30)</f>
        <v/>
      </c>
      <c r="C583" s="20" t="str">
        <f>IF('Step 12 - Legal'!B30="","",'Step 12 - Legal'!B30)</f>
        <v/>
      </c>
      <c r="D583" s="19" t="str">
        <f>IF('Step 12 - Legal'!B30="","",'Step 12 - Legal'!G30)</f>
        <v/>
      </c>
      <c r="E583" s="19" t="str">
        <f>IF('Step 12 - Legal'!B30="","",'Step 12 - Legal'!H30)</f>
        <v/>
      </c>
      <c r="F583" s="20" t="str">
        <f>IF('Step 12 - Legal'!B30="","",IF('Step 12 - Legal'!C30="","","Fund Code"))</f>
        <v/>
      </c>
      <c r="G583" s="19" t="str">
        <f>IF('Step 12 - Legal'!B30="","",IF('Step 12 - Legal'!C30="","","Equals"))</f>
        <v/>
      </c>
      <c r="H583" s="20" t="str">
        <f>IF('Step 12 - Legal'!B30="","",IF('Step 12 - Legal'!C30="","",'Step 12 - Legal'!C30))</f>
        <v/>
      </c>
      <c r="I583" s="20" t="str">
        <f>IF('Step 12 - Legal'!B30="","","Organization Code")</f>
        <v/>
      </c>
      <c r="J583" s="19" t="str">
        <f>IF('Step 12 - Legal'!B30="","","Equals")</f>
        <v/>
      </c>
      <c r="K583" s="20" t="str">
        <f>IF('Step 12 - Legal'!B30="","",'Step 12 - Legal'!D30)</f>
        <v/>
      </c>
      <c r="L583" s="20" t="str">
        <f>IF('Step 12 - Legal'!B30="","","Other Criteria")</f>
        <v/>
      </c>
      <c r="M583" s="19" t="str">
        <f>IF('Step 12 - Legal'!B30="","","Equals")</f>
        <v/>
      </c>
      <c r="N583" s="20" t="str">
        <f>IF('Step 12 - Legal'!B30="","",'Step 12 - Legal'!E30)</f>
        <v/>
      </c>
      <c r="O583" s="20" t="str">
        <f>IF('Step 12 - Legal'!B30="","",IF('Step 12 - Legal'!F30="","","Total"))</f>
        <v/>
      </c>
      <c r="P583" s="19" t="str">
        <f>IF('Step 12 - Legal'!B30="","",IF('Step 12 - Legal'!F30="","","&gt;="))</f>
        <v/>
      </c>
      <c r="Q583" s="20" t="str">
        <f>IF('Step 12 - Legal'!B30="","",IF('Step 12 - Legal'!F30="","",'Step 12 - Legal'!F30))</f>
        <v/>
      </c>
      <c r="R583" s="20" t="str">
        <f>""</f>
        <v/>
      </c>
      <c r="S583" s="20" t="str">
        <f>""</f>
        <v/>
      </c>
      <c r="T583" s="20" t="str">
        <f>""</f>
        <v/>
      </c>
      <c r="U583" s="20" t="str">
        <f>IF('Step 12 - Legal'!B30="","",'Step 12 - Legal'!I30)</f>
        <v/>
      </c>
      <c r="V583" s="19" t="str">
        <f>IF('Step 12 - Legal'!B30="","",'Step 12 - Legal'!K30)</f>
        <v/>
      </c>
      <c r="W583" s="20" t="str">
        <f>IF('Step 12 - Legal'!B30="","",'Step 12 - Legal'!L30)</f>
        <v/>
      </c>
      <c r="X583" s="19" t="str">
        <f>IF('Step 12 - Legal'!B30="","",'Step 12 - Legal'!N30)</f>
        <v/>
      </c>
      <c r="Y583" s="20" t="str">
        <f>""</f>
        <v/>
      </c>
      <c r="Z583" s="20" t="str">
        <f>""</f>
        <v/>
      </c>
      <c r="AA583" s="20" t="str">
        <f>""</f>
        <v/>
      </c>
      <c r="AB583" s="20" t="str">
        <f>""</f>
        <v/>
      </c>
      <c r="AC583" s="20" t="str">
        <f>""</f>
        <v/>
      </c>
      <c r="AD583" s="20" t="str">
        <f>""</f>
        <v/>
      </c>
      <c r="AE583" s="20" t="str">
        <f>""</f>
        <v/>
      </c>
      <c r="AF583" s="20" t="str">
        <f>""</f>
        <v/>
      </c>
      <c r="AG583" s="20" t="str">
        <f>""</f>
        <v/>
      </c>
      <c r="AH583" s="20" t="str">
        <f>""</f>
        <v/>
      </c>
      <c r="AI583" s="20" t="str">
        <f>""</f>
        <v/>
      </c>
      <c r="AJ583" s="20" t="str">
        <f>""</f>
        <v/>
      </c>
      <c r="AK583" s="20" t="str">
        <f>""</f>
        <v/>
      </c>
      <c r="AL583" s="20" t="str">
        <f>""</f>
        <v/>
      </c>
      <c r="AM583" s="20" t="str">
        <f>""</f>
        <v/>
      </c>
    </row>
    <row r="584" spans="1:39" ht="15.75" customHeight="1" x14ac:dyDescent="0.25">
      <c r="A584" s="17" t="str">
        <f>IF('Step 12 - Legal'!B31="","","Active")</f>
        <v/>
      </c>
      <c r="B584" s="18" t="str">
        <f>IF('Step 12 - Legal'!B31="","",'Step 12 - Legal'!B31)</f>
        <v/>
      </c>
      <c r="C584" s="18" t="str">
        <f>IF('Step 12 - Legal'!B31="","",'Step 12 - Legal'!B31)</f>
        <v/>
      </c>
      <c r="D584" s="17" t="str">
        <f>IF('Step 12 - Legal'!B31="","",'Step 12 - Legal'!G31)</f>
        <v/>
      </c>
      <c r="E584" s="17" t="str">
        <f>IF('Step 12 - Legal'!B31="","",'Step 12 - Legal'!H31)</f>
        <v/>
      </c>
      <c r="F584" s="18" t="str">
        <f>IF('Step 12 - Legal'!B31="","",IF('Step 12 - Legal'!C31="","","Fund Code"))</f>
        <v/>
      </c>
      <c r="G584" s="17" t="str">
        <f>IF('Step 12 - Legal'!B31="","",IF('Step 12 - Legal'!C31="","","Equals"))</f>
        <v/>
      </c>
      <c r="H584" s="18" t="str">
        <f>IF('Step 12 - Legal'!B31="","",IF('Step 12 - Legal'!C31="","",'Step 12 - Legal'!C31))</f>
        <v/>
      </c>
      <c r="I584" s="18" t="str">
        <f>IF('Step 12 - Legal'!B31="","","Organization Code")</f>
        <v/>
      </c>
      <c r="J584" s="17" t="str">
        <f>IF('Step 12 - Legal'!B31="","","Equals")</f>
        <v/>
      </c>
      <c r="K584" s="18" t="str">
        <f>IF('Step 12 - Legal'!B31="","",'Step 12 - Legal'!D31)</f>
        <v/>
      </c>
      <c r="L584" s="18" t="str">
        <f>IF('Step 12 - Legal'!B31="","","Other Criteria")</f>
        <v/>
      </c>
      <c r="M584" s="17" t="str">
        <f>IF('Step 12 - Legal'!B31="","","Equals")</f>
        <v/>
      </c>
      <c r="N584" s="18" t="str">
        <f>IF('Step 12 - Legal'!B31="","",'Step 12 - Legal'!E31)</f>
        <v/>
      </c>
      <c r="O584" s="18" t="str">
        <f>IF('Step 12 - Legal'!B31="","",IF('Step 12 - Legal'!F31="","","Total"))</f>
        <v/>
      </c>
      <c r="P584" s="17" t="str">
        <f>IF('Step 12 - Legal'!B31="","",IF('Step 12 - Legal'!F31="","","&gt;="))</f>
        <v/>
      </c>
      <c r="Q584" s="18" t="str">
        <f>IF('Step 12 - Legal'!B31="","",IF('Step 12 - Legal'!F31="","",'Step 12 - Legal'!F31))</f>
        <v/>
      </c>
      <c r="R584" s="18" t="str">
        <f>""</f>
        <v/>
      </c>
      <c r="S584" s="18" t="str">
        <f>""</f>
        <v/>
      </c>
      <c r="T584" s="18" t="str">
        <f>""</f>
        <v/>
      </c>
      <c r="U584" s="18" t="str">
        <f>IF('Step 12 - Legal'!B31="","",'Step 12 - Legal'!I31)</f>
        <v/>
      </c>
      <c r="V584" s="17" t="str">
        <f>IF('Step 12 - Legal'!B31="","",'Step 12 - Legal'!K31)</f>
        <v/>
      </c>
      <c r="W584" s="18" t="str">
        <f>IF('Step 12 - Legal'!B31="","",'Step 12 - Legal'!L31)</f>
        <v/>
      </c>
      <c r="X584" s="17" t="str">
        <f>IF('Step 12 - Legal'!B31="","",'Step 12 - Legal'!N31)</f>
        <v/>
      </c>
      <c r="Y584" s="18" t="str">
        <f>""</f>
        <v/>
      </c>
      <c r="Z584" s="18" t="str">
        <f>""</f>
        <v/>
      </c>
      <c r="AA584" s="18" t="str">
        <f>""</f>
        <v/>
      </c>
      <c r="AB584" s="18" t="str">
        <f>""</f>
        <v/>
      </c>
      <c r="AC584" s="18" t="str">
        <f>""</f>
        <v/>
      </c>
      <c r="AD584" s="18" t="str">
        <f>""</f>
        <v/>
      </c>
      <c r="AE584" s="18" t="str">
        <f>""</f>
        <v/>
      </c>
      <c r="AF584" s="18" t="str">
        <f>""</f>
        <v/>
      </c>
      <c r="AG584" s="18" t="str">
        <f>""</f>
        <v/>
      </c>
      <c r="AH584" s="18" t="str">
        <f>""</f>
        <v/>
      </c>
      <c r="AI584" s="18" t="str">
        <f>""</f>
        <v/>
      </c>
      <c r="AJ584" s="18" t="str">
        <f>""</f>
        <v/>
      </c>
      <c r="AK584" s="18" t="str">
        <f>""</f>
        <v/>
      </c>
      <c r="AL584" s="18" t="str">
        <f>""</f>
        <v/>
      </c>
      <c r="AM584" s="18" t="str">
        <f>""</f>
        <v/>
      </c>
    </row>
    <row r="585" spans="1:39" ht="15.75" customHeight="1" x14ac:dyDescent="0.25">
      <c r="A585" s="19" t="str">
        <f>IF('Step 12 - Legal'!B32="","","Active")</f>
        <v/>
      </c>
      <c r="B585" s="20" t="str">
        <f>IF('Step 12 - Legal'!B32="","",'Step 12 - Legal'!B32)</f>
        <v/>
      </c>
      <c r="C585" s="20" t="str">
        <f>IF('Step 12 - Legal'!B32="","",'Step 12 - Legal'!B32)</f>
        <v/>
      </c>
      <c r="D585" s="19" t="str">
        <f>IF('Step 12 - Legal'!B32="","",'Step 12 - Legal'!G32)</f>
        <v/>
      </c>
      <c r="E585" s="19" t="str">
        <f>IF('Step 12 - Legal'!B32="","",'Step 12 - Legal'!H32)</f>
        <v/>
      </c>
      <c r="F585" s="20" t="str">
        <f>IF('Step 12 - Legal'!B32="","",IF('Step 12 - Legal'!C32="","","Fund Code"))</f>
        <v/>
      </c>
      <c r="G585" s="19" t="str">
        <f>IF('Step 12 - Legal'!B32="","",IF('Step 12 - Legal'!C32="","","Equals"))</f>
        <v/>
      </c>
      <c r="H585" s="20" t="str">
        <f>IF('Step 12 - Legal'!B32="","",IF('Step 12 - Legal'!C32="","",'Step 12 - Legal'!C32))</f>
        <v/>
      </c>
      <c r="I585" s="20" t="str">
        <f>IF('Step 12 - Legal'!B32="","","Organization Code")</f>
        <v/>
      </c>
      <c r="J585" s="19" t="str">
        <f>IF('Step 12 - Legal'!B32="","","Equals")</f>
        <v/>
      </c>
      <c r="K585" s="20" t="str">
        <f>IF('Step 12 - Legal'!B32="","",'Step 12 - Legal'!D32)</f>
        <v/>
      </c>
      <c r="L585" s="20" t="str">
        <f>IF('Step 12 - Legal'!B32="","","Other Criteria")</f>
        <v/>
      </c>
      <c r="M585" s="19" t="str">
        <f>IF('Step 12 - Legal'!B32="","","Equals")</f>
        <v/>
      </c>
      <c r="N585" s="20" t="str">
        <f>IF('Step 12 - Legal'!B32="","",'Step 12 - Legal'!E32)</f>
        <v/>
      </c>
      <c r="O585" s="20" t="str">
        <f>IF('Step 12 - Legal'!B32="","",IF('Step 12 - Legal'!F32="","","Total"))</f>
        <v/>
      </c>
      <c r="P585" s="19" t="str">
        <f>IF('Step 12 - Legal'!B32="","",IF('Step 12 - Legal'!F32="","","&gt;="))</f>
        <v/>
      </c>
      <c r="Q585" s="20" t="str">
        <f>IF('Step 12 - Legal'!B32="","",IF('Step 12 - Legal'!F32="","",'Step 12 - Legal'!F32))</f>
        <v/>
      </c>
      <c r="R585" s="20" t="str">
        <f>""</f>
        <v/>
      </c>
      <c r="S585" s="20" t="str">
        <f>""</f>
        <v/>
      </c>
      <c r="T585" s="20" t="str">
        <f>""</f>
        <v/>
      </c>
      <c r="U585" s="20" t="str">
        <f>IF('Step 12 - Legal'!B32="","",'Step 12 - Legal'!I32)</f>
        <v/>
      </c>
      <c r="V585" s="19" t="str">
        <f>IF('Step 12 - Legal'!B32="","",'Step 12 - Legal'!K32)</f>
        <v/>
      </c>
      <c r="W585" s="20" t="str">
        <f>IF('Step 12 - Legal'!B32="","",'Step 12 - Legal'!L32)</f>
        <v/>
      </c>
      <c r="X585" s="19" t="str">
        <f>IF('Step 12 - Legal'!B32="","",'Step 12 - Legal'!N32)</f>
        <v/>
      </c>
      <c r="Y585" s="20" t="str">
        <f>""</f>
        <v/>
      </c>
      <c r="Z585" s="20" t="str">
        <f>""</f>
        <v/>
      </c>
      <c r="AA585" s="20" t="str">
        <f>""</f>
        <v/>
      </c>
      <c r="AB585" s="20" t="str">
        <f>""</f>
        <v/>
      </c>
      <c r="AC585" s="20" t="str">
        <f>""</f>
        <v/>
      </c>
      <c r="AD585" s="20" t="str">
        <f>""</f>
        <v/>
      </c>
      <c r="AE585" s="20" t="str">
        <f>""</f>
        <v/>
      </c>
      <c r="AF585" s="20" t="str">
        <f>""</f>
        <v/>
      </c>
      <c r="AG585" s="20" t="str">
        <f>""</f>
        <v/>
      </c>
      <c r="AH585" s="20" t="str">
        <f>""</f>
        <v/>
      </c>
      <c r="AI585" s="20" t="str">
        <f>""</f>
        <v/>
      </c>
      <c r="AJ585" s="20" t="str">
        <f>""</f>
        <v/>
      </c>
      <c r="AK585" s="20" t="str">
        <f>""</f>
        <v/>
      </c>
      <c r="AL585" s="20" t="str">
        <f>""</f>
        <v/>
      </c>
      <c r="AM585" s="20" t="str">
        <f>""</f>
        <v/>
      </c>
    </row>
    <row r="586" spans="1:39" ht="15.75" customHeight="1" x14ac:dyDescent="0.25">
      <c r="A586" s="17" t="str">
        <f>IF('Step 12 - Legal'!B33="","","Active")</f>
        <v/>
      </c>
      <c r="B586" s="18" t="str">
        <f>IF('Step 12 - Legal'!B33="","",'Step 12 - Legal'!B33)</f>
        <v/>
      </c>
      <c r="C586" s="18" t="str">
        <f>IF('Step 12 - Legal'!B33="","",'Step 12 - Legal'!B33)</f>
        <v/>
      </c>
      <c r="D586" s="17" t="str">
        <f>IF('Step 12 - Legal'!B33="","",'Step 12 - Legal'!G33)</f>
        <v/>
      </c>
      <c r="E586" s="17" t="str">
        <f>IF('Step 12 - Legal'!B33="","",'Step 12 - Legal'!H33)</f>
        <v/>
      </c>
      <c r="F586" s="18" t="str">
        <f>IF('Step 12 - Legal'!B33="","",IF('Step 12 - Legal'!C33="","","Fund Code"))</f>
        <v/>
      </c>
      <c r="G586" s="17" t="str">
        <f>IF('Step 12 - Legal'!B33="","",IF('Step 12 - Legal'!C33="","","Equals"))</f>
        <v/>
      </c>
      <c r="H586" s="18" t="str">
        <f>IF('Step 12 - Legal'!B33="","",IF('Step 12 - Legal'!C33="","",'Step 12 - Legal'!C33))</f>
        <v/>
      </c>
      <c r="I586" s="18" t="str">
        <f>IF('Step 12 - Legal'!B33="","","Organization Code")</f>
        <v/>
      </c>
      <c r="J586" s="17" t="str">
        <f>IF('Step 12 - Legal'!B33="","","Equals")</f>
        <v/>
      </c>
      <c r="K586" s="18" t="str">
        <f>IF('Step 12 - Legal'!B33="","",'Step 12 - Legal'!D33)</f>
        <v/>
      </c>
      <c r="L586" s="18" t="str">
        <f>IF('Step 12 - Legal'!B33="","","Other Criteria")</f>
        <v/>
      </c>
      <c r="M586" s="17" t="str">
        <f>IF('Step 12 - Legal'!B33="","","Equals")</f>
        <v/>
      </c>
      <c r="N586" s="18" t="str">
        <f>IF('Step 12 - Legal'!B33="","",'Step 12 - Legal'!E33)</f>
        <v/>
      </c>
      <c r="O586" s="18" t="str">
        <f>IF('Step 12 - Legal'!B33="","",IF('Step 12 - Legal'!F33="","","Total"))</f>
        <v/>
      </c>
      <c r="P586" s="17" t="str">
        <f>IF('Step 12 - Legal'!B33="","",IF('Step 12 - Legal'!F33="","","&gt;="))</f>
        <v/>
      </c>
      <c r="Q586" s="18" t="str">
        <f>IF('Step 12 - Legal'!B33="","",IF('Step 12 - Legal'!F33="","",'Step 12 - Legal'!F33))</f>
        <v/>
      </c>
      <c r="R586" s="18" t="str">
        <f>""</f>
        <v/>
      </c>
      <c r="S586" s="18" t="str">
        <f>""</f>
        <v/>
      </c>
      <c r="T586" s="18" t="str">
        <f>""</f>
        <v/>
      </c>
      <c r="U586" s="18" t="str">
        <f>IF('Step 12 - Legal'!B33="","",'Step 12 - Legal'!I33)</f>
        <v/>
      </c>
      <c r="V586" s="17" t="str">
        <f>IF('Step 12 - Legal'!B33="","",'Step 12 - Legal'!K33)</f>
        <v/>
      </c>
      <c r="W586" s="18" t="str">
        <f>IF('Step 12 - Legal'!B33="","",'Step 12 - Legal'!L33)</f>
        <v/>
      </c>
      <c r="X586" s="17" t="str">
        <f>IF('Step 12 - Legal'!B33="","",'Step 12 - Legal'!N33)</f>
        <v/>
      </c>
      <c r="Y586" s="18" t="str">
        <f>""</f>
        <v/>
      </c>
      <c r="Z586" s="18" t="str">
        <f>""</f>
        <v/>
      </c>
      <c r="AA586" s="18" t="str">
        <f>""</f>
        <v/>
      </c>
      <c r="AB586" s="18" t="str">
        <f>""</f>
        <v/>
      </c>
      <c r="AC586" s="18" t="str">
        <f>""</f>
        <v/>
      </c>
      <c r="AD586" s="18" t="str">
        <f>""</f>
        <v/>
      </c>
      <c r="AE586" s="18" t="str">
        <f>""</f>
        <v/>
      </c>
      <c r="AF586" s="18" t="str">
        <f>""</f>
        <v/>
      </c>
      <c r="AG586" s="18" t="str">
        <f>""</f>
        <v/>
      </c>
      <c r="AH586" s="18" t="str">
        <f>""</f>
        <v/>
      </c>
      <c r="AI586" s="18" t="str">
        <f>""</f>
        <v/>
      </c>
      <c r="AJ586" s="18" t="str">
        <f>""</f>
        <v/>
      </c>
      <c r="AK586" s="18" t="str">
        <f>""</f>
        <v/>
      </c>
      <c r="AL586" s="18" t="str">
        <f>""</f>
        <v/>
      </c>
      <c r="AM586" s="18" t="str">
        <f>""</f>
        <v/>
      </c>
    </row>
    <row r="587" spans="1:39" ht="15.75" customHeight="1" x14ac:dyDescent="0.25">
      <c r="A587" s="19" t="str">
        <f>IF('Step 12 - Legal'!B34="","","Active")</f>
        <v/>
      </c>
      <c r="B587" s="20" t="str">
        <f>IF('Step 12 - Legal'!B34="","",'Step 12 - Legal'!B34)</f>
        <v/>
      </c>
      <c r="C587" s="20" t="str">
        <f>IF('Step 12 - Legal'!B34="","",'Step 12 - Legal'!B34)</f>
        <v/>
      </c>
      <c r="D587" s="19" t="str">
        <f>IF('Step 12 - Legal'!B34="","",'Step 12 - Legal'!G34)</f>
        <v/>
      </c>
      <c r="E587" s="19" t="str">
        <f>IF('Step 12 - Legal'!B34="","",'Step 12 - Legal'!H34)</f>
        <v/>
      </c>
      <c r="F587" s="20" t="str">
        <f>IF('Step 12 - Legal'!B34="","",IF('Step 12 - Legal'!C34="","","Fund Code"))</f>
        <v/>
      </c>
      <c r="G587" s="19" t="str">
        <f>IF('Step 12 - Legal'!B34="","",IF('Step 12 - Legal'!C34="","","Equals"))</f>
        <v/>
      </c>
      <c r="H587" s="20" t="str">
        <f>IF('Step 12 - Legal'!B34="","",IF('Step 12 - Legal'!C34="","",'Step 12 - Legal'!C34))</f>
        <v/>
      </c>
      <c r="I587" s="20" t="str">
        <f>IF('Step 12 - Legal'!B34="","","Organization Code")</f>
        <v/>
      </c>
      <c r="J587" s="19" t="str">
        <f>IF('Step 12 - Legal'!B34="","","Equals")</f>
        <v/>
      </c>
      <c r="K587" s="20" t="str">
        <f>IF('Step 12 - Legal'!B34="","",'Step 12 - Legal'!D34)</f>
        <v/>
      </c>
      <c r="L587" s="20" t="str">
        <f>IF('Step 12 - Legal'!B34="","","Other Criteria")</f>
        <v/>
      </c>
      <c r="M587" s="19" t="str">
        <f>IF('Step 12 - Legal'!B34="","","Equals")</f>
        <v/>
      </c>
      <c r="N587" s="20" t="str">
        <f>IF('Step 12 - Legal'!B34="","",'Step 12 - Legal'!E34)</f>
        <v/>
      </c>
      <c r="O587" s="20" t="str">
        <f>IF('Step 12 - Legal'!B34="","",IF('Step 12 - Legal'!F34="","","Total"))</f>
        <v/>
      </c>
      <c r="P587" s="19" t="str">
        <f>IF('Step 12 - Legal'!B34="","",IF('Step 12 - Legal'!F34="","","&gt;="))</f>
        <v/>
      </c>
      <c r="Q587" s="20" t="str">
        <f>IF('Step 12 - Legal'!B34="","",IF('Step 12 - Legal'!F34="","",'Step 12 - Legal'!F34))</f>
        <v/>
      </c>
      <c r="R587" s="20" t="str">
        <f>""</f>
        <v/>
      </c>
      <c r="S587" s="20" t="str">
        <f>""</f>
        <v/>
      </c>
      <c r="T587" s="20" t="str">
        <f>""</f>
        <v/>
      </c>
      <c r="U587" s="20" t="str">
        <f>IF('Step 12 - Legal'!B34="","",'Step 12 - Legal'!I34)</f>
        <v/>
      </c>
      <c r="V587" s="19" t="str">
        <f>IF('Step 12 - Legal'!B34="","",'Step 12 - Legal'!K34)</f>
        <v/>
      </c>
      <c r="W587" s="20" t="str">
        <f>IF('Step 12 - Legal'!B34="","",'Step 12 - Legal'!L34)</f>
        <v/>
      </c>
      <c r="X587" s="19" t="str">
        <f>IF('Step 12 - Legal'!B34="","",'Step 12 - Legal'!N34)</f>
        <v/>
      </c>
      <c r="Y587" s="20" t="str">
        <f>""</f>
        <v/>
      </c>
      <c r="Z587" s="20" t="str">
        <f>""</f>
        <v/>
      </c>
      <c r="AA587" s="20" t="str">
        <f>""</f>
        <v/>
      </c>
      <c r="AB587" s="20" t="str">
        <f>""</f>
        <v/>
      </c>
      <c r="AC587" s="20" t="str">
        <f>""</f>
        <v/>
      </c>
      <c r="AD587" s="20" t="str">
        <f>""</f>
        <v/>
      </c>
      <c r="AE587" s="20" t="str">
        <f>""</f>
        <v/>
      </c>
      <c r="AF587" s="20" t="str">
        <f>""</f>
        <v/>
      </c>
      <c r="AG587" s="20" t="str">
        <f>""</f>
        <v/>
      </c>
      <c r="AH587" s="20" t="str">
        <f>""</f>
        <v/>
      </c>
      <c r="AI587" s="20" t="str">
        <f>""</f>
        <v/>
      </c>
      <c r="AJ587" s="20" t="str">
        <f>""</f>
        <v/>
      </c>
      <c r="AK587" s="20" t="str">
        <f>""</f>
        <v/>
      </c>
      <c r="AL587" s="20" t="str">
        <f>""</f>
        <v/>
      </c>
      <c r="AM587" s="20" t="str">
        <f>""</f>
        <v/>
      </c>
    </row>
    <row r="588" spans="1:39" ht="15.75" customHeight="1" x14ac:dyDescent="0.25">
      <c r="A588" s="17" t="str">
        <f>IF('Step 12 - Legal'!B35="","","Active")</f>
        <v/>
      </c>
      <c r="B588" s="18" t="str">
        <f>IF('Step 12 - Legal'!B35="","",'Step 12 - Legal'!B35)</f>
        <v/>
      </c>
      <c r="C588" s="18" t="str">
        <f>IF('Step 12 - Legal'!B35="","",'Step 12 - Legal'!B35)</f>
        <v/>
      </c>
      <c r="D588" s="17" t="str">
        <f>IF('Step 12 - Legal'!B35="","",'Step 12 - Legal'!G35)</f>
        <v/>
      </c>
      <c r="E588" s="17" t="str">
        <f>IF('Step 12 - Legal'!B35="","",'Step 12 - Legal'!H35)</f>
        <v/>
      </c>
      <c r="F588" s="18" t="str">
        <f>IF('Step 12 - Legal'!B35="","",IF('Step 12 - Legal'!C35="","","Fund Code"))</f>
        <v/>
      </c>
      <c r="G588" s="17" t="str">
        <f>IF('Step 12 - Legal'!B35="","",IF('Step 12 - Legal'!C35="","","Equals"))</f>
        <v/>
      </c>
      <c r="H588" s="18" t="str">
        <f>IF('Step 12 - Legal'!B35="","",IF('Step 12 - Legal'!C35="","",'Step 12 - Legal'!C35))</f>
        <v/>
      </c>
      <c r="I588" s="18" t="str">
        <f>IF('Step 12 - Legal'!B35="","","Organization Code")</f>
        <v/>
      </c>
      <c r="J588" s="17" t="str">
        <f>IF('Step 12 - Legal'!B35="","","Equals")</f>
        <v/>
      </c>
      <c r="K588" s="18" t="str">
        <f>IF('Step 12 - Legal'!B35="","",'Step 12 - Legal'!D35)</f>
        <v/>
      </c>
      <c r="L588" s="18" t="str">
        <f>IF('Step 12 - Legal'!B35="","","Other Criteria")</f>
        <v/>
      </c>
      <c r="M588" s="17" t="str">
        <f>IF('Step 12 - Legal'!B35="","","Equals")</f>
        <v/>
      </c>
      <c r="N588" s="18" t="str">
        <f>IF('Step 12 - Legal'!B35="","",'Step 12 - Legal'!E35)</f>
        <v/>
      </c>
      <c r="O588" s="18" t="str">
        <f>IF('Step 12 - Legal'!B35="","",IF('Step 12 - Legal'!F35="","","Total"))</f>
        <v/>
      </c>
      <c r="P588" s="17" t="str">
        <f>IF('Step 12 - Legal'!B35="","",IF('Step 12 - Legal'!F35="","","&gt;="))</f>
        <v/>
      </c>
      <c r="Q588" s="18" t="str">
        <f>IF('Step 12 - Legal'!B35="","",IF('Step 12 - Legal'!F35="","",'Step 12 - Legal'!F35))</f>
        <v/>
      </c>
      <c r="R588" s="18" t="str">
        <f>""</f>
        <v/>
      </c>
      <c r="S588" s="18" t="str">
        <f>""</f>
        <v/>
      </c>
      <c r="T588" s="18" t="str">
        <f>""</f>
        <v/>
      </c>
      <c r="U588" s="18" t="str">
        <f>IF('Step 12 - Legal'!B35="","",'Step 12 - Legal'!I35)</f>
        <v/>
      </c>
      <c r="V588" s="17" t="str">
        <f>IF('Step 12 - Legal'!B35="","",'Step 12 - Legal'!K35)</f>
        <v/>
      </c>
      <c r="W588" s="18" t="str">
        <f>IF('Step 12 - Legal'!B35="","",'Step 12 - Legal'!L35)</f>
        <v/>
      </c>
      <c r="X588" s="17" t="str">
        <f>IF('Step 12 - Legal'!B35="","",'Step 12 - Legal'!N35)</f>
        <v/>
      </c>
      <c r="Y588" s="18" t="str">
        <f>""</f>
        <v/>
      </c>
      <c r="Z588" s="18" t="str">
        <f>""</f>
        <v/>
      </c>
      <c r="AA588" s="18" t="str">
        <f>""</f>
        <v/>
      </c>
      <c r="AB588" s="18" t="str">
        <f>""</f>
        <v/>
      </c>
      <c r="AC588" s="18" t="str">
        <f>""</f>
        <v/>
      </c>
      <c r="AD588" s="18" t="str">
        <f>""</f>
        <v/>
      </c>
      <c r="AE588" s="18" t="str">
        <f>""</f>
        <v/>
      </c>
      <c r="AF588" s="18" t="str">
        <f>""</f>
        <v/>
      </c>
      <c r="AG588" s="18" t="str">
        <f>""</f>
        <v/>
      </c>
      <c r="AH588" s="18" t="str">
        <f>""</f>
        <v/>
      </c>
      <c r="AI588" s="18" t="str">
        <f>""</f>
        <v/>
      </c>
      <c r="AJ588" s="18" t="str">
        <f>""</f>
        <v/>
      </c>
      <c r="AK588" s="18" t="str">
        <f>""</f>
        <v/>
      </c>
      <c r="AL588" s="18" t="str">
        <f>""</f>
        <v/>
      </c>
      <c r="AM588" s="18" t="str">
        <f>""</f>
        <v/>
      </c>
    </row>
    <row r="589" spans="1:39" ht="15.75" customHeight="1" x14ac:dyDescent="0.25">
      <c r="A589" s="19" t="str">
        <f>IF('Step 12 - Legal'!B36="","","Active")</f>
        <v/>
      </c>
      <c r="B589" s="20" t="str">
        <f>IF('Step 12 - Legal'!B36="","",'Step 12 - Legal'!B36)</f>
        <v/>
      </c>
      <c r="C589" s="20" t="str">
        <f>IF('Step 12 - Legal'!B36="","",'Step 12 - Legal'!B36)</f>
        <v/>
      </c>
      <c r="D589" s="19" t="str">
        <f>IF('Step 12 - Legal'!B36="","",'Step 12 - Legal'!G36)</f>
        <v/>
      </c>
      <c r="E589" s="19" t="str">
        <f>IF('Step 12 - Legal'!B36="","",'Step 12 - Legal'!H36)</f>
        <v/>
      </c>
      <c r="F589" s="20" t="str">
        <f>IF('Step 12 - Legal'!B36="","",IF('Step 12 - Legal'!C36="","","Fund Code"))</f>
        <v/>
      </c>
      <c r="G589" s="19" t="str">
        <f>IF('Step 12 - Legal'!B36="","",IF('Step 12 - Legal'!C36="","","Equals"))</f>
        <v/>
      </c>
      <c r="H589" s="20" t="str">
        <f>IF('Step 12 - Legal'!B36="","",IF('Step 12 - Legal'!C36="","",'Step 12 - Legal'!C36))</f>
        <v/>
      </c>
      <c r="I589" s="20" t="str">
        <f>IF('Step 12 - Legal'!B36="","","Organization Code")</f>
        <v/>
      </c>
      <c r="J589" s="19" t="str">
        <f>IF('Step 12 - Legal'!B36="","","Equals")</f>
        <v/>
      </c>
      <c r="K589" s="20" t="str">
        <f>IF('Step 12 - Legal'!B36="","",'Step 12 - Legal'!D36)</f>
        <v/>
      </c>
      <c r="L589" s="20" t="str">
        <f>IF('Step 12 - Legal'!B36="","","Other Criteria")</f>
        <v/>
      </c>
      <c r="M589" s="19" t="str">
        <f>IF('Step 12 - Legal'!B36="","","Equals")</f>
        <v/>
      </c>
      <c r="N589" s="20" t="str">
        <f>IF('Step 12 - Legal'!B36="","",'Step 12 - Legal'!E36)</f>
        <v/>
      </c>
      <c r="O589" s="20" t="str">
        <f>IF('Step 12 - Legal'!B36="","",IF('Step 12 - Legal'!F36="","","Total"))</f>
        <v/>
      </c>
      <c r="P589" s="19" t="str">
        <f>IF('Step 12 - Legal'!B36="","",IF('Step 12 - Legal'!F36="","","&gt;="))</f>
        <v/>
      </c>
      <c r="Q589" s="20" t="str">
        <f>IF('Step 12 - Legal'!B36="","",IF('Step 12 - Legal'!F36="","",'Step 12 - Legal'!F36))</f>
        <v/>
      </c>
      <c r="R589" s="20" t="str">
        <f>""</f>
        <v/>
      </c>
      <c r="S589" s="20" t="str">
        <f>""</f>
        <v/>
      </c>
      <c r="T589" s="20" t="str">
        <f>""</f>
        <v/>
      </c>
      <c r="U589" s="20" t="str">
        <f>IF('Step 12 - Legal'!B36="","",'Step 12 - Legal'!I36)</f>
        <v/>
      </c>
      <c r="V589" s="19" t="str">
        <f>IF('Step 12 - Legal'!B36="","",'Step 12 - Legal'!K36)</f>
        <v/>
      </c>
      <c r="W589" s="20" t="str">
        <f>IF('Step 12 - Legal'!B36="","",'Step 12 - Legal'!L36)</f>
        <v/>
      </c>
      <c r="X589" s="19" t="str">
        <f>IF('Step 12 - Legal'!B36="","",'Step 12 - Legal'!N36)</f>
        <v/>
      </c>
      <c r="Y589" s="20" t="str">
        <f>""</f>
        <v/>
      </c>
      <c r="Z589" s="20" t="str">
        <f>""</f>
        <v/>
      </c>
      <c r="AA589" s="20" t="str">
        <f>""</f>
        <v/>
      </c>
      <c r="AB589" s="20" t="str">
        <f>""</f>
        <v/>
      </c>
      <c r="AC589" s="20" t="str">
        <f>""</f>
        <v/>
      </c>
      <c r="AD589" s="20" t="str">
        <f>""</f>
        <v/>
      </c>
      <c r="AE589" s="20" t="str">
        <f>""</f>
        <v/>
      </c>
      <c r="AF589" s="20" t="str">
        <f>""</f>
        <v/>
      </c>
      <c r="AG589" s="20" t="str">
        <f>""</f>
        <v/>
      </c>
      <c r="AH589" s="20" t="str">
        <f>""</f>
        <v/>
      </c>
      <c r="AI589" s="20" t="str">
        <f>""</f>
        <v/>
      </c>
      <c r="AJ589" s="20" t="str">
        <f>""</f>
        <v/>
      </c>
      <c r="AK589" s="20" t="str">
        <f>""</f>
        <v/>
      </c>
      <c r="AL589" s="20" t="str">
        <f>""</f>
        <v/>
      </c>
      <c r="AM589" s="20" t="str">
        <f>""</f>
        <v/>
      </c>
    </row>
    <row r="590" spans="1:39" ht="15.75" customHeight="1" x14ac:dyDescent="0.25">
      <c r="A590" s="17" t="str">
        <f>IF('Step 12 - Legal'!B37="","","Active")</f>
        <v/>
      </c>
      <c r="B590" s="18" t="str">
        <f>IF('Step 12 - Legal'!B37="","",'Step 12 - Legal'!B37)</f>
        <v/>
      </c>
      <c r="C590" s="18" t="str">
        <f>IF('Step 12 - Legal'!B37="","",'Step 12 - Legal'!B37)</f>
        <v/>
      </c>
      <c r="D590" s="17" t="str">
        <f>IF('Step 12 - Legal'!B37="","",'Step 12 - Legal'!G37)</f>
        <v/>
      </c>
      <c r="E590" s="17" t="str">
        <f>IF('Step 12 - Legal'!B37="","",'Step 12 - Legal'!H37)</f>
        <v/>
      </c>
      <c r="F590" s="18" t="str">
        <f>IF('Step 12 - Legal'!B37="","",IF('Step 12 - Legal'!C37="","","Fund Code"))</f>
        <v/>
      </c>
      <c r="G590" s="17" t="str">
        <f>IF('Step 12 - Legal'!B37="","",IF('Step 12 - Legal'!C37="","","Equals"))</f>
        <v/>
      </c>
      <c r="H590" s="18" t="str">
        <f>IF('Step 12 - Legal'!B37="","",IF('Step 12 - Legal'!C37="","",'Step 12 - Legal'!C37))</f>
        <v/>
      </c>
      <c r="I590" s="18" t="str">
        <f>IF('Step 12 - Legal'!B37="","","Organization Code")</f>
        <v/>
      </c>
      <c r="J590" s="17" t="str">
        <f>IF('Step 12 - Legal'!B37="","","Equals")</f>
        <v/>
      </c>
      <c r="K590" s="18" t="str">
        <f>IF('Step 12 - Legal'!B37="","",'Step 12 - Legal'!D37)</f>
        <v/>
      </c>
      <c r="L590" s="18" t="str">
        <f>IF('Step 12 - Legal'!B37="","","Other Criteria")</f>
        <v/>
      </c>
      <c r="M590" s="17" t="str">
        <f>IF('Step 12 - Legal'!B37="","","Equals")</f>
        <v/>
      </c>
      <c r="N590" s="18" t="str">
        <f>IF('Step 12 - Legal'!B37="","",'Step 12 - Legal'!E37)</f>
        <v/>
      </c>
      <c r="O590" s="18" t="str">
        <f>IF('Step 12 - Legal'!B37="","",IF('Step 12 - Legal'!F37="","","Total"))</f>
        <v/>
      </c>
      <c r="P590" s="17" t="str">
        <f>IF('Step 12 - Legal'!B37="","",IF('Step 12 - Legal'!F37="","","&gt;="))</f>
        <v/>
      </c>
      <c r="Q590" s="18" t="str">
        <f>IF('Step 12 - Legal'!B37="","",IF('Step 12 - Legal'!F37="","",'Step 12 - Legal'!F37))</f>
        <v/>
      </c>
      <c r="R590" s="18" t="str">
        <f>""</f>
        <v/>
      </c>
      <c r="S590" s="18" t="str">
        <f>""</f>
        <v/>
      </c>
      <c r="T590" s="18" t="str">
        <f>""</f>
        <v/>
      </c>
      <c r="U590" s="18" t="str">
        <f>IF('Step 12 - Legal'!B37="","",'Step 12 - Legal'!I37)</f>
        <v/>
      </c>
      <c r="V590" s="17" t="str">
        <f>IF('Step 12 - Legal'!B37="","",'Step 12 - Legal'!K37)</f>
        <v/>
      </c>
      <c r="W590" s="18" t="str">
        <f>IF('Step 12 - Legal'!B37="","",'Step 12 - Legal'!L37)</f>
        <v/>
      </c>
      <c r="X590" s="17" t="str">
        <f>IF('Step 12 - Legal'!B37="","",'Step 12 - Legal'!N37)</f>
        <v/>
      </c>
      <c r="Y590" s="18" t="str">
        <f>""</f>
        <v/>
      </c>
      <c r="Z590" s="18" t="str">
        <f>""</f>
        <v/>
      </c>
      <c r="AA590" s="18" t="str">
        <f>""</f>
        <v/>
      </c>
      <c r="AB590" s="18" t="str">
        <f>""</f>
        <v/>
      </c>
      <c r="AC590" s="18" t="str">
        <f>""</f>
        <v/>
      </c>
      <c r="AD590" s="18" t="str">
        <f>""</f>
        <v/>
      </c>
      <c r="AE590" s="18" t="str">
        <f>""</f>
        <v/>
      </c>
      <c r="AF590" s="18" t="str">
        <f>""</f>
        <v/>
      </c>
      <c r="AG590" s="18" t="str">
        <f>""</f>
        <v/>
      </c>
      <c r="AH590" s="18" t="str">
        <f>""</f>
        <v/>
      </c>
      <c r="AI590" s="18" t="str">
        <f>""</f>
        <v/>
      </c>
      <c r="AJ590" s="18" t="str">
        <f>""</f>
        <v/>
      </c>
      <c r="AK590" s="18" t="str">
        <f>""</f>
        <v/>
      </c>
      <c r="AL590" s="18" t="str">
        <f>""</f>
        <v/>
      </c>
      <c r="AM590" s="18" t="str">
        <f>""</f>
        <v/>
      </c>
    </row>
    <row r="591" spans="1:39" ht="15.75" customHeight="1" x14ac:dyDescent="0.25">
      <c r="A591" s="19" t="str">
        <f>IF('Step 12 - Legal'!B38="","","Active")</f>
        <v/>
      </c>
      <c r="B591" s="20" t="str">
        <f>IF('Step 12 - Legal'!B38="","",'Step 12 - Legal'!B38)</f>
        <v/>
      </c>
      <c r="C591" s="20" t="str">
        <f>IF('Step 12 - Legal'!B38="","",'Step 12 - Legal'!B38)</f>
        <v/>
      </c>
      <c r="D591" s="19" t="str">
        <f>IF('Step 12 - Legal'!B38="","",'Step 12 - Legal'!G38)</f>
        <v/>
      </c>
      <c r="E591" s="19" t="str">
        <f>IF('Step 12 - Legal'!B38="","",'Step 12 - Legal'!H38)</f>
        <v/>
      </c>
      <c r="F591" s="20" t="str">
        <f>IF('Step 12 - Legal'!B38="","",IF('Step 12 - Legal'!C38="","","Fund Code"))</f>
        <v/>
      </c>
      <c r="G591" s="19" t="str">
        <f>IF('Step 12 - Legal'!B38="","",IF('Step 12 - Legal'!C38="","","Equals"))</f>
        <v/>
      </c>
      <c r="H591" s="20" t="str">
        <f>IF('Step 12 - Legal'!B38="","",IF('Step 12 - Legal'!C38="","",'Step 12 - Legal'!C38))</f>
        <v/>
      </c>
      <c r="I591" s="20" t="str">
        <f>IF('Step 12 - Legal'!B38="","","Organization Code")</f>
        <v/>
      </c>
      <c r="J591" s="19" t="str">
        <f>IF('Step 12 - Legal'!B38="","","Equals")</f>
        <v/>
      </c>
      <c r="K591" s="20" t="str">
        <f>IF('Step 12 - Legal'!B38="","",'Step 12 - Legal'!D38)</f>
        <v/>
      </c>
      <c r="L591" s="20" t="str">
        <f>IF('Step 12 - Legal'!B38="","","Other Criteria")</f>
        <v/>
      </c>
      <c r="M591" s="19" t="str">
        <f>IF('Step 12 - Legal'!B38="","","Equals")</f>
        <v/>
      </c>
      <c r="N591" s="20" t="str">
        <f>IF('Step 12 - Legal'!B38="","",'Step 12 - Legal'!E38)</f>
        <v/>
      </c>
      <c r="O591" s="20" t="str">
        <f>IF('Step 12 - Legal'!B38="","",IF('Step 12 - Legal'!F38="","","Total"))</f>
        <v/>
      </c>
      <c r="P591" s="19" t="str">
        <f>IF('Step 12 - Legal'!B38="","",IF('Step 12 - Legal'!F38="","","&gt;="))</f>
        <v/>
      </c>
      <c r="Q591" s="20" t="str">
        <f>IF('Step 12 - Legal'!B38="","",IF('Step 12 - Legal'!F38="","",'Step 12 - Legal'!F38))</f>
        <v/>
      </c>
      <c r="R591" s="20" t="str">
        <f>""</f>
        <v/>
      </c>
      <c r="S591" s="20" t="str">
        <f>""</f>
        <v/>
      </c>
      <c r="T591" s="20" t="str">
        <f>""</f>
        <v/>
      </c>
      <c r="U591" s="20" t="str">
        <f>IF('Step 12 - Legal'!B38="","",'Step 12 - Legal'!I38)</f>
        <v/>
      </c>
      <c r="V591" s="19" t="str">
        <f>IF('Step 12 - Legal'!B38="","",'Step 12 - Legal'!K38)</f>
        <v/>
      </c>
      <c r="W591" s="20" t="str">
        <f>IF('Step 12 - Legal'!B38="","",'Step 12 - Legal'!L38)</f>
        <v/>
      </c>
      <c r="X591" s="19" t="str">
        <f>IF('Step 12 - Legal'!B38="","",'Step 12 - Legal'!N38)</f>
        <v/>
      </c>
      <c r="Y591" s="20" t="str">
        <f>""</f>
        <v/>
      </c>
      <c r="Z591" s="20" t="str">
        <f>""</f>
        <v/>
      </c>
      <c r="AA591" s="20" t="str">
        <f>""</f>
        <v/>
      </c>
      <c r="AB591" s="20" t="str">
        <f>""</f>
        <v/>
      </c>
      <c r="AC591" s="20" t="str">
        <f>""</f>
        <v/>
      </c>
      <c r="AD591" s="20" t="str">
        <f>""</f>
        <v/>
      </c>
      <c r="AE591" s="20" t="str">
        <f>""</f>
        <v/>
      </c>
      <c r="AF591" s="20" t="str">
        <f>""</f>
        <v/>
      </c>
      <c r="AG591" s="20" t="str">
        <f>""</f>
        <v/>
      </c>
      <c r="AH591" s="20" t="str">
        <f>""</f>
        <v/>
      </c>
      <c r="AI591" s="20" t="str">
        <f>""</f>
        <v/>
      </c>
      <c r="AJ591" s="20" t="str">
        <f>""</f>
        <v/>
      </c>
      <c r="AK591" s="20" t="str">
        <f>""</f>
        <v/>
      </c>
      <c r="AL591" s="20" t="str">
        <f>""</f>
        <v/>
      </c>
      <c r="AM591" s="20" t="str">
        <f>""</f>
        <v/>
      </c>
    </row>
    <row r="592" spans="1:39" ht="15.75" customHeight="1" x14ac:dyDescent="0.25">
      <c r="A592" s="17" t="str">
        <f>IF('Step 12 - Legal'!B39="","","Active")</f>
        <v/>
      </c>
      <c r="B592" s="18" t="str">
        <f>IF('Step 12 - Legal'!B39="","",'Step 12 - Legal'!B39)</f>
        <v/>
      </c>
      <c r="C592" s="18" t="str">
        <f>IF('Step 12 - Legal'!B39="","",'Step 12 - Legal'!B39)</f>
        <v/>
      </c>
      <c r="D592" s="17" t="str">
        <f>IF('Step 12 - Legal'!B39="","",'Step 12 - Legal'!G39)</f>
        <v/>
      </c>
      <c r="E592" s="17" t="str">
        <f>IF('Step 12 - Legal'!B39="","",'Step 12 - Legal'!H39)</f>
        <v/>
      </c>
      <c r="F592" s="18" t="str">
        <f>IF('Step 12 - Legal'!B39="","",IF('Step 12 - Legal'!C39="","","Fund Code"))</f>
        <v/>
      </c>
      <c r="G592" s="17" t="str">
        <f>IF('Step 12 - Legal'!B39="","",IF('Step 12 - Legal'!C39="","","Equals"))</f>
        <v/>
      </c>
      <c r="H592" s="18" t="str">
        <f>IF('Step 12 - Legal'!B39="","",IF('Step 12 - Legal'!C39="","",'Step 12 - Legal'!C39))</f>
        <v/>
      </c>
      <c r="I592" s="18" t="str">
        <f>IF('Step 12 - Legal'!B39="","","Organization Code")</f>
        <v/>
      </c>
      <c r="J592" s="17" t="str">
        <f>IF('Step 12 - Legal'!B39="","","Equals")</f>
        <v/>
      </c>
      <c r="K592" s="18" t="str">
        <f>IF('Step 12 - Legal'!B39="","",'Step 12 - Legal'!D39)</f>
        <v/>
      </c>
      <c r="L592" s="18" t="str">
        <f>IF('Step 12 - Legal'!B39="","","Other Criteria")</f>
        <v/>
      </c>
      <c r="M592" s="17" t="str">
        <f>IF('Step 12 - Legal'!B39="","","Equals")</f>
        <v/>
      </c>
      <c r="N592" s="18" t="str">
        <f>IF('Step 12 - Legal'!B39="","",'Step 12 - Legal'!E39)</f>
        <v/>
      </c>
      <c r="O592" s="18" t="str">
        <f>IF('Step 12 - Legal'!B39="","",IF('Step 12 - Legal'!F39="","","Total"))</f>
        <v/>
      </c>
      <c r="P592" s="17" t="str">
        <f>IF('Step 12 - Legal'!B39="","",IF('Step 12 - Legal'!F39="","","&gt;="))</f>
        <v/>
      </c>
      <c r="Q592" s="18" t="str">
        <f>IF('Step 12 - Legal'!B39="","",IF('Step 12 - Legal'!F39="","",'Step 12 - Legal'!F39))</f>
        <v/>
      </c>
      <c r="R592" s="18" t="str">
        <f>""</f>
        <v/>
      </c>
      <c r="S592" s="18" t="str">
        <f>""</f>
        <v/>
      </c>
      <c r="T592" s="18" t="str">
        <f>""</f>
        <v/>
      </c>
      <c r="U592" s="18" t="str">
        <f>IF('Step 12 - Legal'!B39="","",'Step 12 - Legal'!I39)</f>
        <v/>
      </c>
      <c r="V592" s="17" t="str">
        <f>IF('Step 12 - Legal'!B39="","",'Step 12 - Legal'!K39)</f>
        <v/>
      </c>
      <c r="W592" s="18" t="str">
        <f>IF('Step 12 - Legal'!B39="","",'Step 12 - Legal'!L39)</f>
        <v/>
      </c>
      <c r="X592" s="17" t="str">
        <f>IF('Step 12 - Legal'!B39="","",'Step 12 - Legal'!N39)</f>
        <v/>
      </c>
      <c r="Y592" s="18" t="str">
        <f>""</f>
        <v/>
      </c>
      <c r="Z592" s="18" t="str">
        <f>""</f>
        <v/>
      </c>
      <c r="AA592" s="18" t="str">
        <f>""</f>
        <v/>
      </c>
      <c r="AB592" s="18" t="str">
        <f>""</f>
        <v/>
      </c>
      <c r="AC592" s="18" t="str">
        <f>""</f>
        <v/>
      </c>
      <c r="AD592" s="18" t="str">
        <f>""</f>
        <v/>
      </c>
      <c r="AE592" s="18" t="str">
        <f>""</f>
        <v/>
      </c>
      <c r="AF592" s="18" t="str">
        <f>""</f>
        <v/>
      </c>
      <c r="AG592" s="18" t="str">
        <f>""</f>
        <v/>
      </c>
      <c r="AH592" s="18" t="str">
        <f>""</f>
        <v/>
      </c>
      <c r="AI592" s="18" t="str">
        <f>""</f>
        <v/>
      </c>
      <c r="AJ592" s="18" t="str">
        <f>""</f>
        <v/>
      </c>
      <c r="AK592" s="18" t="str">
        <f>""</f>
        <v/>
      </c>
      <c r="AL592" s="18" t="str">
        <f>""</f>
        <v/>
      </c>
      <c r="AM592" s="18" t="str">
        <f>""</f>
        <v/>
      </c>
    </row>
    <row r="593" spans="1:39" ht="15.75" customHeight="1" x14ac:dyDescent="0.25">
      <c r="A593" s="19" t="str">
        <f>IF('Step 12 - Legal'!B40="","","Active")</f>
        <v/>
      </c>
      <c r="B593" s="20" t="str">
        <f>IF('Step 12 - Legal'!B40="","",'Step 12 - Legal'!B40)</f>
        <v/>
      </c>
      <c r="C593" s="20" t="str">
        <f>IF('Step 12 - Legal'!B40="","",'Step 12 - Legal'!B40)</f>
        <v/>
      </c>
      <c r="D593" s="19" t="str">
        <f>IF('Step 12 - Legal'!B40="","",'Step 12 - Legal'!G40)</f>
        <v/>
      </c>
      <c r="E593" s="19" t="str">
        <f>IF('Step 12 - Legal'!B40="","",'Step 12 - Legal'!H40)</f>
        <v/>
      </c>
      <c r="F593" s="20" t="str">
        <f>IF('Step 12 - Legal'!B40="","",IF('Step 12 - Legal'!C40="","","Fund Code"))</f>
        <v/>
      </c>
      <c r="G593" s="19" t="str">
        <f>IF('Step 12 - Legal'!B40="","",IF('Step 12 - Legal'!C40="","","Equals"))</f>
        <v/>
      </c>
      <c r="H593" s="20" t="str">
        <f>IF('Step 12 - Legal'!B40="","",IF('Step 12 - Legal'!C40="","",'Step 12 - Legal'!C40))</f>
        <v/>
      </c>
      <c r="I593" s="20" t="str">
        <f>IF('Step 12 - Legal'!B40="","","Organization Code")</f>
        <v/>
      </c>
      <c r="J593" s="19" t="str">
        <f>IF('Step 12 - Legal'!B40="","","Equals")</f>
        <v/>
      </c>
      <c r="K593" s="20" t="str">
        <f>IF('Step 12 - Legal'!B40="","",'Step 12 - Legal'!D40)</f>
        <v/>
      </c>
      <c r="L593" s="20" t="str">
        <f>IF('Step 12 - Legal'!B40="","","Other Criteria")</f>
        <v/>
      </c>
      <c r="M593" s="19" t="str">
        <f>IF('Step 12 - Legal'!B40="","","Equals")</f>
        <v/>
      </c>
      <c r="N593" s="20" t="str">
        <f>IF('Step 12 - Legal'!B40="","",'Step 12 - Legal'!E40)</f>
        <v/>
      </c>
      <c r="O593" s="20" t="str">
        <f>IF('Step 12 - Legal'!B40="","",IF('Step 12 - Legal'!F40="","","Total"))</f>
        <v/>
      </c>
      <c r="P593" s="19" t="str">
        <f>IF('Step 12 - Legal'!B40="","",IF('Step 12 - Legal'!F40="","","&gt;="))</f>
        <v/>
      </c>
      <c r="Q593" s="20" t="str">
        <f>IF('Step 12 - Legal'!B40="","",IF('Step 12 - Legal'!F40="","",'Step 12 - Legal'!F40))</f>
        <v/>
      </c>
      <c r="R593" s="20" t="str">
        <f>""</f>
        <v/>
      </c>
      <c r="S593" s="20" t="str">
        <f>""</f>
        <v/>
      </c>
      <c r="T593" s="20" t="str">
        <f>""</f>
        <v/>
      </c>
      <c r="U593" s="20" t="str">
        <f>IF('Step 12 - Legal'!B40="","",'Step 12 - Legal'!I40)</f>
        <v/>
      </c>
      <c r="V593" s="19" t="str">
        <f>IF('Step 12 - Legal'!B40="","",'Step 12 - Legal'!K40)</f>
        <v/>
      </c>
      <c r="W593" s="20" t="str">
        <f>IF('Step 12 - Legal'!B40="","",'Step 12 - Legal'!L40)</f>
        <v/>
      </c>
      <c r="X593" s="19" t="str">
        <f>IF('Step 12 - Legal'!B40="","",'Step 12 - Legal'!N40)</f>
        <v/>
      </c>
      <c r="Y593" s="20" t="str">
        <f>""</f>
        <v/>
      </c>
      <c r="Z593" s="20" t="str">
        <f>""</f>
        <v/>
      </c>
      <c r="AA593" s="20" t="str">
        <f>""</f>
        <v/>
      </c>
      <c r="AB593" s="20" t="str">
        <f>""</f>
        <v/>
      </c>
      <c r="AC593" s="20" t="str">
        <f>""</f>
        <v/>
      </c>
      <c r="AD593" s="20" t="str">
        <f>""</f>
        <v/>
      </c>
      <c r="AE593" s="20" t="str">
        <f>""</f>
        <v/>
      </c>
      <c r="AF593" s="20" t="str">
        <f>""</f>
        <v/>
      </c>
      <c r="AG593" s="20" t="str">
        <f>""</f>
        <v/>
      </c>
      <c r="AH593" s="20" t="str">
        <f>""</f>
        <v/>
      </c>
      <c r="AI593" s="20" t="str">
        <f>""</f>
        <v/>
      </c>
      <c r="AJ593" s="20" t="str">
        <f>""</f>
        <v/>
      </c>
      <c r="AK593" s="20" t="str">
        <f>""</f>
        <v/>
      </c>
      <c r="AL593" s="20" t="str">
        <f>""</f>
        <v/>
      </c>
      <c r="AM593" s="20" t="str">
        <f>""</f>
        <v/>
      </c>
    </row>
    <row r="594" spans="1:39" ht="15.75" customHeight="1" x14ac:dyDescent="0.25">
      <c r="A594" s="17" t="str">
        <f>IF('Step 12 - Legal'!B41="","","Active")</f>
        <v/>
      </c>
      <c r="B594" s="18" t="str">
        <f>IF('Step 12 - Legal'!B41="","",'Step 12 - Legal'!B41)</f>
        <v/>
      </c>
      <c r="C594" s="18" t="str">
        <f>IF('Step 12 - Legal'!B41="","",'Step 12 - Legal'!B41)</f>
        <v/>
      </c>
      <c r="D594" s="17" t="str">
        <f>IF('Step 12 - Legal'!B41="","",'Step 12 - Legal'!G41)</f>
        <v/>
      </c>
      <c r="E594" s="17" t="str">
        <f>IF('Step 12 - Legal'!B41="","",'Step 12 - Legal'!H41)</f>
        <v/>
      </c>
      <c r="F594" s="18" t="str">
        <f>IF('Step 12 - Legal'!B41="","",IF('Step 12 - Legal'!C41="","","Fund Code"))</f>
        <v/>
      </c>
      <c r="G594" s="17" t="str">
        <f>IF('Step 12 - Legal'!B41="","",IF('Step 12 - Legal'!C41="","","Equals"))</f>
        <v/>
      </c>
      <c r="H594" s="18" t="str">
        <f>IF('Step 12 - Legal'!B41="","",IF('Step 12 - Legal'!C41="","",'Step 12 - Legal'!C41))</f>
        <v/>
      </c>
      <c r="I594" s="18" t="str">
        <f>IF('Step 12 - Legal'!B41="","","Organization Code")</f>
        <v/>
      </c>
      <c r="J594" s="17" t="str">
        <f>IF('Step 12 - Legal'!B41="","","Equals")</f>
        <v/>
      </c>
      <c r="K594" s="18" t="str">
        <f>IF('Step 12 - Legal'!B41="","",'Step 12 - Legal'!D41)</f>
        <v/>
      </c>
      <c r="L594" s="18" t="str">
        <f>IF('Step 12 - Legal'!B41="","","Other Criteria")</f>
        <v/>
      </c>
      <c r="M594" s="17" t="str">
        <f>IF('Step 12 - Legal'!B41="","","Equals")</f>
        <v/>
      </c>
      <c r="N594" s="18" t="str">
        <f>IF('Step 12 - Legal'!B41="","",'Step 12 - Legal'!E41)</f>
        <v/>
      </c>
      <c r="O594" s="18" t="str">
        <f>IF('Step 12 - Legal'!B41="","",IF('Step 12 - Legal'!F41="","","Total"))</f>
        <v/>
      </c>
      <c r="P594" s="17" t="str">
        <f>IF('Step 12 - Legal'!B41="","",IF('Step 12 - Legal'!F41="","","&gt;="))</f>
        <v/>
      </c>
      <c r="Q594" s="18" t="str">
        <f>IF('Step 12 - Legal'!B41="","",IF('Step 12 - Legal'!F41="","",'Step 12 - Legal'!F41))</f>
        <v/>
      </c>
      <c r="R594" s="18" t="str">
        <f>""</f>
        <v/>
      </c>
      <c r="S594" s="18" t="str">
        <f>""</f>
        <v/>
      </c>
      <c r="T594" s="18" t="str">
        <f>""</f>
        <v/>
      </c>
      <c r="U594" s="18" t="str">
        <f>IF('Step 12 - Legal'!B41="","",'Step 12 - Legal'!I41)</f>
        <v/>
      </c>
      <c r="V594" s="17" t="str">
        <f>IF('Step 12 - Legal'!B41="","",'Step 12 - Legal'!K41)</f>
        <v/>
      </c>
      <c r="W594" s="18" t="str">
        <f>IF('Step 12 - Legal'!B41="","",'Step 12 - Legal'!L41)</f>
        <v/>
      </c>
      <c r="X594" s="17" t="str">
        <f>IF('Step 12 - Legal'!B41="","",'Step 12 - Legal'!N41)</f>
        <v/>
      </c>
      <c r="Y594" s="18" t="str">
        <f>""</f>
        <v/>
      </c>
      <c r="Z594" s="18" t="str">
        <f>""</f>
        <v/>
      </c>
      <c r="AA594" s="18" t="str">
        <f>""</f>
        <v/>
      </c>
      <c r="AB594" s="18" t="str">
        <f>""</f>
        <v/>
      </c>
      <c r="AC594" s="18" t="str">
        <f>""</f>
        <v/>
      </c>
      <c r="AD594" s="18" t="str">
        <f>""</f>
        <v/>
      </c>
      <c r="AE594" s="18" t="str">
        <f>""</f>
        <v/>
      </c>
      <c r="AF594" s="18" t="str">
        <f>""</f>
        <v/>
      </c>
      <c r="AG594" s="18" t="str">
        <f>""</f>
        <v/>
      </c>
      <c r="AH594" s="18" t="str">
        <f>""</f>
        <v/>
      </c>
      <c r="AI594" s="18" t="str">
        <f>""</f>
        <v/>
      </c>
      <c r="AJ594" s="18" t="str">
        <f>""</f>
        <v/>
      </c>
      <c r="AK594" s="18" t="str">
        <f>""</f>
        <v/>
      </c>
      <c r="AL594" s="18" t="str">
        <f>""</f>
        <v/>
      </c>
      <c r="AM594" s="18" t="str">
        <f>""</f>
        <v/>
      </c>
    </row>
    <row r="595" spans="1:39" ht="15.75" customHeight="1" x14ac:dyDescent="0.25">
      <c r="A595" s="19" t="str">
        <f>IF('Step 12 - Legal'!B42="","","Active")</f>
        <v/>
      </c>
      <c r="B595" s="20" t="str">
        <f>IF('Step 12 - Legal'!B42="","",'Step 12 - Legal'!B42)</f>
        <v/>
      </c>
      <c r="C595" s="20" t="str">
        <f>IF('Step 12 - Legal'!B42="","",'Step 12 - Legal'!B42)</f>
        <v/>
      </c>
      <c r="D595" s="19" t="str">
        <f>IF('Step 12 - Legal'!B42="","",'Step 12 - Legal'!G42)</f>
        <v/>
      </c>
      <c r="E595" s="19" t="str">
        <f>IF('Step 12 - Legal'!B42="","",'Step 12 - Legal'!H42)</f>
        <v/>
      </c>
      <c r="F595" s="20" t="str">
        <f>IF('Step 12 - Legal'!B42="","",IF('Step 12 - Legal'!C42="","","Fund Code"))</f>
        <v/>
      </c>
      <c r="G595" s="19" t="str">
        <f>IF('Step 12 - Legal'!B42="","",IF('Step 12 - Legal'!C42="","","Equals"))</f>
        <v/>
      </c>
      <c r="H595" s="20" t="str">
        <f>IF('Step 12 - Legal'!B42="","",IF('Step 12 - Legal'!C42="","",'Step 12 - Legal'!C42))</f>
        <v/>
      </c>
      <c r="I595" s="20" t="str">
        <f>IF('Step 12 - Legal'!B42="","","Organization Code")</f>
        <v/>
      </c>
      <c r="J595" s="19" t="str">
        <f>IF('Step 12 - Legal'!B42="","","Equals")</f>
        <v/>
      </c>
      <c r="K595" s="20" t="str">
        <f>IF('Step 12 - Legal'!B42="","",'Step 12 - Legal'!D42)</f>
        <v/>
      </c>
      <c r="L595" s="20" t="str">
        <f>IF('Step 12 - Legal'!B42="","","Other Criteria")</f>
        <v/>
      </c>
      <c r="M595" s="19" t="str">
        <f>IF('Step 12 - Legal'!B42="","","Equals")</f>
        <v/>
      </c>
      <c r="N595" s="20" t="str">
        <f>IF('Step 12 - Legal'!B42="","",'Step 12 - Legal'!E42)</f>
        <v/>
      </c>
      <c r="O595" s="20" t="str">
        <f>IF('Step 12 - Legal'!B42="","",IF('Step 12 - Legal'!F42="","","Total"))</f>
        <v/>
      </c>
      <c r="P595" s="19" t="str">
        <f>IF('Step 12 - Legal'!B42="","",IF('Step 12 - Legal'!F42="","","&gt;="))</f>
        <v/>
      </c>
      <c r="Q595" s="20" t="str">
        <f>IF('Step 12 - Legal'!B42="","",IF('Step 12 - Legal'!F42="","",'Step 12 - Legal'!F42))</f>
        <v/>
      </c>
      <c r="R595" s="20" t="str">
        <f>""</f>
        <v/>
      </c>
      <c r="S595" s="20" t="str">
        <f>""</f>
        <v/>
      </c>
      <c r="T595" s="20" t="str">
        <f>""</f>
        <v/>
      </c>
      <c r="U595" s="20" t="str">
        <f>IF('Step 12 - Legal'!B42="","",'Step 12 - Legal'!I42)</f>
        <v/>
      </c>
      <c r="V595" s="19" t="str">
        <f>IF('Step 12 - Legal'!B42="","",'Step 12 - Legal'!K42)</f>
        <v/>
      </c>
      <c r="W595" s="20" t="str">
        <f>IF('Step 12 - Legal'!B42="","",'Step 12 - Legal'!L42)</f>
        <v/>
      </c>
      <c r="X595" s="19" t="str">
        <f>IF('Step 12 - Legal'!B42="","",'Step 12 - Legal'!N42)</f>
        <v/>
      </c>
      <c r="Y595" s="20" t="str">
        <f>""</f>
        <v/>
      </c>
      <c r="Z595" s="20" t="str">
        <f>""</f>
        <v/>
      </c>
      <c r="AA595" s="20" t="str">
        <f>""</f>
        <v/>
      </c>
      <c r="AB595" s="20" t="str">
        <f>""</f>
        <v/>
      </c>
      <c r="AC595" s="20" t="str">
        <f>""</f>
        <v/>
      </c>
      <c r="AD595" s="20" t="str">
        <f>""</f>
        <v/>
      </c>
      <c r="AE595" s="20" t="str">
        <f>""</f>
        <v/>
      </c>
      <c r="AF595" s="20" t="str">
        <f>""</f>
        <v/>
      </c>
      <c r="AG595" s="20" t="str">
        <f>""</f>
        <v/>
      </c>
      <c r="AH595" s="20" t="str">
        <f>""</f>
        <v/>
      </c>
      <c r="AI595" s="20" t="str">
        <f>""</f>
        <v/>
      </c>
      <c r="AJ595" s="20" t="str">
        <f>""</f>
        <v/>
      </c>
      <c r="AK595" s="20" t="str">
        <f>""</f>
        <v/>
      </c>
      <c r="AL595" s="20" t="str">
        <f>""</f>
        <v/>
      </c>
      <c r="AM595" s="20" t="str">
        <f>""</f>
        <v/>
      </c>
    </row>
    <row r="596" spans="1:39" ht="15.75" customHeight="1" x14ac:dyDescent="0.25">
      <c r="A596" s="17" t="str">
        <f>IF('Step 12 - Legal'!B43="","","Active")</f>
        <v/>
      </c>
      <c r="B596" s="18" t="str">
        <f>IF('Step 12 - Legal'!B43="","",'Step 12 - Legal'!B43)</f>
        <v/>
      </c>
      <c r="C596" s="18" t="str">
        <f>IF('Step 12 - Legal'!B43="","",'Step 12 - Legal'!B43)</f>
        <v/>
      </c>
      <c r="D596" s="17" t="str">
        <f>IF('Step 12 - Legal'!B43="","",'Step 12 - Legal'!G43)</f>
        <v/>
      </c>
      <c r="E596" s="17" t="str">
        <f>IF('Step 12 - Legal'!B43="","",'Step 12 - Legal'!H43)</f>
        <v/>
      </c>
      <c r="F596" s="18" t="str">
        <f>IF('Step 12 - Legal'!B43="","",IF('Step 12 - Legal'!C43="","","Fund Code"))</f>
        <v/>
      </c>
      <c r="G596" s="17" t="str">
        <f>IF('Step 12 - Legal'!B43="","",IF('Step 12 - Legal'!C43="","","Equals"))</f>
        <v/>
      </c>
      <c r="H596" s="18" t="str">
        <f>IF('Step 12 - Legal'!B43="","",IF('Step 12 - Legal'!C43="","",'Step 12 - Legal'!C43))</f>
        <v/>
      </c>
      <c r="I596" s="18" t="str">
        <f>IF('Step 12 - Legal'!B43="","","Organization Code")</f>
        <v/>
      </c>
      <c r="J596" s="17" t="str">
        <f>IF('Step 12 - Legal'!B43="","","Equals")</f>
        <v/>
      </c>
      <c r="K596" s="18" t="str">
        <f>IF('Step 12 - Legal'!B43="","",'Step 12 - Legal'!D43)</f>
        <v/>
      </c>
      <c r="L596" s="18" t="str">
        <f>IF('Step 12 - Legal'!B43="","","Other Criteria")</f>
        <v/>
      </c>
      <c r="M596" s="17" t="str">
        <f>IF('Step 12 - Legal'!B43="","","Equals")</f>
        <v/>
      </c>
      <c r="N596" s="18" t="str">
        <f>IF('Step 12 - Legal'!B43="","",'Step 12 - Legal'!E43)</f>
        <v/>
      </c>
      <c r="O596" s="18" t="str">
        <f>IF('Step 12 - Legal'!B43="","",IF('Step 12 - Legal'!F43="","","Total"))</f>
        <v/>
      </c>
      <c r="P596" s="17" t="str">
        <f>IF('Step 12 - Legal'!B43="","",IF('Step 12 - Legal'!F43="","","&gt;="))</f>
        <v/>
      </c>
      <c r="Q596" s="18" t="str">
        <f>IF('Step 12 - Legal'!B43="","",IF('Step 12 - Legal'!F43="","",'Step 12 - Legal'!F43))</f>
        <v/>
      </c>
      <c r="R596" s="18" t="str">
        <f>""</f>
        <v/>
      </c>
      <c r="S596" s="18" t="str">
        <f>""</f>
        <v/>
      </c>
      <c r="T596" s="18" t="str">
        <f>""</f>
        <v/>
      </c>
      <c r="U596" s="18" t="str">
        <f>IF('Step 12 - Legal'!B43="","",'Step 12 - Legal'!I43)</f>
        <v/>
      </c>
      <c r="V596" s="17" t="str">
        <f>IF('Step 12 - Legal'!B43="","",'Step 12 - Legal'!K43)</f>
        <v/>
      </c>
      <c r="W596" s="18" t="str">
        <f>IF('Step 12 - Legal'!B43="","",'Step 12 - Legal'!L43)</f>
        <v/>
      </c>
      <c r="X596" s="17" t="str">
        <f>IF('Step 12 - Legal'!B43="","",'Step 12 - Legal'!N43)</f>
        <v/>
      </c>
      <c r="Y596" s="18" t="str">
        <f>""</f>
        <v/>
      </c>
      <c r="Z596" s="18" t="str">
        <f>""</f>
        <v/>
      </c>
      <c r="AA596" s="18" t="str">
        <f>""</f>
        <v/>
      </c>
      <c r="AB596" s="18" t="str">
        <f>""</f>
        <v/>
      </c>
      <c r="AC596" s="18" t="str">
        <f>""</f>
        <v/>
      </c>
      <c r="AD596" s="18" t="str">
        <f>""</f>
        <v/>
      </c>
      <c r="AE596" s="18" t="str">
        <f>""</f>
        <v/>
      </c>
      <c r="AF596" s="18" t="str">
        <f>""</f>
        <v/>
      </c>
      <c r="AG596" s="18" t="str">
        <f>""</f>
        <v/>
      </c>
      <c r="AH596" s="18" t="str">
        <f>""</f>
        <v/>
      </c>
      <c r="AI596" s="18" t="str">
        <f>""</f>
        <v/>
      </c>
      <c r="AJ596" s="18" t="str">
        <f>""</f>
        <v/>
      </c>
      <c r="AK596" s="18" t="str">
        <f>""</f>
        <v/>
      </c>
      <c r="AL596" s="18" t="str">
        <f>""</f>
        <v/>
      </c>
      <c r="AM596" s="18" t="str">
        <f>""</f>
        <v/>
      </c>
    </row>
    <row r="597" spans="1:39" ht="15.75" customHeight="1" x14ac:dyDescent="0.25">
      <c r="A597" s="19" t="str">
        <f>IF('Step 12 - Legal'!B44="","","Active")</f>
        <v/>
      </c>
      <c r="B597" s="20" t="str">
        <f>IF('Step 12 - Legal'!B44="","",'Step 12 - Legal'!B44)</f>
        <v/>
      </c>
      <c r="C597" s="20" t="str">
        <f>IF('Step 12 - Legal'!B44="","",'Step 12 - Legal'!B44)</f>
        <v/>
      </c>
      <c r="D597" s="19" t="str">
        <f>IF('Step 12 - Legal'!B44="","",'Step 12 - Legal'!G44)</f>
        <v/>
      </c>
      <c r="E597" s="19" t="str">
        <f>IF('Step 12 - Legal'!B44="","",'Step 12 - Legal'!H44)</f>
        <v/>
      </c>
      <c r="F597" s="20" t="str">
        <f>IF('Step 12 - Legal'!B44="","",IF('Step 12 - Legal'!C44="","","Fund Code"))</f>
        <v/>
      </c>
      <c r="G597" s="19" t="str">
        <f>IF('Step 12 - Legal'!B44="","",IF('Step 12 - Legal'!C44="","","Equals"))</f>
        <v/>
      </c>
      <c r="H597" s="20" t="str">
        <f>IF('Step 12 - Legal'!B44="","",IF('Step 12 - Legal'!C44="","",'Step 12 - Legal'!C44))</f>
        <v/>
      </c>
      <c r="I597" s="20" t="str">
        <f>IF('Step 12 - Legal'!B44="","","Organization Code")</f>
        <v/>
      </c>
      <c r="J597" s="19" t="str">
        <f>IF('Step 12 - Legal'!B44="","","Equals")</f>
        <v/>
      </c>
      <c r="K597" s="20" t="str">
        <f>IF('Step 12 - Legal'!B44="","",'Step 12 - Legal'!D44)</f>
        <v/>
      </c>
      <c r="L597" s="20" t="str">
        <f>IF('Step 12 - Legal'!B44="","","Other Criteria")</f>
        <v/>
      </c>
      <c r="M597" s="19" t="str">
        <f>IF('Step 12 - Legal'!B44="","","Equals")</f>
        <v/>
      </c>
      <c r="N597" s="20" t="str">
        <f>IF('Step 12 - Legal'!B44="","",'Step 12 - Legal'!E44)</f>
        <v/>
      </c>
      <c r="O597" s="20" t="str">
        <f>IF('Step 12 - Legal'!B44="","",IF('Step 12 - Legal'!F44="","","Total"))</f>
        <v/>
      </c>
      <c r="P597" s="19" t="str">
        <f>IF('Step 12 - Legal'!B44="","",IF('Step 12 - Legal'!F44="","","&gt;="))</f>
        <v/>
      </c>
      <c r="Q597" s="20" t="str">
        <f>IF('Step 12 - Legal'!B44="","",IF('Step 12 - Legal'!F44="","",'Step 12 - Legal'!F44))</f>
        <v/>
      </c>
      <c r="R597" s="20" t="str">
        <f>""</f>
        <v/>
      </c>
      <c r="S597" s="20" t="str">
        <f>""</f>
        <v/>
      </c>
      <c r="T597" s="20" t="str">
        <f>""</f>
        <v/>
      </c>
      <c r="U597" s="20" t="str">
        <f>IF('Step 12 - Legal'!B44="","",'Step 12 - Legal'!I44)</f>
        <v/>
      </c>
      <c r="V597" s="19" t="str">
        <f>IF('Step 12 - Legal'!B44="","",'Step 12 - Legal'!K44)</f>
        <v/>
      </c>
      <c r="W597" s="20" t="str">
        <f>IF('Step 12 - Legal'!B44="","",'Step 12 - Legal'!L44)</f>
        <v/>
      </c>
      <c r="X597" s="19" t="str">
        <f>IF('Step 12 - Legal'!B44="","",'Step 12 - Legal'!N44)</f>
        <v/>
      </c>
      <c r="Y597" s="20" t="str">
        <f>""</f>
        <v/>
      </c>
      <c r="Z597" s="20" t="str">
        <f>""</f>
        <v/>
      </c>
      <c r="AA597" s="20" t="str">
        <f>""</f>
        <v/>
      </c>
      <c r="AB597" s="20" t="str">
        <f>""</f>
        <v/>
      </c>
      <c r="AC597" s="20" t="str">
        <f>""</f>
        <v/>
      </c>
      <c r="AD597" s="20" t="str">
        <f>""</f>
        <v/>
      </c>
      <c r="AE597" s="20" t="str">
        <f>""</f>
        <v/>
      </c>
      <c r="AF597" s="20" t="str">
        <f>""</f>
        <v/>
      </c>
      <c r="AG597" s="20" t="str">
        <f>""</f>
        <v/>
      </c>
      <c r="AH597" s="20" t="str">
        <f>""</f>
        <v/>
      </c>
      <c r="AI597" s="20" t="str">
        <f>""</f>
        <v/>
      </c>
      <c r="AJ597" s="20" t="str">
        <f>""</f>
        <v/>
      </c>
      <c r="AK597" s="20" t="str">
        <f>""</f>
        <v/>
      </c>
      <c r="AL597" s="20" t="str">
        <f>""</f>
        <v/>
      </c>
      <c r="AM597" s="20" t="str">
        <f>""</f>
        <v/>
      </c>
    </row>
    <row r="598" spans="1:39" ht="15.75" customHeight="1" x14ac:dyDescent="0.25">
      <c r="A598" s="17" t="str">
        <f>IF('Step 12 - Legal'!B45="","","Active")</f>
        <v/>
      </c>
      <c r="B598" s="18" t="str">
        <f>IF('Step 12 - Legal'!B45="","",'Step 12 - Legal'!B45)</f>
        <v/>
      </c>
      <c r="C598" s="18" t="str">
        <f>IF('Step 12 - Legal'!B45="","",'Step 12 - Legal'!B45)</f>
        <v/>
      </c>
      <c r="D598" s="17" t="str">
        <f>IF('Step 12 - Legal'!B45="","",'Step 12 - Legal'!G45)</f>
        <v/>
      </c>
      <c r="E598" s="17" t="str">
        <f>IF('Step 12 - Legal'!B45="","",'Step 12 - Legal'!H45)</f>
        <v/>
      </c>
      <c r="F598" s="18" t="str">
        <f>IF('Step 12 - Legal'!B45="","",IF('Step 12 - Legal'!C45="","","Fund Code"))</f>
        <v/>
      </c>
      <c r="G598" s="17" t="str">
        <f>IF('Step 12 - Legal'!B45="","",IF('Step 12 - Legal'!C45="","","Equals"))</f>
        <v/>
      </c>
      <c r="H598" s="18" t="str">
        <f>IF('Step 12 - Legal'!B45="","",IF('Step 12 - Legal'!C45="","",'Step 12 - Legal'!C45))</f>
        <v/>
      </c>
      <c r="I598" s="18" t="str">
        <f>IF('Step 12 - Legal'!B45="","","Organization Code")</f>
        <v/>
      </c>
      <c r="J598" s="17" t="str">
        <f>IF('Step 12 - Legal'!B45="","","Equals")</f>
        <v/>
      </c>
      <c r="K598" s="18" t="str">
        <f>IF('Step 12 - Legal'!B45="","",'Step 12 - Legal'!D45)</f>
        <v/>
      </c>
      <c r="L598" s="18" t="str">
        <f>IF('Step 12 - Legal'!B45="","","Other Criteria")</f>
        <v/>
      </c>
      <c r="M598" s="17" t="str">
        <f>IF('Step 12 - Legal'!B45="","","Equals")</f>
        <v/>
      </c>
      <c r="N598" s="18" t="str">
        <f>IF('Step 12 - Legal'!B45="","",'Step 12 - Legal'!E45)</f>
        <v/>
      </c>
      <c r="O598" s="18" t="str">
        <f>IF('Step 12 - Legal'!B45="","",IF('Step 12 - Legal'!F45="","","Total"))</f>
        <v/>
      </c>
      <c r="P598" s="17" t="str">
        <f>IF('Step 12 - Legal'!B45="","",IF('Step 12 - Legal'!F45="","","&gt;="))</f>
        <v/>
      </c>
      <c r="Q598" s="18" t="str">
        <f>IF('Step 12 - Legal'!B45="","",IF('Step 12 - Legal'!F45="","",'Step 12 - Legal'!F45))</f>
        <v/>
      </c>
      <c r="R598" s="18" t="str">
        <f>""</f>
        <v/>
      </c>
      <c r="S598" s="18" t="str">
        <f>""</f>
        <v/>
      </c>
      <c r="T598" s="18" t="str">
        <f>""</f>
        <v/>
      </c>
      <c r="U598" s="18" t="str">
        <f>IF('Step 12 - Legal'!B45="","",'Step 12 - Legal'!I45)</f>
        <v/>
      </c>
      <c r="V598" s="17" t="str">
        <f>IF('Step 12 - Legal'!B45="","",'Step 12 - Legal'!K45)</f>
        <v/>
      </c>
      <c r="W598" s="18" t="str">
        <f>IF('Step 12 - Legal'!B45="","",'Step 12 - Legal'!L45)</f>
        <v/>
      </c>
      <c r="X598" s="17" t="str">
        <f>IF('Step 12 - Legal'!B45="","",'Step 12 - Legal'!N45)</f>
        <v/>
      </c>
      <c r="Y598" s="18" t="str">
        <f>""</f>
        <v/>
      </c>
      <c r="Z598" s="18" t="str">
        <f>""</f>
        <v/>
      </c>
      <c r="AA598" s="18" t="str">
        <f>""</f>
        <v/>
      </c>
      <c r="AB598" s="18" t="str">
        <f>""</f>
        <v/>
      </c>
      <c r="AC598" s="18" t="str">
        <f>""</f>
        <v/>
      </c>
      <c r="AD598" s="18" t="str">
        <f>""</f>
        <v/>
      </c>
      <c r="AE598" s="18" t="str">
        <f>""</f>
        <v/>
      </c>
      <c r="AF598" s="18" t="str">
        <f>""</f>
        <v/>
      </c>
      <c r="AG598" s="18" t="str">
        <f>""</f>
        <v/>
      </c>
      <c r="AH598" s="18" t="str">
        <f>""</f>
        <v/>
      </c>
      <c r="AI598" s="18" t="str">
        <f>""</f>
        <v/>
      </c>
      <c r="AJ598" s="18" t="str">
        <f>""</f>
        <v/>
      </c>
      <c r="AK598" s="18" t="str">
        <f>""</f>
        <v/>
      </c>
      <c r="AL598" s="18" t="str">
        <f>""</f>
        <v/>
      </c>
      <c r="AM598" s="18" t="str">
        <f>""</f>
        <v/>
      </c>
    </row>
    <row r="599" spans="1:39" ht="15.75" customHeight="1" x14ac:dyDescent="0.25">
      <c r="A599" s="19" t="str">
        <f>IF('Step 12 - Legal'!B46="","","Active")</f>
        <v/>
      </c>
      <c r="B599" s="20" t="str">
        <f>IF('Step 12 - Legal'!B46="","",'Step 12 - Legal'!B46)</f>
        <v/>
      </c>
      <c r="C599" s="20" t="str">
        <f>IF('Step 12 - Legal'!B46="","",'Step 12 - Legal'!B46)</f>
        <v/>
      </c>
      <c r="D599" s="19" t="str">
        <f>IF('Step 12 - Legal'!B46="","",'Step 12 - Legal'!G46)</f>
        <v/>
      </c>
      <c r="E599" s="19" t="str">
        <f>IF('Step 12 - Legal'!B46="","",'Step 12 - Legal'!H46)</f>
        <v/>
      </c>
      <c r="F599" s="20" t="str">
        <f>IF('Step 12 - Legal'!B46="","",IF('Step 12 - Legal'!C46="","","Fund Code"))</f>
        <v/>
      </c>
      <c r="G599" s="19" t="str">
        <f>IF('Step 12 - Legal'!B46="","",IF('Step 12 - Legal'!C46="","","Equals"))</f>
        <v/>
      </c>
      <c r="H599" s="20" t="str">
        <f>IF('Step 12 - Legal'!B46="","",IF('Step 12 - Legal'!C46="","",'Step 12 - Legal'!C46))</f>
        <v/>
      </c>
      <c r="I599" s="20" t="str">
        <f>IF('Step 12 - Legal'!B46="","","Organization Code")</f>
        <v/>
      </c>
      <c r="J599" s="19" t="str">
        <f>IF('Step 12 - Legal'!B46="","","Equals")</f>
        <v/>
      </c>
      <c r="K599" s="20" t="str">
        <f>IF('Step 12 - Legal'!B46="","",'Step 12 - Legal'!D46)</f>
        <v/>
      </c>
      <c r="L599" s="20" t="str">
        <f>IF('Step 12 - Legal'!B46="","","Other Criteria")</f>
        <v/>
      </c>
      <c r="M599" s="19" t="str">
        <f>IF('Step 12 - Legal'!B46="","","Equals")</f>
        <v/>
      </c>
      <c r="N599" s="20" t="str">
        <f>IF('Step 12 - Legal'!B46="","",'Step 12 - Legal'!E46)</f>
        <v/>
      </c>
      <c r="O599" s="20" t="str">
        <f>IF('Step 12 - Legal'!B46="","",IF('Step 12 - Legal'!F46="","","Total"))</f>
        <v/>
      </c>
      <c r="P599" s="19" t="str">
        <f>IF('Step 12 - Legal'!B46="","",IF('Step 12 - Legal'!F46="","","&gt;="))</f>
        <v/>
      </c>
      <c r="Q599" s="20" t="str">
        <f>IF('Step 12 - Legal'!B46="","",IF('Step 12 - Legal'!F46="","",'Step 12 - Legal'!F46))</f>
        <v/>
      </c>
      <c r="R599" s="20" t="str">
        <f>""</f>
        <v/>
      </c>
      <c r="S599" s="20" t="str">
        <f>""</f>
        <v/>
      </c>
      <c r="T599" s="20" t="str">
        <f>""</f>
        <v/>
      </c>
      <c r="U599" s="20" t="str">
        <f>IF('Step 12 - Legal'!B46="","",'Step 12 - Legal'!I46)</f>
        <v/>
      </c>
      <c r="V599" s="19" t="str">
        <f>IF('Step 12 - Legal'!B46="","",'Step 12 - Legal'!K46)</f>
        <v/>
      </c>
      <c r="W599" s="20" t="str">
        <f>IF('Step 12 - Legal'!B46="","",'Step 12 - Legal'!L46)</f>
        <v/>
      </c>
      <c r="X599" s="19" t="str">
        <f>IF('Step 12 - Legal'!B46="","",'Step 12 - Legal'!N46)</f>
        <v/>
      </c>
      <c r="Y599" s="20" t="str">
        <f>""</f>
        <v/>
      </c>
      <c r="Z599" s="20" t="str">
        <f>""</f>
        <v/>
      </c>
      <c r="AA599" s="20" t="str">
        <f>""</f>
        <v/>
      </c>
      <c r="AB599" s="20" t="str">
        <f>""</f>
        <v/>
      </c>
      <c r="AC599" s="20" t="str">
        <f>""</f>
        <v/>
      </c>
      <c r="AD599" s="20" t="str">
        <f>""</f>
        <v/>
      </c>
      <c r="AE599" s="20" t="str">
        <f>""</f>
        <v/>
      </c>
      <c r="AF599" s="20" t="str">
        <f>""</f>
        <v/>
      </c>
      <c r="AG599" s="20" t="str">
        <f>""</f>
        <v/>
      </c>
      <c r="AH599" s="20" t="str">
        <f>""</f>
        <v/>
      </c>
      <c r="AI599" s="20" t="str">
        <f>""</f>
        <v/>
      </c>
      <c r="AJ599" s="20" t="str">
        <f>""</f>
        <v/>
      </c>
      <c r="AK599" s="20" t="str">
        <f>""</f>
        <v/>
      </c>
      <c r="AL599" s="20" t="str">
        <f>""</f>
        <v/>
      </c>
      <c r="AM599" s="20" t="str">
        <f>""</f>
        <v/>
      </c>
    </row>
    <row r="600" spans="1:39" ht="15.75" customHeight="1" x14ac:dyDescent="0.25">
      <c r="A600" s="17" t="str">
        <f>IF('Step 12 - Legal'!B47="","","Active")</f>
        <v/>
      </c>
      <c r="B600" s="18" t="str">
        <f>IF('Step 12 - Legal'!B47="","",'Step 12 - Legal'!B47)</f>
        <v/>
      </c>
      <c r="C600" s="18" t="str">
        <f>IF('Step 12 - Legal'!B47="","",'Step 12 - Legal'!B47)</f>
        <v/>
      </c>
      <c r="D600" s="17" t="str">
        <f>IF('Step 12 - Legal'!B47="","",'Step 12 - Legal'!G47)</f>
        <v/>
      </c>
      <c r="E600" s="17" t="str">
        <f>IF('Step 12 - Legal'!B47="","",'Step 12 - Legal'!H47)</f>
        <v/>
      </c>
      <c r="F600" s="18" t="str">
        <f>IF('Step 12 - Legal'!B47="","",IF('Step 12 - Legal'!C47="","","Fund Code"))</f>
        <v/>
      </c>
      <c r="G600" s="17" t="str">
        <f>IF('Step 12 - Legal'!B47="","",IF('Step 12 - Legal'!C47="","","Equals"))</f>
        <v/>
      </c>
      <c r="H600" s="18" t="str">
        <f>IF('Step 12 - Legal'!B47="","",IF('Step 12 - Legal'!C47="","",'Step 12 - Legal'!C47))</f>
        <v/>
      </c>
      <c r="I600" s="18" t="str">
        <f>IF('Step 12 - Legal'!B47="","","Organization Code")</f>
        <v/>
      </c>
      <c r="J600" s="17" t="str">
        <f>IF('Step 12 - Legal'!B47="","","Equals")</f>
        <v/>
      </c>
      <c r="K600" s="18" t="str">
        <f>IF('Step 12 - Legal'!B47="","",'Step 12 - Legal'!D47)</f>
        <v/>
      </c>
      <c r="L600" s="18" t="str">
        <f>IF('Step 12 - Legal'!B47="","","Other Criteria")</f>
        <v/>
      </c>
      <c r="M600" s="17" t="str">
        <f>IF('Step 12 - Legal'!B47="","","Equals")</f>
        <v/>
      </c>
      <c r="N600" s="18" t="str">
        <f>IF('Step 12 - Legal'!B47="","",'Step 12 - Legal'!E47)</f>
        <v/>
      </c>
      <c r="O600" s="18" t="str">
        <f>IF('Step 12 - Legal'!B47="","",IF('Step 12 - Legal'!F47="","","Total"))</f>
        <v/>
      </c>
      <c r="P600" s="17" t="str">
        <f>IF('Step 12 - Legal'!B47="","",IF('Step 12 - Legal'!F47="","","&gt;="))</f>
        <v/>
      </c>
      <c r="Q600" s="18" t="str">
        <f>IF('Step 12 - Legal'!B47="","",IF('Step 12 - Legal'!F47="","",'Step 12 - Legal'!F47))</f>
        <v/>
      </c>
      <c r="R600" s="18" t="str">
        <f>""</f>
        <v/>
      </c>
      <c r="S600" s="18" t="str">
        <f>""</f>
        <v/>
      </c>
      <c r="T600" s="18" t="str">
        <f>""</f>
        <v/>
      </c>
      <c r="U600" s="18" t="str">
        <f>IF('Step 12 - Legal'!B47="","",'Step 12 - Legal'!I47)</f>
        <v/>
      </c>
      <c r="V600" s="17" t="str">
        <f>IF('Step 12 - Legal'!B47="","",'Step 12 - Legal'!K47)</f>
        <v/>
      </c>
      <c r="W600" s="18" t="str">
        <f>IF('Step 12 - Legal'!B47="","",'Step 12 - Legal'!L47)</f>
        <v/>
      </c>
      <c r="X600" s="17" t="str">
        <f>IF('Step 12 - Legal'!B47="","",'Step 12 - Legal'!N47)</f>
        <v/>
      </c>
      <c r="Y600" s="18" t="str">
        <f>""</f>
        <v/>
      </c>
      <c r="Z600" s="18" t="str">
        <f>""</f>
        <v/>
      </c>
      <c r="AA600" s="18" t="str">
        <f>""</f>
        <v/>
      </c>
      <c r="AB600" s="18" t="str">
        <f>""</f>
        <v/>
      </c>
      <c r="AC600" s="18" t="str">
        <f>""</f>
        <v/>
      </c>
      <c r="AD600" s="18" t="str">
        <f>""</f>
        <v/>
      </c>
      <c r="AE600" s="18" t="str">
        <f>""</f>
        <v/>
      </c>
      <c r="AF600" s="18" t="str">
        <f>""</f>
        <v/>
      </c>
      <c r="AG600" s="18" t="str">
        <f>""</f>
        <v/>
      </c>
      <c r="AH600" s="18" t="str">
        <f>""</f>
        <v/>
      </c>
      <c r="AI600" s="18" t="str">
        <f>""</f>
        <v/>
      </c>
      <c r="AJ600" s="18" t="str">
        <f>""</f>
        <v/>
      </c>
      <c r="AK600" s="18" t="str">
        <f>""</f>
        <v/>
      </c>
      <c r="AL600" s="18" t="str">
        <f>""</f>
        <v/>
      </c>
      <c r="AM600" s="18" t="str">
        <f>""</f>
        <v/>
      </c>
    </row>
    <row r="601" spans="1:39" ht="15.75" customHeight="1" x14ac:dyDescent="0.25">
      <c r="A601" s="19" t="str">
        <f>IF('Step 12 - Legal'!B48="","","Active")</f>
        <v/>
      </c>
      <c r="B601" s="20" t="str">
        <f>IF('Step 12 - Legal'!B48="","",'Step 12 - Legal'!B48)</f>
        <v/>
      </c>
      <c r="C601" s="20" t="str">
        <f>IF('Step 12 - Legal'!B48="","",'Step 12 - Legal'!B48)</f>
        <v/>
      </c>
      <c r="D601" s="19" t="str">
        <f>IF('Step 12 - Legal'!B48="","",'Step 12 - Legal'!G48)</f>
        <v/>
      </c>
      <c r="E601" s="19" t="str">
        <f>IF('Step 12 - Legal'!B48="","",'Step 12 - Legal'!H48)</f>
        <v/>
      </c>
      <c r="F601" s="20" t="str">
        <f>IF('Step 12 - Legal'!B48="","",IF('Step 12 - Legal'!C48="","","Fund Code"))</f>
        <v/>
      </c>
      <c r="G601" s="19" t="str">
        <f>IF('Step 12 - Legal'!B48="","",IF('Step 12 - Legal'!C48="","","Equals"))</f>
        <v/>
      </c>
      <c r="H601" s="20" t="str">
        <f>IF('Step 12 - Legal'!B48="","",IF('Step 12 - Legal'!C48="","",'Step 12 - Legal'!C48))</f>
        <v/>
      </c>
      <c r="I601" s="20" t="str">
        <f>IF('Step 12 - Legal'!B48="","","Organization Code")</f>
        <v/>
      </c>
      <c r="J601" s="19" t="str">
        <f>IF('Step 12 - Legal'!B48="","","Equals")</f>
        <v/>
      </c>
      <c r="K601" s="20" t="str">
        <f>IF('Step 12 - Legal'!B48="","",'Step 12 - Legal'!D48)</f>
        <v/>
      </c>
      <c r="L601" s="20" t="str">
        <f>IF('Step 12 - Legal'!B48="","","Other Criteria")</f>
        <v/>
      </c>
      <c r="M601" s="19" t="str">
        <f>IF('Step 12 - Legal'!B48="","","Equals")</f>
        <v/>
      </c>
      <c r="N601" s="20" t="str">
        <f>IF('Step 12 - Legal'!B48="","",'Step 12 - Legal'!E48)</f>
        <v/>
      </c>
      <c r="O601" s="20" t="str">
        <f>IF('Step 12 - Legal'!B48="","",IF('Step 12 - Legal'!F48="","","Total"))</f>
        <v/>
      </c>
      <c r="P601" s="19" t="str">
        <f>IF('Step 12 - Legal'!B48="","",IF('Step 12 - Legal'!F48="","","&gt;="))</f>
        <v/>
      </c>
      <c r="Q601" s="20" t="str">
        <f>IF('Step 12 - Legal'!B48="","",IF('Step 12 - Legal'!F48="","",'Step 12 - Legal'!F48))</f>
        <v/>
      </c>
      <c r="R601" s="20" t="str">
        <f>""</f>
        <v/>
      </c>
      <c r="S601" s="20" t="str">
        <f>""</f>
        <v/>
      </c>
      <c r="T601" s="20" t="str">
        <f>""</f>
        <v/>
      </c>
      <c r="U601" s="20" t="str">
        <f>IF('Step 12 - Legal'!B48="","",'Step 12 - Legal'!I48)</f>
        <v/>
      </c>
      <c r="V601" s="19" t="str">
        <f>IF('Step 12 - Legal'!B48="","",'Step 12 - Legal'!K48)</f>
        <v/>
      </c>
      <c r="W601" s="20" t="str">
        <f>IF('Step 12 - Legal'!B48="","",'Step 12 - Legal'!L48)</f>
        <v/>
      </c>
      <c r="X601" s="19" t="str">
        <f>IF('Step 12 - Legal'!B48="","",'Step 12 - Legal'!N48)</f>
        <v/>
      </c>
      <c r="Y601" s="20" t="str">
        <f>""</f>
        <v/>
      </c>
      <c r="Z601" s="20" t="str">
        <f>""</f>
        <v/>
      </c>
      <c r="AA601" s="20" t="str">
        <f>""</f>
        <v/>
      </c>
      <c r="AB601" s="20" t="str">
        <f>""</f>
        <v/>
      </c>
      <c r="AC601" s="20" t="str">
        <f>""</f>
        <v/>
      </c>
      <c r="AD601" s="20" t="str">
        <f>""</f>
        <v/>
      </c>
      <c r="AE601" s="20" t="str">
        <f>""</f>
        <v/>
      </c>
      <c r="AF601" s="20" t="str">
        <f>""</f>
        <v/>
      </c>
      <c r="AG601" s="20" t="str">
        <f>""</f>
        <v/>
      </c>
      <c r="AH601" s="20" t="str">
        <f>""</f>
        <v/>
      </c>
      <c r="AI601" s="20" t="str">
        <f>""</f>
        <v/>
      </c>
      <c r="AJ601" s="20" t="str">
        <f>""</f>
        <v/>
      </c>
      <c r="AK601" s="20" t="str">
        <f>""</f>
        <v/>
      </c>
      <c r="AL601" s="20" t="str">
        <f>""</f>
        <v/>
      </c>
      <c r="AM601" s="20" t="str">
        <f>""</f>
        <v/>
      </c>
    </row>
    <row r="602" spans="1:39" ht="15.75" customHeight="1" x14ac:dyDescent="0.25">
      <c r="A602" s="17" t="str">
        <f>IF('Step 12 - Legal'!B49="","","Active")</f>
        <v/>
      </c>
      <c r="B602" s="18" t="str">
        <f>IF('Step 12 - Legal'!B49="","",'Step 12 - Legal'!B49)</f>
        <v/>
      </c>
      <c r="C602" s="18" t="str">
        <f>IF('Step 12 - Legal'!B49="","",'Step 12 - Legal'!B49)</f>
        <v/>
      </c>
      <c r="D602" s="17" t="str">
        <f>IF('Step 12 - Legal'!B49="","",'Step 12 - Legal'!G49)</f>
        <v/>
      </c>
      <c r="E602" s="17" t="str">
        <f>IF('Step 12 - Legal'!B49="","",'Step 12 - Legal'!H49)</f>
        <v/>
      </c>
      <c r="F602" s="18" t="str">
        <f>IF('Step 12 - Legal'!B49="","",IF('Step 12 - Legal'!C49="","","Fund Code"))</f>
        <v/>
      </c>
      <c r="G602" s="17" t="str">
        <f>IF('Step 12 - Legal'!B49="","",IF('Step 12 - Legal'!C49="","","Equals"))</f>
        <v/>
      </c>
      <c r="H602" s="18" t="str">
        <f>IF('Step 12 - Legal'!B49="","",IF('Step 12 - Legal'!C49="","",'Step 12 - Legal'!C49))</f>
        <v/>
      </c>
      <c r="I602" s="18" t="str">
        <f>IF('Step 12 - Legal'!B49="","","Organization Code")</f>
        <v/>
      </c>
      <c r="J602" s="17" t="str">
        <f>IF('Step 12 - Legal'!B49="","","Equals")</f>
        <v/>
      </c>
      <c r="K602" s="18" t="str">
        <f>IF('Step 12 - Legal'!B49="","",'Step 12 - Legal'!D49)</f>
        <v/>
      </c>
      <c r="L602" s="18" t="str">
        <f>IF('Step 12 - Legal'!B49="","","Other Criteria")</f>
        <v/>
      </c>
      <c r="M602" s="17" t="str">
        <f>IF('Step 12 - Legal'!B49="","","Equals")</f>
        <v/>
      </c>
      <c r="N602" s="18" t="str">
        <f>IF('Step 12 - Legal'!B49="","",'Step 12 - Legal'!E49)</f>
        <v/>
      </c>
      <c r="O602" s="18" t="str">
        <f>IF('Step 12 - Legal'!B49="","",IF('Step 12 - Legal'!F49="","","Total"))</f>
        <v/>
      </c>
      <c r="P602" s="17" t="str">
        <f>IF('Step 12 - Legal'!B49="","",IF('Step 12 - Legal'!F49="","","&gt;="))</f>
        <v/>
      </c>
      <c r="Q602" s="18" t="str">
        <f>IF('Step 12 - Legal'!B49="","",IF('Step 12 - Legal'!F49="","",'Step 12 - Legal'!F49))</f>
        <v/>
      </c>
      <c r="R602" s="18" t="str">
        <f>""</f>
        <v/>
      </c>
      <c r="S602" s="18" t="str">
        <f>""</f>
        <v/>
      </c>
      <c r="T602" s="18" t="str">
        <f>""</f>
        <v/>
      </c>
      <c r="U602" s="18" t="str">
        <f>IF('Step 12 - Legal'!B49="","",'Step 12 - Legal'!I49)</f>
        <v/>
      </c>
      <c r="V602" s="17" t="str">
        <f>IF('Step 12 - Legal'!B49="","",'Step 12 - Legal'!K49)</f>
        <v/>
      </c>
      <c r="W602" s="18" t="str">
        <f>IF('Step 12 - Legal'!B49="","",'Step 12 - Legal'!L49)</f>
        <v/>
      </c>
      <c r="X602" s="17" t="str">
        <f>IF('Step 12 - Legal'!B49="","",'Step 12 - Legal'!N49)</f>
        <v/>
      </c>
      <c r="Y602" s="18" t="str">
        <f>""</f>
        <v/>
      </c>
      <c r="Z602" s="18" t="str">
        <f>""</f>
        <v/>
      </c>
      <c r="AA602" s="18" t="str">
        <f>""</f>
        <v/>
      </c>
      <c r="AB602" s="18" t="str">
        <f>""</f>
        <v/>
      </c>
      <c r="AC602" s="18" t="str">
        <f>""</f>
        <v/>
      </c>
      <c r="AD602" s="18" t="str">
        <f>""</f>
        <v/>
      </c>
      <c r="AE602" s="18" t="str">
        <f>""</f>
        <v/>
      </c>
      <c r="AF602" s="18" t="str">
        <f>""</f>
        <v/>
      </c>
      <c r="AG602" s="18" t="str">
        <f>""</f>
        <v/>
      </c>
      <c r="AH602" s="18" t="str">
        <f>""</f>
        <v/>
      </c>
      <c r="AI602" s="18" t="str">
        <f>""</f>
        <v/>
      </c>
      <c r="AJ602" s="18" t="str">
        <f>""</f>
        <v/>
      </c>
      <c r="AK602" s="18" t="str">
        <f>""</f>
        <v/>
      </c>
      <c r="AL602" s="18" t="str">
        <f>""</f>
        <v/>
      </c>
      <c r="AM602" s="18" t="str">
        <f>""</f>
        <v/>
      </c>
    </row>
    <row r="603" spans="1:39" ht="15.75" customHeight="1" x14ac:dyDescent="0.25">
      <c r="A603" s="19" t="str">
        <f>IF('Step 12 - Legal'!B50="","","Active")</f>
        <v/>
      </c>
      <c r="B603" s="20" t="str">
        <f>IF('Step 12 - Legal'!B50="","",'Step 12 - Legal'!B50)</f>
        <v/>
      </c>
      <c r="C603" s="20" t="str">
        <f>IF('Step 12 - Legal'!B50="","",'Step 12 - Legal'!B50)</f>
        <v/>
      </c>
      <c r="D603" s="19" t="str">
        <f>IF('Step 12 - Legal'!B50="","",'Step 12 - Legal'!G50)</f>
        <v/>
      </c>
      <c r="E603" s="19" t="str">
        <f>IF('Step 12 - Legal'!B50="","",'Step 12 - Legal'!H50)</f>
        <v/>
      </c>
      <c r="F603" s="20" t="str">
        <f>IF('Step 12 - Legal'!B50="","",IF('Step 12 - Legal'!C50="","","Fund Code"))</f>
        <v/>
      </c>
      <c r="G603" s="19" t="str">
        <f>IF('Step 12 - Legal'!B50="","",IF('Step 12 - Legal'!C50="","","Equals"))</f>
        <v/>
      </c>
      <c r="H603" s="20" t="str">
        <f>IF('Step 12 - Legal'!B50="","",IF('Step 12 - Legal'!C50="","",'Step 12 - Legal'!C50))</f>
        <v/>
      </c>
      <c r="I603" s="20" t="str">
        <f>IF('Step 12 - Legal'!B50="","","Organization Code")</f>
        <v/>
      </c>
      <c r="J603" s="19" t="str">
        <f>IF('Step 12 - Legal'!B50="","","Equals")</f>
        <v/>
      </c>
      <c r="K603" s="20" t="str">
        <f>IF('Step 12 - Legal'!B50="","",'Step 12 - Legal'!D50)</f>
        <v/>
      </c>
      <c r="L603" s="20" t="str">
        <f>IF('Step 12 - Legal'!B50="","","Other Criteria")</f>
        <v/>
      </c>
      <c r="M603" s="19" t="str">
        <f>IF('Step 12 - Legal'!B50="","","Equals")</f>
        <v/>
      </c>
      <c r="N603" s="20" t="str">
        <f>IF('Step 12 - Legal'!B50="","",'Step 12 - Legal'!E50)</f>
        <v/>
      </c>
      <c r="O603" s="20" t="str">
        <f>IF('Step 12 - Legal'!B50="","",IF('Step 12 - Legal'!F50="","","Total"))</f>
        <v/>
      </c>
      <c r="P603" s="19" t="str">
        <f>IF('Step 12 - Legal'!B50="","",IF('Step 12 - Legal'!F50="","","&gt;="))</f>
        <v/>
      </c>
      <c r="Q603" s="20" t="str">
        <f>IF('Step 12 - Legal'!B50="","",IF('Step 12 - Legal'!F50="","",'Step 12 - Legal'!F50))</f>
        <v/>
      </c>
      <c r="R603" s="20" t="str">
        <f>""</f>
        <v/>
      </c>
      <c r="S603" s="20" t="str">
        <f>""</f>
        <v/>
      </c>
      <c r="T603" s="20" t="str">
        <f>""</f>
        <v/>
      </c>
      <c r="U603" s="20" t="str">
        <f>IF('Step 12 - Legal'!B50="","",'Step 12 - Legal'!I50)</f>
        <v/>
      </c>
      <c r="V603" s="19" t="str">
        <f>IF('Step 12 - Legal'!B50="","",'Step 12 - Legal'!K50)</f>
        <v/>
      </c>
      <c r="W603" s="20" t="str">
        <f>IF('Step 12 - Legal'!B50="","",'Step 12 - Legal'!L50)</f>
        <v/>
      </c>
      <c r="X603" s="19" t="str">
        <f>IF('Step 12 - Legal'!B50="","",'Step 12 - Legal'!N50)</f>
        <v/>
      </c>
      <c r="Y603" s="20" t="str">
        <f>""</f>
        <v/>
      </c>
      <c r="Z603" s="20" t="str">
        <f>""</f>
        <v/>
      </c>
      <c r="AA603" s="20" t="str">
        <f>""</f>
        <v/>
      </c>
      <c r="AB603" s="20" t="str">
        <f>""</f>
        <v/>
      </c>
      <c r="AC603" s="20" t="str">
        <f>""</f>
        <v/>
      </c>
      <c r="AD603" s="20" t="str">
        <f>""</f>
        <v/>
      </c>
      <c r="AE603" s="20" t="str">
        <f>""</f>
        <v/>
      </c>
      <c r="AF603" s="20" t="str">
        <f>""</f>
        <v/>
      </c>
      <c r="AG603" s="20" t="str">
        <f>""</f>
        <v/>
      </c>
      <c r="AH603" s="20" t="str">
        <f>""</f>
        <v/>
      </c>
      <c r="AI603" s="20" t="str">
        <f>""</f>
        <v/>
      </c>
      <c r="AJ603" s="20" t="str">
        <f>""</f>
        <v/>
      </c>
      <c r="AK603" s="20" t="str">
        <f>""</f>
        <v/>
      </c>
      <c r="AL603" s="20" t="str">
        <f>""</f>
        <v/>
      </c>
      <c r="AM603" s="20" t="str">
        <f>""</f>
        <v/>
      </c>
    </row>
    <row r="604" spans="1:39" ht="15.75" customHeight="1" x14ac:dyDescent="0.25">
      <c r="A604" s="17" t="str">
        <f>IF('Step 12 - Legal'!B51="","","Active")</f>
        <v/>
      </c>
      <c r="B604" s="18" t="str">
        <f>IF('Step 12 - Legal'!B51="","",'Step 12 - Legal'!B51)</f>
        <v/>
      </c>
      <c r="C604" s="18" t="str">
        <f>IF('Step 12 - Legal'!B51="","",'Step 12 - Legal'!B51)</f>
        <v/>
      </c>
      <c r="D604" s="17" t="str">
        <f>IF('Step 12 - Legal'!B51="","",'Step 12 - Legal'!G51)</f>
        <v/>
      </c>
      <c r="E604" s="17" t="str">
        <f>IF('Step 12 - Legal'!B51="","",'Step 12 - Legal'!H51)</f>
        <v/>
      </c>
      <c r="F604" s="18" t="str">
        <f>IF('Step 12 - Legal'!B51="","",IF('Step 12 - Legal'!C51="","","Fund Code"))</f>
        <v/>
      </c>
      <c r="G604" s="17" t="str">
        <f>IF('Step 12 - Legal'!B51="","",IF('Step 12 - Legal'!C51="","","Equals"))</f>
        <v/>
      </c>
      <c r="H604" s="18" t="str">
        <f>IF('Step 12 - Legal'!B51="","",IF('Step 12 - Legal'!C51="","",'Step 12 - Legal'!C51))</f>
        <v/>
      </c>
      <c r="I604" s="18" t="str">
        <f>IF('Step 12 - Legal'!B51="","","Organization Code")</f>
        <v/>
      </c>
      <c r="J604" s="17" t="str">
        <f>IF('Step 12 - Legal'!B51="","","Equals")</f>
        <v/>
      </c>
      <c r="K604" s="18" t="str">
        <f>IF('Step 12 - Legal'!B51="","",'Step 12 - Legal'!D51)</f>
        <v/>
      </c>
      <c r="L604" s="18" t="str">
        <f>IF('Step 12 - Legal'!B51="","","Other Criteria")</f>
        <v/>
      </c>
      <c r="M604" s="17" t="str">
        <f>IF('Step 12 - Legal'!B51="","","Equals")</f>
        <v/>
      </c>
      <c r="N604" s="18" t="str">
        <f>IF('Step 12 - Legal'!B51="","",'Step 12 - Legal'!E51)</f>
        <v/>
      </c>
      <c r="O604" s="18" t="str">
        <f>IF('Step 12 - Legal'!B51="","",IF('Step 12 - Legal'!F51="","","Total"))</f>
        <v/>
      </c>
      <c r="P604" s="17" t="str">
        <f>IF('Step 12 - Legal'!B51="","",IF('Step 12 - Legal'!F51="","","&gt;="))</f>
        <v/>
      </c>
      <c r="Q604" s="18" t="str">
        <f>IF('Step 12 - Legal'!B51="","",IF('Step 12 - Legal'!F51="","",'Step 12 - Legal'!F51))</f>
        <v/>
      </c>
      <c r="R604" s="18" t="str">
        <f>""</f>
        <v/>
      </c>
      <c r="S604" s="18" t="str">
        <f>""</f>
        <v/>
      </c>
      <c r="T604" s="18" t="str">
        <f>""</f>
        <v/>
      </c>
      <c r="U604" s="18" t="str">
        <f>IF('Step 12 - Legal'!B51="","",'Step 12 - Legal'!I51)</f>
        <v/>
      </c>
      <c r="V604" s="17" t="str">
        <f>IF('Step 12 - Legal'!B51="","",'Step 12 - Legal'!K51)</f>
        <v/>
      </c>
      <c r="W604" s="18" t="str">
        <f>IF('Step 12 - Legal'!B51="","",'Step 12 - Legal'!L51)</f>
        <v/>
      </c>
      <c r="X604" s="17" t="str">
        <f>IF('Step 12 - Legal'!B51="","",'Step 12 - Legal'!N51)</f>
        <v/>
      </c>
      <c r="Y604" s="18" t="str">
        <f>""</f>
        <v/>
      </c>
      <c r="Z604" s="18" t="str">
        <f>""</f>
        <v/>
      </c>
      <c r="AA604" s="18" t="str">
        <f>""</f>
        <v/>
      </c>
      <c r="AB604" s="18" t="str">
        <f>""</f>
        <v/>
      </c>
      <c r="AC604" s="18" t="str">
        <f>""</f>
        <v/>
      </c>
      <c r="AD604" s="18" t="str">
        <f>""</f>
        <v/>
      </c>
      <c r="AE604" s="18" t="str">
        <f>""</f>
        <v/>
      </c>
      <c r="AF604" s="18" t="str">
        <f>""</f>
        <v/>
      </c>
      <c r="AG604" s="18" t="str">
        <f>""</f>
        <v/>
      </c>
      <c r="AH604" s="18" t="str">
        <f>""</f>
        <v/>
      </c>
      <c r="AI604" s="18" t="str">
        <f>""</f>
        <v/>
      </c>
      <c r="AJ604" s="18" t="str">
        <f>""</f>
        <v/>
      </c>
      <c r="AK604" s="18" t="str">
        <f>""</f>
        <v/>
      </c>
      <c r="AL604" s="18" t="str">
        <f>""</f>
        <v/>
      </c>
      <c r="AM604" s="18" t="str">
        <f>""</f>
        <v/>
      </c>
    </row>
    <row r="605" spans="1:39" ht="15.75" customHeight="1" x14ac:dyDescent="0.25">
      <c r="A605" s="19" t="str">
        <f>IF('Step 12 - Legal'!B52="","","Active")</f>
        <v/>
      </c>
      <c r="B605" s="20" t="str">
        <f>IF('Step 12 - Legal'!B52="","",'Step 12 - Legal'!B52)</f>
        <v/>
      </c>
      <c r="C605" s="20" t="str">
        <f>IF('Step 12 - Legal'!B52="","",'Step 12 - Legal'!B52)</f>
        <v/>
      </c>
      <c r="D605" s="19" t="str">
        <f>IF('Step 12 - Legal'!B52="","",'Step 12 - Legal'!G52)</f>
        <v/>
      </c>
      <c r="E605" s="19" t="str">
        <f>IF('Step 12 - Legal'!B52="","",'Step 12 - Legal'!H52)</f>
        <v/>
      </c>
      <c r="F605" s="20" t="str">
        <f>IF('Step 12 - Legal'!B52="","",IF('Step 12 - Legal'!C52="","","Fund Code"))</f>
        <v/>
      </c>
      <c r="G605" s="19" t="str">
        <f>IF('Step 12 - Legal'!B52="","",IF('Step 12 - Legal'!C52="","","Equals"))</f>
        <v/>
      </c>
      <c r="H605" s="20" t="str">
        <f>IF('Step 12 - Legal'!B52="","",IF('Step 12 - Legal'!C52="","",'Step 12 - Legal'!C52))</f>
        <v/>
      </c>
      <c r="I605" s="20" t="str">
        <f>IF('Step 12 - Legal'!B52="","","Organization Code")</f>
        <v/>
      </c>
      <c r="J605" s="19" t="str">
        <f>IF('Step 12 - Legal'!B52="","","Equals")</f>
        <v/>
      </c>
      <c r="K605" s="20" t="str">
        <f>IF('Step 12 - Legal'!B52="","",'Step 12 - Legal'!D52)</f>
        <v/>
      </c>
      <c r="L605" s="20" t="str">
        <f>IF('Step 12 - Legal'!B52="","","Other Criteria")</f>
        <v/>
      </c>
      <c r="M605" s="19" t="str">
        <f>IF('Step 12 - Legal'!B52="","","Equals")</f>
        <v/>
      </c>
      <c r="N605" s="20" t="str">
        <f>IF('Step 12 - Legal'!B52="","",'Step 12 - Legal'!E52)</f>
        <v/>
      </c>
      <c r="O605" s="20" t="str">
        <f>IF('Step 12 - Legal'!B52="","",IF('Step 12 - Legal'!F52="","","Total"))</f>
        <v/>
      </c>
      <c r="P605" s="19" t="str">
        <f>IF('Step 12 - Legal'!B52="","",IF('Step 12 - Legal'!F52="","","&gt;="))</f>
        <v/>
      </c>
      <c r="Q605" s="20" t="str">
        <f>IF('Step 12 - Legal'!B52="","",IF('Step 12 - Legal'!F52="","",'Step 12 - Legal'!F52))</f>
        <v/>
      </c>
      <c r="R605" s="20" t="str">
        <f>""</f>
        <v/>
      </c>
      <c r="S605" s="20" t="str">
        <f>""</f>
        <v/>
      </c>
      <c r="T605" s="20" t="str">
        <f>""</f>
        <v/>
      </c>
      <c r="U605" s="20" t="str">
        <f>IF('Step 12 - Legal'!B52="","",'Step 12 - Legal'!I52)</f>
        <v/>
      </c>
      <c r="V605" s="19" t="str">
        <f>IF('Step 12 - Legal'!B52="","",'Step 12 - Legal'!K52)</f>
        <v/>
      </c>
      <c r="W605" s="20" t="str">
        <f>IF('Step 12 - Legal'!B52="","",'Step 12 - Legal'!L52)</f>
        <v/>
      </c>
      <c r="X605" s="19" t="str">
        <f>IF('Step 12 - Legal'!B52="","",'Step 12 - Legal'!N52)</f>
        <v/>
      </c>
      <c r="Y605" s="20" t="str">
        <f>""</f>
        <v/>
      </c>
      <c r="Z605" s="20" t="str">
        <f>""</f>
        <v/>
      </c>
      <c r="AA605" s="20" t="str">
        <f>""</f>
        <v/>
      </c>
      <c r="AB605" s="20" t="str">
        <f>""</f>
        <v/>
      </c>
      <c r="AC605" s="20" t="str">
        <f>""</f>
        <v/>
      </c>
      <c r="AD605" s="20" t="str">
        <f>""</f>
        <v/>
      </c>
      <c r="AE605" s="20" t="str">
        <f>""</f>
        <v/>
      </c>
      <c r="AF605" s="20" t="str">
        <f>""</f>
        <v/>
      </c>
      <c r="AG605" s="20" t="str">
        <f>""</f>
        <v/>
      </c>
      <c r="AH605" s="20" t="str">
        <f>""</f>
        <v/>
      </c>
      <c r="AI605" s="20" t="str">
        <f>""</f>
        <v/>
      </c>
      <c r="AJ605" s="20" t="str">
        <f>""</f>
        <v/>
      </c>
      <c r="AK605" s="20" t="str">
        <f>""</f>
        <v/>
      </c>
      <c r="AL605" s="20" t="str">
        <f>""</f>
        <v/>
      </c>
      <c r="AM605" s="20" t="str">
        <f>""</f>
        <v/>
      </c>
    </row>
    <row r="606" spans="1:39" ht="15.75" customHeight="1" x14ac:dyDescent="0.25">
      <c r="A606" s="17" t="str">
        <f>IF('Step 12 - Legal'!B53="","","Active")</f>
        <v/>
      </c>
      <c r="B606" s="18" t="str">
        <f>IF('Step 12 - Legal'!B53="","",'Step 12 - Legal'!B53)</f>
        <v/>
      </c>
      <c r="C606" s="18" t="str">
        <f>IF('Step 12 - Legal'!B53="","",'Step 12 - Legal'!B53)</f>
        <v/>
      </c>
      <c r="D606" s="17" t="str">
        <f>IF('Step 12 - Legal'!B53="","",'Step 12 - Legal'!G53)</f>
        <v/>
      </c>
      <c r="E606" s="17" t="str">
        <f>IF('Step 12 - Legal'!B53="","",'Step 12 - Legal'!H53)</f>
        <v/>
      </c>
      <c r="F606" s="18" t="str">
        <f>IF('Step 12 - Legal'!B53="","",IF('Step 12 - Legal'!C53="","","Fund Code"))</f>
        <v/>
      </c>
      <c r="G606" s="17" t="str">
        <f>IF('Step 12 - Legal'!B53="","",IF('Step 12 - Legal'!C53="","","Equals"))</f>
        <v/>
      </c>
      <c r="H606" s="18" t="str">
        <f>IF('Step 12 - Legal'!B53="","",IF('Step 12 - Legal'!C53="","",'Step 12 - Legal'!C53))</f>
        <v/>
      </c>
      <c r="I606" s="18" t="str">
        <f>IF('Step 12 - Legal'!B53="","","Organization Code")</f>
        <v/>
      </c>
      <c r="J606" s="17" t="str">
        <f>IF('Step 12 - Legal'!B53="","","Equals")</f>
        <v/>
      </c>
      <c r="K606" s="18" t="str">
        <f>IF('Step 12 - Legal'!B53="","",'Step 12 - Legal'!D53)</f>
        <v/>
      </c>
      <c r="L606" s="18" t="str">
        <f>IF('Step 12 - Legal'!B53="","","Other Criteria")</f>
        <v/>
      </c>
      <c r="M606" s="17" t="str">
        <f>IF('Step 12 - Legal'!B53="","","Equals")</f>
        <v/>
      </c>
      <c r="N606" s="18" t="str">
        <f>IF('Step 12 - Legal'!B53="","",'Step 12 - Legal'!E53)</f>
        <v/>
      </c>
      <c r="O606" s="18" t="str">
        <f>IF('Step 12 - Legal'!B53="","",IF('Step 12 - Legal'!F53="","","Total"))</f>
        <v/>
      </c>
      <c r="P606" s="17" t="str">
        <f>IF('Step 12 - Legal'!B53="","",IF('Step 12 - Legal'!F53="","","&gt;="))</f>
        <v/>
      </c>
      <c r="Q606" s="18" t="str">
        <f>IF('Step 12 - Legal'!B53="","",IF('Step 12 - Legal'!F53="","",'Step 12 - Legal'!F53))</f>
        <v/>
      </c>
      <c r="R606" s="18" t="str">
        <f>""</f>
        <v/>
      </c>
      <c r="S606" s="18" t="str">
        <f>""</f>
        <v/>
      </c>
      <c r="T606" s="18" t="str">
        <f>""</f>
        <v/>
      </c>
      <c r="U606" s="18" t="str">
        <f>IF('Step 12 - Legal'!B53="","",'Step 12 - Legal'!I53)</f>
        <v/>
      </c>
      <c r="V606" s="17" t="str">
        <f>IF('Step 12 - Legal'!B53="","",'Step 12 - Legal'!K53)</f>
        <v/>
      </c>
      <c r="W606" s="18" t="str">
        <f>IF('Step 12 - Legal'!B53="","",'Step 12 - Legal'!L53)</f>
        <v/>
      </c>
      <c r="X606" s="17" t="str">
        <f>IF('Step 12 - Legal'!B53="","",'Step 12 - Legal'!N53)</f>
        <v/>
      </c>
      <c r="Y606" s="18" t="str">
        <f>""</f>
        <v/>
      </c>
      <c r="Z606" s="18" t="str">
        <f>""</f>
        <v/>
      </c>
      <c r="AA606" s="18" t="str">
        <f>""</f>
        <v/>
      </c>
      <c r="AB606" s="18" t="str">
        <f>""</f>
        <v/>
      </c>
      <c r="AC606" s="18" t="str">
        <f>""</f>
        <v/>
      </c>
      <c r="AD606" s="18" t="str">
        <f>""</f>
        <v/>
      </c>
      <c r="AE606" s="18" t="str">
        <f>""</f>
        <v/>
      </c>
      <c r="AF606" s="18" t="str">
        <f>""</f>
        <v/>
      </c>
      <c r="AG606" s="18" t="str">
        <f>""</f>
        <v/>
      </c>
      <c r="AH606" s="18" t="str">
        <f>""</f>
        <v/>
      </c>
      <c r="AI606" s="18" t="str">
        <f>""</f>
        <v/>
      </c>
      <c r="AJ606" s="18" t="str">
        <f>""</f>
        <v/>
      </c>
      <c r="AK606" s="18" t="str">
        <f>""</f>
        <v/>
      </c>
      <c r="AL606" s="18" t="str">
        <f>""</f>
        <v/>
      </c>
      <c r="AM606" s="18" t="str">
        <f>""</f>
        <v/>
      </c>
    </row>
    <row r="607" spans="1:39" ht="13.5" customHeight="1" x14ac:dyDescent="0.25">
      <c r="A607" s="29" t="s">
        <v>199</v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</row>
    <row r="608" spans="1:39" ht="15.75" customHeight="1" x14ac:dyDescent="0.25">
      <c r="A608" s="17" t="str">
        <f>IF('Step 13 - Compliance'!B5="","","Active")</f>
        <v/>
      </c>
      <c r="B608" s="18" t="str">
        <f>IF('Step 13 - Compliance'!B5="","",'Step 13 - Compliance'!B5)</f>
        <v/>
      </c>
      <c r="C608" s="18" t="str">
        <f>IF('Step 13 - Compliance'!B5="","",'Step 13 - Compliance'!B5)</f>
        <v/>
      </c>
      <c r="D608" s="17" t="str">
        <f>IF('Step 13 - Compliance'!B5="","",'Step 13 - Compliance'!G5)</f>
        <v/>
      </c>
      <c r="E608" s="17" t="str">
        <f>IF('Step 13 - Compliance'!B5="","",'Step 13 - Compliance'!H5)</f>
        <v/>
      </c>
      <c r="F608" s="18" t="str">
        <f>IF('Step 13 - Compliance'!B5="","",IF('Step 13 - Compliance'!C5="","","Fund Code"))</f>
        <v/>
      </c>
      <c r="G608" s="17" t="str">
        <f>IF('Step 13 - Compliance'!B5="","",IF('Step 13 - Compliance'!C5="","","Equals"))</f>
        <v/>
      </c>
      <c r="H608" s="18" t="str">
        <f>IF('Step 13 - Compliance'!B5="","",IF('Step 13 - Compliance'!C5="","",'Step 13 - Compliance'!C5))</f>
        <v/>
      </c>
      <c r="I608" s="18" t="str">
        <f>IF('Step 13 - Compliance'!B5="","","Organization Code")</f>
        <v/>
      </c>
      <c r="J608" s="17" t="str">
        <f>IF('Step 13 - Compliance'!B5="","","Equals")</f>
        <v/>
      </c>
      <c r="K608" s="18" t="str">
        <f>IF('Step 13 - Compliance'!B5="","",'Step 13 - Compliance'!D5)</f>
        <v/>
      </c>
      <c r="L608" s="18" t="str">
        <f>IF('Step 13 - Compliance'!B5="","","Other Criteria")</f>
        <v/>
      </c>
      <c r="M608" s="17" t="str">
        <f>IF('Step 13 - Compliance'!B5="","","Equals")</f>
        <v/>
      </c>
      <c r="N608" s="18" t="str">
        <f>IF('Step 13 - Compliance'!B5="","",'Step 13 - Compliance'!E5)</f>
        <v/>
      </c>
      <c r="O608" s="18" t="str">
        <f>IF('Step 13 - Compliance'!B5="","",IF('Step 13 - Compliance'!F5="","","Total"))</f>
        <v/>
      </c>
      <c r="P608" s="17" t="str">
        <f>IF('Step 13 - Compliance'!B5="","",IF('Step 13 - Compliance'!F5="","","&gt;="))</f>
        <v/>
      </c>
      <c r="Q608" s="18" t="str">
        <f>IF('Step 13 - Compliance'!B5="","",IF('Step 13 - Compliance'!F5="","",'Step 13 - Compliance'!F5))</f>
        <v/>
      </c>
      <c r="R608" s="18" t="str">
        <f>""</f>
        <v/>
      </c>
      <c r="S608" s="18" t="str">
        <f>""</f>
        <v/>
      </c>
      <c r="T608" s="18" t="str">
        <f>""</f>
        <v/>
      </c>
      <c r="U608" s="18" t="str">
        <f>IF('Step 13 - Compliance'!B5="","",'Step 13 - Compliance'!I5)</f>
        <v/>
      </c>
      <c r="V608" s="17" t="str">
        <f>IF('Step 13 - Compliance'!B5="","",'Step 13 - Compliance'!K5)</f>
        <v/>
      </c>
      <c r="W608" s="18" t="str">
        <f>IF('Step 13 - Compliance'!B5="","",'Step 13 - Compliance'!L5)</f>
        <v/>
      </c>
      <c r="X608" s="17" t="str">
        <f>IF('Step 13 - Compliance'!B5="","",'Step 13 - Compliance'!N5)</f>
        <v/>
      </c>
      <c r="Y608" s="18" t="str">
        <f>""</f>
        <v/>
      </c>
      <c r="Z608" s="18" t="str">
        <f>""</f>
        <v/>
      </c>
      <c r="AA608" s="18" t="str">
        <f>""</f>
        <v/>
      </c>
      <c r="AB608" s="18" t="str">
        <f>""</f>
        <v/>
      </c>
      <c r="AC608" s="18" t="str">
        <f>""</f>
        <v/>
      </c>
      <c r="AD608" s="18" t="str">
        <f>""</f>
        <v/>
      </c>
      <c r="AE608" s="18" t="str">
        <f>""</f>
        <v/>
      </c>
      <c r="AF608" s="18" t="str">
        <f>""</f>
        <v/>
      </c>
      <c r="AG608" s="18" t="str">
        <f>""</f>
        <v/>
      </c>
      <c r="AH608" s="18" t="str">
        <f>""</f>
        <v/>
      </c>
      <c r="AI608" s="18" t="str">
        <f>""</f>
        <v/>
      </c>
      <c r="AJ608" s="18" t="str">
        <f>""</f>
        <v/>
      </c>
      <c r="AK608" s="18" t="str">
        <f>""</f>
        <v/>
      </c>
      <c r="AL608" s="18" t="str">
        <f>""</f>
        <v/>
      </c>
      <c r="AM608" s="18" t="str">
        <f>""</f>
        <v/>
      </c>
    </row>
    <row r="609" spans="1:39" ht="15.75" customHeight="1" x14ac:dyDescent="0.25">
      <c r="A609" s="19" t="str">
        <f>IF('Step 13 - Compliance'!B6="","","Active")</f>
        <v/>
      </c>
      <c r="B609" s="20" t="str">
        <f>IF('Step 13 - Compliance'!B6="","",'Step 13 - Compliance'!B6)</f>
        <v/>
      </c>
      <c r="C609" s="20" t="str">
        <f>IF('Step 13 - Compliance'!B6="","",'Step 13 - Compliance'!B6)</f>
        <v/>
      </c>
      <c r="D609" s="19" t="str">
        <f>IF('Step 13 - Compliance'!B6="","",'Step 13 - Compliance'!G6)</f>
        <v/>
      </c>
      <c r="E609" s="19" t="str">
        <f>IF('Step 13 - Compliance'!B6="","",'Step 13 - Compliance'!H6)</f>
        <v/>
      </c>
      <c r="F609" s="20" t="str">
        <f>IF('Step 13 - Compliance'!B6="","",IF('Step 13 - Compliance'!C6="","","Fund Code"))</f>
        <v/>
      </c>
      <c r="G609" s="19" t="str">
        <f>IF('Step 13 - Compliance'!B6="","",IF('Step 13 - Compliance'!C6="","","Equals"))</f>
        <v/>
      </c>
      <c r="H609" s="20" t="str">
        <f>IF('Step 13 - Compliance'!B6="","",IF('Step 13 - Compliance'!C6="","",'Step 13 - Compliance'!C6))</f>
        <v/>
      </c>
      <c r="I609" s="20" t="str">
        <f>IF('Step 13 - Compliance'!B6="","","Organization Code")</f>
        <v/>
      </c>
      <c r="J609" s="19" t="str">
        <f>IF('Step 13 - Compliance'!B6="","","Equals")</f>
        <v/>
      </c>
      <c r="K609" s="20" t="str">
        <f>IF('Step 13 - Compliance'!B6="","",'Step 13 - Compliance'!D6)</f>
        <v/>
      </c>
      <c r="L609" s="20" t="str">
        <f>IF('Step 13 - Compliance'!B6="","","Other Criteria")</f>
        <v/>
      </c>
      <c r="M609" s="19" t="str">
        <f>IF('Step 13 - Compliance'!B6="","","Equals")</f>
        <v/>
      </c>
      <c r="N609" s="20" t="str">
        <f>IF('Step 13 - Compliance'!B6="","",'Step 13 - Compliance'!E6)</f>
        <v/>
      </c>
      <c r="O609" s="20" t="str">
        <f>IF('Step 13 - Compliance'!B6="","",IF('Step 13 - Compliance'!F6="","","Total"))</f>
        <v/>
      </c>
      <c r="P609" s="19" t="str">
        <f>IF('Step 13 - Compliance'!B6="","",IF('Step 13 - Compliance'!F6="","","&gt;="))</f>
        <v/>
      </c>
      <c r="Q609" s="20" t="str">
        <f>IF('Step 13 - Compliance'!B6="","",IF('Step 13 - Compliance'!F6="","",'Step 13 - Compliance'!F6))</f>
        <v/>
      </c>
      <c r="R609" s="20" t="str">
        <f>""</f>
        <v/>
      </c>
      <c r="S609" s="20" t="str">
        <f>""</f>
        <v/>
      </c>
      <c r="T609" s="20" t="str">
        <f>""</f>
        <v/>
      </c>
      <c r="U609" s="20" t="str">
        <f>IF('Step 13 - Compliance'!B6="","",'Step 13 - Compliance'!I6)</f>
        <v/>
      </c>
      <c r="V609" s="19" t="str">
        <f>IF('Step 13 - Compliance'!B6="","",'Step 13 - Compliance'!K6)</f>
        <v/>
      </c>
      <c r="W609" s="20" t="str">
        <f>IF('Step 13 - Compliance'!B6="","",'Step 13 - Compliance'!L6)</f>
        <v/>
      </c>
      <c r="X609" s="19" t="str">
        <f>IF('Step 13 - Compliance'!B6="","",'Step 13 - Compliance'!N6)</f>
        <v/>
      </c>
      <c r="Y609" s="20" t="str">
        <f>""</f>
        <v/>
      </c>
      <c r="Z609" s="20" t="str">
        <f>""</f>
        <v/>
      </c>
      <c r="AA609" s="20" t="str">
        <f>""</f>
        <v/>
      </c>
      <c r="AB609" s="20" t="str">
        <f>""</f>
        <v/>
      </c>
      <c r="AC609" s="20" t="str">
        <f>""</f>
        <v/>
      </c>
      <c r="AD609" s="20" t="str">
        <f>""</f>
        <v/>
      </c>
      <c r="AE609" s="20" t="str">
        <f>""</f>
        <v/>
      </c>
      <c r="AF609" s="20" t="str">
        <f>""</f>
        <v/>
      </c>
      <c r="AG609" s="20" t="str">
        <f>""</f>
        <v/>
      </c>
      <c r="AH609" s="20" t="str">
        <f>""</f>
        <v/>
      </c>
      <c r="AI609" s="20" t="str">
        <f>""</f>
        <v/>
      </c>
      <c r="AJ609" s="20" t="str">
        <f>""</f>
        <v/>
      </c>
      <c r="AK609" s="20" t="str">
        <f>""</f>
        <v/>
      </c>
      <c r="AL609" s="20" t="str">
        <f>""</f>
        <v/>
      </c>
      <c r="AM609" s="20" t="str">
        <f>""</f>
        <v/>
      </c>
    </row>
    <row r="610" spans="1:39" ht="15.75" customHeight="1" x14ac:dyDescent="0.25">
      <c r="A610" s="17" t="str">
        <f>IF('Step 13 - Compliance'!B7="","","Active")</f>
        <v/>
      </c>
      <c r="B610" s="18" t="str">
        <f>IF('Step 13 - Compliance'!B7="","",'Step 13 - Compliance'!B7)</f>
        <v/>
      </c>
      <c r="C610" s="18" t="str">
        <f>IF('Step 13 - Compliance'!B7="","",'Step 13 - Compliance'!B7)</f>
        <v/>
      </c>
      <c r="D610" s="17" t="str">
        <f>IF('Step 13 - Compliance'!B7="","",'Step 13 - Compliance'!G7)</f>
        <v/>
      </c>
      <c r="E610" s="17" t="str">
        <f>IF('Step 13 - Compliance'!B7="","",'Step 13 - Compliance'!H7)</f>
        <v/>
      </c>
      <c r="F610" s="18" t="str">
        <f>IF('Step 13 - Compliance'!B7="","",IF('Step 13 - Compliance'!C7="","","Fund Code"))</f>
        <v/>
      </c>
      <c r="G610" s="17" t="str">
        <f>IF('Step 13 - Compliance'!B7="","",IF('Step 13 - Compliance'!C7="","","Equals"))</f>
        <v/>
      </c>
      <c r="H610" s="18" t="str">
        <f>IF('Step 13 - Compliance'!B7="","",IF('Step 13 - Compliance'!C7="","",'Step 13 - Compliance'!C7))</f>
        <v/>
      </c>
      <c r="I610" s="18" t="str">
        <f>IF('Step 13 - Compliance'!B7="","","Organization Code")</f>
        <v/>
      </c>
      <c r="J610" s="17" t="str">
        <f>IF('Step 13 - Compliance'!B7="","","Equals")</f>
        <v/>
      </c>
      <c r="K610" s="18" t="str">
        <f>IF('Step 13 - Compliance'!B7="","",'Step 13 - Compliance'!D7)</f>
        <v/>
      </c>
      <c r="L610" s="18" t="str">
        <f>IF('Step 13 - Compliance'!B7="","","Other Criteria")</f>
        <v/>
      </c>
      <c r="M610" s="17" t="str">
        <f>IF('Step 13 - Compliance'!B7="","","Equals")</f>
        <v/>
      </c>
      <c r="N610" s="18" t="str">
        <f>IF('Step 13 - Compliance'!B7="","",'Step 13 - Compliance'!E7)</f>
        <v/>
      </c>
      <c r="O610" s="18" t="str">
        <f>IF('Step 13 - Compliance'!B7="","",IF('Step 13 - Compliance'!F7="","","Total"))</f>
        <v/>
      </c>
      <c r="P610" s="17" t="str">
        <f>IF('Step 13 - Compliance'!B7="","",IF('Step 13 - Compliance'!F7="","","&gt;="))</f>
        <v/>
      </c>
      <c r="Q610" s="18" t="str">
        <f>IF('Step 13 - Compliance'!B7="","",IF('Step 13 - Compliance'!F7="","",'Step 13 - Compliance'!F7))</f>
        <v/>
      </c>
      <c r="R610" s="18" t="str">
        <f>""</f>
        <v/>
      </c>
      <c r="S610" s="18" t="str">
        <f>""</f>
        <v/>
      </c>
      <c r="T610" s="18" t="str">
        <f>""</f>
        <v/>
      </c>
      <c r="U610" s="18" t="str">
        <f>IF('Step 13 - Compliance'!B7="","",'Step 13 - Compliance'!I7)</f>
        <v/>
      </c>
      <c r="V610" s="17" t="str">
        <f>IF('Step 13 - Compliance'!B7="","",'Step 13 - Compliance'!K7)</f>
        <v/>
      </c>
      <c r="W610" s="18" t="str">
        <f>IF('Step 13 - Compliance'!B7="","",'Step 13 - Compliance'!L7)</f>
        <v/>
      </c>
      <c r="X610" s="17" t="str">
        <f>IF('Step 13 - Compliance'!B7="","",'Step 13 - Compliance'!N7)</f>
        <v/>
      </c>
      <c r="Y610" s="18" t="str">
        <f>""</f>
        <v/>
      </c>
      <c r="Z610" s="18" t="str">
        <f>""</f>
        <v/>
      </c>
      <c r="AA610" s="18" t="str">
        <f>""</f>
        <v/>
      </c>
      <c r="AB610" s="18" t="str">
        <f>""</f>
        <v/>
      </c>
      <c r="AC610" s="18" t="str">
        <f>""</f>
        <v/>
      </c>
      <c r="AD610" s="18" t="str">
        <f>""</f>
        <v/>
      </c>
      <c r="AE610" s="18" t="str">
        <f>""</f>
        <v/>
      </c>
      <c r="AF610" s="18" t="str">
        <f>""</f>
        <v/>
      </c>
      <c r="AG610" s="18" t="str">
        <f>""</f>
        <v/>
      </c>
      <c r="AH610" s="18" t="str">
        <f>""</f>
        <v/>
      </c>
      <c r="AI610" s="18" t="str">
        <f>""</f>
        <v/>
      </c>
      <c r="AJ610" s="18" t="str">
        <f>""</f>
        <v/>
      </c>
      <c r="AK610" s="18" t="str">
        <f>""</f>
        <v/>
      </c>
      <c r="AL610" s="18" t="str">
        <f>""</f>
        <v/>
      </c>
      <c r="AM610" s="18" t="str">
        <f>""</f>
        <v/>
      </c>
    </row>
    <row r="611" spans="1:39" ht="15.75" customHeight="1" x14ac:dyDescent="0.25">
      <c r="A611" s="19" t="str">
        <f>IF('Step 13 - Compliance'!B8="","","Active")</f>
        <v/>
      </c>
      <c r="B611" s="20" t="str">
        <f>IF('Step 13 - Compliance'!B8="","",'Step 13 - Compliance'!B8)</f>
        <v/>
      </c>
      <c r="C611" s="20" t="str">
        <f>IF('Step 13 - Compliance'!B8="","",'Step 13 - Compliance'!B8)</f>
        <v/>
      </c>
      <c r="D611" s="19" t="str">
        <f>IF('Step 13 - Compliance'!B8="","",'Step 13 - Compliance'!G8)</f>
        <v/>
      </c>
      <c r="E611" s="19" t="str">
        <f>IF('Step 13 - Compliance'!B8="","",'Step 13 - Compliance'!H8)</f>
        <v/>
      </c>
      <c r="F611" s="20" t="str">
        <f>IF('Step 13 - Compliance'!B8="","",IF('Step 13 - Compliance'!C8="","","Fund Code"))</f>
        <v/>
      </c>
      <c r="G611" s="19" t="str">
        <f>IF('Step 13 - Compliance'!B8="","",IF('Step 13 - Compliance'!C8="","","Equals"))</f>
        <v/>
      </c>
      <c r="H611" s="20" t="str">
        <f>IF('Step 13 - Compliance'!B8="","",IF('Step 13 - Compliance'!C8="","",'Step 13 - Compliance'!C8))</f>
        <v/>
      </c>
      <c r="I611" s="20" t="str">
        <f>IF('Step 13 - Compliance'!B8="","","Organization Code")</f>
        <v/>
      </c>
      <c r="J611" s="19" t="str">
        <f>IF('Step 13 - Compliance'!B8="","","Equals")</f>
        <v/>
      </c>
      <c r="K611" s="20" t="str">
        <f>IF('Step 13 - Compliance'!B8="","",'Step 13 - Compliance'!D8)</f>
        <v/>
      </c>
      <c r="L611" s="20" t="str">
        <f>IF('Step 13 - Compliance'!B8="","","Other Criteria")</f>
        <v/>
      </c>
      <c r="M611" s="19" t="str">
        <f>IF('Step 13 - Compliance'!B8="","","Equals")</f>
        <v/>
      </c>
      <c r="N611" s="20" t="str">
        <f>IF('Step 13 - Compliance'!B8="","",'Step 13 - Compliance'!E8)</f>
        <v/>
      </c>
      <c r="O611" s="20" t="str">
        <f>IF('Step 13 - Compliance'!B8="","",IF('Step 13 - Compliance'!F8="","","Total"))</f>
        <v/>
      </c>
      <c r="P611" s="19" t="str">
        <f>IF('Step 13 - Compliance'!B8="","",IF('Step 13 - Compliance'!F8="","","&gt;="))</f>
        <v/>
      </c>
      <c r="Q611" s="20" t="str">
        <f>IF('Step 13 - Compliance'!B8="","",IF('Step 13 - Compliance'!F8="","",'Step 13 - Compliance'!F8))</f>
        <v/>
      </c>
      <c r="R611" s="20" t="str">
        <f>""</f>
        <v/>
      </c>
      <c r="S611" s="20" t="str">
        <f>""</f>
        <v/>
      </c>
      <c r="T611" s="20" t="str">
        <f>""</f>
        <v/>
      </c>
      <c r="U611" s="20" t="str">
        <f>IF('Step 13 - Compliance'!B8="","",'Step 13 - Compliance'!I8)</f>
        <v/>
      </c>
      <c r="V611" s="19" t="str">
        <f>IF('Step 13 - Compliance'!B8="","",'Step 13 - Compliance'!K8)</f>
        <v/>
      </c>
      <c r="W611" s="20" t="str">
        <f>IF('Step 13 - Compliance'!B8="","",'Step 13 - Compliance'!L8)</f>
        <v/>
      </c>
      <c r="X611" s="19" t="str">
        <f>IF('Step 13 - Compliance'!B8="","",'Step 13 - Compliance'!N8)</f>
        <v/>
      </c>
      <c r="Y611" s="20" t="str">
        <f>""</f>
        <v/>
      </c>
      <c r="Z611" s="20" t="str">
        <f>""</f>
        <v/>
      </c>
      <c r="AA611" s="20" t="str">
        <f>""</f>
        <v/>
      </c>
      <c r="AB611" s="20" t="str">
        <f>""</f>
        <v/>
      </c>
      <c r="AC611" s="20" t="str">
        <f>""</f>
        <v/>
      </c>
      <c r="AD611" s="20" t="str">
        <f>""</f>
        <v/>
      </c>
      <c r="AE611" s="20" t="str">
        <f>""</f>
        <v/>
      </c>
      <c r="AF611" s="20" t="str">
        <f>""</f>
        <v/>
      </c>
      <c r="AG611" s="20" t="str">
        <f>""</f>
        <v/>
      </c>
      <c r="AH611" s="20" t="str">
        <f>""</f>
        <v/>
      </c>
      <c r="AI611" s="20" t="str">
        <f>""</f>
        <v/>
      </c>
      <c r="AJ611" s="20" t="str">
        <f>""</f>
        <v/>
      </c>
      <c r="AK611" s="20" t="str">
        <f>""</f>
        <v/>
      </c>
      <c r="AL611" s="20" t="str">
        <f>""</f>
        <v/>
      </c>
      <c r="AM611" s="20" t="str">
        <f>""</f>
        <v/>
      </c>
    </row>
    <row r="612" spans="1:39" ht="15.75" customHeight="1" x14ac:dyDescent="0.25">
      <c r="A612" s="17" t="str">
        <f>IF('Step 13 - Compliance'!B9="","","Active")</f>
        <v/>
      </c>
      <c r="B612" s="18" t="str">
        <f>IF('Step 13 - Compliance'!B9="","",'Step 13 - Compliance'!B9)</f>
        <v/>
      </c>
      <c r="C612" s="18" t="str">
        <f>IF('Step 13 - Compliance'!B9="","",'Step 13 - Compliance'!B9)</f>
        <v/>
      </c>
      <c r="D612" s="17" t="str">
        <f>IF('Step 13 - Compliance'!B9="","",'Step 13 - Compliance'!G9)</f>
        <v/>
      </c>
      <c r="E612" s="17" t="str">
        <f>IF('Step 13 - Compliance'!B9="","",'Step 13 - Compliance'!H9)</f>
        <v/>
      </c>
      <c r="F612" s="18" t="str">
        <f>IF('Step 13 - Compliance'!B9="","",IF('Step 13 - Compliance'!C9="","","Fund Code"))</f>
        <v/>
      </c>
      <c r="G612" s="17" t="str">
        <f>IF('Step 13 - Compliance'!B9="","",IF('Step 13 - Compliance'!C9="","","Equals"))</f>
        <v/>
      </c>
      <c r="H612" s="18" t="str">
        <f>IF('Step 13 - Compliance'!B9="","",IF('Step 13 - Compliance'!C9="","",'Step 13 - Compliance'!C9))</f>
        <v/>
      </c>
      <c r="I612" s="18" t="str">
        <f>IF('Step 13 - Compliance'!B9="","","Organization Code")</f>
        <v/>
      </c>
      <c r="J612" s="17" t="str">
        <f>IF('Step 13 - Compliance'!B9="","","Equals")</f>
        <v/>
      </c>
      <c r="K612" s="18" t="str">
        <f>IF('Step 13 - Compliance'!B9="","",'Step 13 - Compliance'!D9)</f>
        <v/>
      </c>
      <c r="L612" s="18" t="str">
        <f>IF('Step 13 - Compliance'!B9="","","Other Criteria")</f>
        <v/>
      </c>
      <c r="M612" s="17" t="str">
        <f>IF('Step 13 - Compliance'!B9="","","Equals")</f>
        <v/>
      </c>
      <c r="N612" s="18" t="str">
        <f>IF('Step 13 - Compliance'!B9="","",'Step 13 - Compliance'!E9)</f>
        <v/>
      </c>
      <c r="O612" s="18" t="str">
        <f>IF('Step 13 - Compliance'!B9="","",IF('Step 13 - Compliance'!F9="","","Total"))</f>
        <v/>
      </c>
      <c r="P612" s="17" t="str">
        <f>IF('Step 13 - Compliance'!B9="","",IF('Step 13 - Compliance'!F9="","","&gt;="))</f>
        <v/>
      </c>
      <c r="Q612" s="18" t="str">
        <f>IF('Step 13 - Compliance'!B9="","",IF('Step 13 - Compliance'!F9="","",'Step 13 - Compliance'!F9))</f>
        <v/>
      </c>
      <c r="R612" s="18" t="str">
        <f>""</f>
        <v/>
      </c>
      <c r="S612" s="18" t="str">
        <f>""</f>
        <v/>
      </c>
      <c r="T612" s="18" t="str">
        <f>""</f>
        <v/>
      </c>
      <c r="U612" s="18" t="str">
        <f>IF('Step 13 - Compliance'!B9="","",'Step 13 - Compliance'!I9)</f>
        <v/>
      </c>
      <c r="V612" s="17" t="str">
        <f>IF('Step 13 - Compliance'!B9="","",'Step 13 - Compliance'!K9)</f>
        <v/>
      </c>
      <c r="W612" s="18" t="str">
        <f>IF('Step 13 - Compliance'!B9="","",'Step 13 - Compliance'!L9)</f>
        <v/>
      </c>
      <c r="X612" s="17" t="str">
        <f>IF('Step 13 - Compliance'!B9="","",'Step 13 - Compliance'!N9)</f>
        <v/>
      </c>
      <c r="Y612" s="18" t="str">
        <f>""</f>
        <v/>
      </c>
      <c r="Z612" s="18" t="str">
        <f>""</f>
        <v/>
      </c>
      <c r="AA612" s="18" t="str">
        <f>""</f>
        <v/>
      </c>
      <c r="AB612" s="18" t="str">
        <f>""</f>
        <v/>
      </c>
      <c r="AC612" s="18" t="str">
        <f>""</f>
        <v/>
      </c>
      <c r="AD612" s="18" t="str">
        <f>""</f>
        <v/>
      </c>
      <c r="AE612" s="18" t="str">
        <f>""</f>
        <v/>
      </c>
      <c r="AF612" s="18" t="str">
        <f>""</f>
        <v/>
      </c>
      <c r="AG612" s="18" t="str">
        <f>""</f>
        <v/>
      </c>
      <c r="AH612" s="18" t="str">
        <f>""</f>
        <v/>
      </c>
      <c r="AI612" s="18" t="str">
        <f>""</f>
        <v/>
      </c>
      <c r="AJ612" s="18" t="str">
        <f>""</f>
        <v/>
      </c>
      <c r="AK612" s="18" t="str">
        <f>""</f>
        <v/>
      </c>
      <c r="AL612" s="18" t="str">
        <f>""</f>
        <v/>
      </c>
      <c r="AM612" s="18" t="str">
        <f>""</f>
        <v/>
      </c>
    </row>
    <row r="613" spans="1:39" ht="15.75" customHeight="1" x14ac:dyDescent="0.25">
      <c r="A613" s="19" t="str">
        <f>IF('Step 13 - Compliance'!B10="","","Active")</f>
        <v/>
      </c>
      <c r="B613" s="20" t="str">
        <f>IF('Step 13 - Compliance'!B10="","",'Step 13 - Compliance'!B10)</f>
        <v/>
      </c>
      <c r="C613" s="20" t="str">
        <f>IF('Step 13 - Compliance'!B10="","",'Step 13 - Compliance'!B10)</f>
        <v/>
      </c>
      <c r="D613" s="19" t="str">
        <f>IF('Step 13 - Compliance'!B10="","",'Step 13 - Compliance'!G10)</f>
        <v/>
      </c>
      <c r="E613" s="19" t="str">
        <f>IF('Step 13 - Compliance'!B10="","",'Step 13 - Compliance'!H10)</f>
        <v/>
      </c>
      <c r="F613" s="20" t="str">
        <f>IF('Step 13 - Compliance'!B10="","",IF('Step 13 - Compliance'!C10="","","Fund Code"))</f>
        <v/>
      </c>
      <c r="G613" s="19" t="str">
        <f>IF('Step 13 - Compliance'!B10="","",IF('Step 13 - Compliance'!C10="","","Equals"))</f>
        <v/>
      </c>
      <c r="H613" s="20" t="str">
        <f>IF('Step 13 - Compliance'!B10="","",IF('Step 13 - Compliance'!C10="","",'Step 13 - Compliance'!C10))</f>
        <v/>
      </c>
      <c r="I613" s="20" t="str">
        <f>IF('Step 13 - Compliance'!B10="","","Organization Code")</f>
        <v/>
      </c>
      <c r="J613" s="19" t="str">
        <f>IF('Step 13 - Compliance'!B10="","","Equals")</f>
        <v/>
      </c>
      <c r="K613" s="20" t="str">
        <f>IF('Step 13 - Compliance'!B10="","",'Step 13 - Compliance'!D10)</f>
        <v/>
      </c>
      <c r="L613" s="20" t="str">
        <f>IF('Step 13 - Compliance'!B10="","","Other Criteria")</f>
        <v/>
      </c>
      <c r="M613" s="19" t="str">
        <f>IF('Step 13 - Compliance'!B10="","","Equals")</f>
        <v/>
      </c>
      <c r="N613" s="20" t="str">
        <f>IF('Step 13 - Compliance'!B10="","",'Step 13 - Compliance'!E10)</f>
        <v/>
      </c>
      <c r="O613" s="20" t="str">
        <f>IF('Step 13 - Compliance'!B10="","",IF('Step 13 - Compliance'!F10="","","Total"))</f>
        <v/>
      </c>
      <c r="P613" s="19" t="str">
        <f>IF('Step 13 - Compliance'!B10="","",IF('Step 13 - Compliance'!F10="","","&gt;="))</f>
        <v/>
      </c>
      <c r="Q613" s="20" t="str">
        <f>IF('Step 13 - Compliance'!B10="","",IF('Step 13 - Compliance'!F10="","",'Step 13 - Compliance'!F10))</f>
        <v/>
      </c>
      <c r="R613" s="20" t="str">
        <f>""</f>
        <v/>
      </c>
      <c r="S613" s="20" t="str">
        <f>""</f>
        <v/>
      </c>
      <c r="T613" s="20" t="str">
        <f>""</f>
        <v/>
      </c>
      <c r="U613" s="20" t="str">
        <f>IF('Step 13 - Compliance'!B10="","",'Step 13 - Compliance'!I10)</f>
        <v/>
      </c>
      <c r="V613" s="19" t="str">
        <f>IF('Step 13 - Compliance'!B10="","",'Step 13 - Compliance'!K10)</f>
        <v/>
      </c>
      <c r="W613" s="20" t="str">
        <f>IF('Step 13 - Compliance'!B10="","",'Step 13 - Compliance'!L10)</f>
        <v/>
      </c>
      <c r="X613" s="19" t="str">
        <f>IF('Step 13 - Compliance'!B10="","",'Step 13 - Compliance'!N10)</f>
        <v/>
      </c>
      <c r="Y613" s="20" t="str">
        <f>""</f>
        <v/>
      </c>
      <c r="Z613" s="20" t="str">
        <f>""</f>
        <v/>
      </c>
      <c r="AA613" s="20" t="str">
        <f>""</f>
        <v/>
      </c>
      <c r="AB613" s="20" t="str">
        <f>""</f>
        <v/>
      </c>
      <c r="AC613" s="20" t="str">
        <f>""</f>
        <v/>
      </c>
      <c r="AD613" s="20" t="str">
        <f>""</f>
        <v/>
      </c>
      <c r="AE613" s="20" t="str">
        <f>""</f>
        <v/>
      </c>
      <c r="AF613" s="20" t="str">
        <f>""</f>
        <v/>
      </c>
      <c r="AG613" s="20" t="str">
        <f>""</f>
        <v/>
      </c>
      <c r="AH613" s="20" t="str">
        <f>""</f>
        <v/>
      </c>
      <c r="AI613" s="20" t="str">
        <f>""</f>
        <v/>
      </c>
      <c r="AJ613" s="20" t="str">
        <f>""</f>
        <v/>
      </c>
      <c r="AK613" s="20" t="str">
        <f>""</f>
        <v/>
      </c>
      <c r="AL613" s="20" t="str">
        <f>""</f>
        <v/>
      </c>
      <c r="AM613" s="20" t="str">
        <f>""</f>
        <v/>
      </c>
    </row>
    <row r="614" spans="1:39" ht="15.75" customHeight="1" x14ac:dyDescent="0.25">
      <c r="A614" s="17" t="str">
        <f>IF('Step 13 - Compliance'!B11="","","Active")</f>
        <v/>
      </c>
      <c r="B614" s="18" t="str">
        <f>IF('Step 13 - Compliance'!B11="","",'Step 13 - Compliance'!B11)</f>
        <v/>
      </c>
      <c r="C614" s="18" t="str">
        <f>IF('Step 13 - Compliance'!B11="","",'Step 13 - Compliance'!B11)</f>
        <v/>
      </c>
      <c r="D614" s="17" t="str">
        <f>IF('Step 13 - Compliance'!B11="","",'Step 13 - Compliance'!G11)</f>
        <v/>
      </c>
      <c r="E614" s="17" t="str">
        <f>IF('Step 13 - Compliance'!B11="","",'Step 13 - Compliance'!H11)</f>
        <v/>
      </c>
      <c r="F614" s="18" t="str">
        <f>IF('Step 13 - Compliance'!B11="","",IF('Step 13 - Compliance'!C11="","","Fund Code"))</f>
        <v/>
      </c>
      <c r="G614" s="17" t="str">
        <f>IF('Step 13 - Compliance'!B11="","",IF('Step 13 - Compliance'!C11="","","Equals"))</f>
        <v/>
      </c>
      <c r="H614" s="18" t="str">
        <f>IF('Step 13 - Compliance'!B11="","",IF('Step 13 - Compliance'!C11="","",'Step 13 - Compliance'!C11))</f>
        <v/>
      </c>
      <c r="I614" s="18" t="str">
        <f>IF('Step 13 - Compliance'!B11="","","Organization Code")</f>
        <v/>
      </c>
      <c r="J614" s="17" t="str">
        <f>IF('Step 13 - Compliance'!B11="","","Equals")</f>
        <v/>
      </c>
      <c r="K614" s="18" t="str">
        <f>IF('Step 13 - Compliance'!B11="","",'Step 13 - Compliance'!D11)</f>
        <v/>
      </c>
      <c r="L614" s="18" t="str">
        <f>IF('Step 13 - Compliance'!B11="","","Other Criteria")</f>
        <v/>
      </c>
      <c r="M614" s="17" t="str">
        <f>IF('Step 13 - Compliance'!B11="","","Equals")</f>
        <v/>
      </c>
      <c r="N614" s="18" t="str">
        <f>IF('Step 13 - Compliance'!B11="","",'Step 13 - Compliance'!E11)</f>
        <v/>
      </c>
      <c r="O614" s="18" t="str">
        <f>IF('Step 13 - Compliance'!B11="","",IF('Step 13 - Compliance'!F11="","","Total"))</f>
        <v/>
      </c>
      <c r="P614" s="17" t="str">
        <f>IF('Step 13 - Compliance'!B11="","",IF('Step 13 - Compliance'!F11="","","&gt;="))</f>
        <v/>
      </c>
      <c r="Q614" s="18" t="str">
        <f>IF('Step 13 - Compliance'!B11="","",IF('Step 13 - Compliance'!F11="","",'Step 13 - Compliance'!F11))</f>
        <v/>
      </c>
      <c r="R614" s="18" t="str">
        <f>""</f>
        <v/>
      </c>
      <c r="S614" s="18" t="str">
        <f>""</f>
        <v/>
      </c>
      <c r="T614" s="18" t="str">
        <f>""</f>
        <v/>
      </c>
      <c r="U614" s="18" t="str">
        <f>IF('Step 13 - Compliance'!B11="","",'Step 13 - Compliance'!I11)</f>
        <v/>
      </c>
      <c r="V614" s="17" t="str">
        <f>IF('Step 13 - Compliance'!B11="","",'Step 13 - Compliance'!K11)</f>
        <v/>
      </c>
      <c r="W614" s="18" t="str">
        <f>IF('Step 13 - Compliance'!B11="","",'Step 13 - Compliance'!L11)</f>
        <v/>
      </c>
      <c r="X614" s="17" t="str">
        <f>IF('Step 13 - Compliance'!B11="","",'Step 13 - Compliance'!N11)</f>
        <v/>
      </c>
      <c r="Y614" s="18" t="str">
        <f>""</f>
        <v/>
      </c>
      <c r="Z614" s="18" t="str">
        <f>""</f>
        <v/>
      </c>
      <c r="AA614" s="18" t="str">
        <f>""</f>
        <v/>
      </c>
      <c r="AB614" s="18" t="str">
        <f>""</f>
        <v/>
      </c>
      <c r="AC614" s="18" t="str">
        <f>""</f>
        <v/>
      </c>
      <c r="AD614" s="18" t="str">
        <f>""</f>
        <v/>
      </c>
      <c r="AE614" s="18" t="str">
        <f>""</f>
        <v/>
      </c>
      <c r="AF614" s="18" t="str">
        <f>""</f>
        <v/>
      </c>
      <c r="AG614" s="18" t="str">
        <f>""</f>
        <v/>
      </c>
      <c r="AH614" s="18" t="str">
        <f>""</f>
        <v/>
      </c>
      <c r="AI614" s="18" t="str">
        <f>""</f>
        <v/>
      </c>
      <c r="AJ614" s="18" t="str">
        <f>""</f>
        <v/>
      </c>
      <c r="AK614" s="18" t="str">
        <f>""</f>
        <v/>
      </c>
      <c r="AL614" s="18" t="str">
        <f>""</f>
        <v/>
      </c>
      <c r="AM614" s="18" t="str">
        <f>""</f>
        <v/>
      </c>
    </row>
    <row r="615" spans="1:39" ht="15.75" customHeight="1" x14ac:dyDescent="0.25">
      <c r="A615" s="19" t="str">
        <f>IF('Step 13 - Compliance'!B12="","","Active")</f>
        <v/>
      </c>
      <c r="B615" s="20" t="str">
        <f>IF('Step 13 - Compliance'!B12="","",'Step 13 - Compliance'!B12)</f>
        <v/>
      </c>
      <c r="C615" s="20" t="str">
        <f>IF('Step 13 - Compliance'!B12="","",'Step 13 - Compliance'!B12)</f>
        <v/>
      </c>
      <c r="D615" s="19" t="str">
        <f>IF('Step 13 - Compliance'!B12="","",'Step 13 - Compliance'!G12)</f>
        <v/>
      </c>
      <c r="E615" s="19" t="str">
        <f>IF('Step 13 - Compliance'!B12="","",'Step 13 - Compliance'!H12)</f>
        <v/>
      </c>
      <c r="F615" s="20" t="str">
        <f>IF('Step 13 - Compliance'!B12="","",IF('Step 13 - Compliance'!C12="","","Fund Code"))</f>
        <v/>
      </c>
      <c r="G615" s="19" t="str">
        <f>IF('Step 13 - Compliance'!B12="","",IF('Step 13 - Compliance'!C12="","","Equals"))</f>
        <v/>
      </c>
      <c r="H615" s="20" t="str">
        <f>IF('Step 13 - Compliance'!B12="","",IF('Step 13 - Compliance'!C12="","",'Step 13 - Compliance'!C12))</f>
        <v/>
      </c>
      <c r="I615" s="20" t="str">
        <f>IF('Step 13 - Compliance'!B12="","","Organization Code")</f>
        <v/>
      </c>
      <c r="J615" s="19" t="str">
        <f>IF('Step 13 - Compliance'!B12="","","Equals")</f>
        <v/>
      </c>
      <c r="K615" s="20" t="str">
        <f>IF('Step 13 - Compliance'!B12="","",'Step 13 - Compliance'!D12)</f>
        <v/>
      </c>
      <c r="L615" s="20" t="str">
        <f>IF('Step 13 - Compliance'!B12="","","Other Criteria")</f>
        <v/>
      </c>
      <c r="M615" s="19" t="str">
        <f>IF('Step 13 - Compliance'!B12="","","Equals")</f>
        <v/>
      </c>
      <c r="N615" s="20" t="str">
        <f>IF('Step 13 - Compliance'!B12="","",'Step 13 - Compliance'!E12)</f>
        <v/>
      </c>
      <c r="O615" s="20" t="str">
        <f>IF('Step 13 - Compliance'!B12="","",IF('Step 13 - Compliance'!F12="","","Total"))</f>
        <v/>
      </c>
      <c r="P615" s="19" t="str">
        <f>IF('Step 13 - Compliance'!B12="","",IF('Step 13 - Compliance'!F12="","","&gt;="))</f>
        <v/>
      </c>
      <c r="Q615" s="20" t="str">
        <f>IF('Step 13 - Compliance'!B12="","",IF('Step 13 - Compliance'!F12="","",'Step 13 - Compliance'!F12))</f>
        <v/>
      </c>
      <c r="R615" s="20" t="str">
        <f>""</f>
        <v/>
      </c>
      <c r="S615" s="20" t="str">
        <f>""</f>
        <v/>
      </c>
      <c r="T615" s="20" t="str">
        <f>""</f>
        <v/>
      </c>
      <c r="U615" s="20" t="str">
        <f>IF('Step 13 - Compliance'!B12="","",'Step 13 - Compliance'!I12)</f>
        <v/>
      </c>
      <c r="V615" s="19" t="str">
        <f>IF('Step 13 - Compliance'!B12="","",'Step 13 - Compliance'!K12)</f>
        <v/>
      </c>
      <c r="W615" s="20" t="str">
        <f>IF('Step 13 - Compliance'!B12="","",'Step 13 - Compliance'!L12)</f>
        <v/>
      </c>
      <c r="X615" s="19" t="str">
        <f>IF('Step 13 - Compliance'!B12="","",'Step 13 - Compliance'!N12)</f>
        <v/>
      </c>
      <c r="Y615" s="20" t="str">
        <f>""</f>
        <v/>
      </c>
      <c r="Z615" s="20" t="str">
        <f>""</f>
        <v/>
      </c>
      <c r="AA615" s="20" t="str">
        <f>""</f>
        <v/>
      </c>
      <c r="AB615" s="20" t="str">
        <f>""</f>
        <v/>
      </c>
      <c r="AC615" s="20" t="str">
        <f>""</f>
        <v/>
      </c>
      <c r="AD615" s="20" t="str">
        <f>""</f>
        <v/>
      </c>
      <c r="AE615" s="20" t="str">
        <f>""</f>
        <v/>
      </c>
      <c r="AF615" s="20" t="str">
        <f>""</f>
        <v/>
      </c>
      <c r="AG615" s="20" t="str">
        <f>""</f>
        <v/>
      </c>
      <c r="AH615" s="20" t="str">
        <f>""</f>
        <v/>
      </c>
      <c r="AI615" s="20" t="str">
        <f>""</f>
        <v/>
      </c>
      <c r="AJ615" s="20" t="str">
        <f>""</f>
        <v/>
      </c>
      <c r="AK615" s="20" t="str">
        <f>""</f>
        <v/>
      </c>
      <c r="AL615" s="20" t="str">
        <f>""</f>
        <v/>
      </c>
      <c r="AM615" s="20" t="str">
        <f>""</f>
        <v/>
      </c>
    </row>
    <row r="616" spans="1:39" ht="15.75" customHeight="1" x14ac:dyDescent="0.25">
      <c r="A616" s="17" t="str">
        <f>IF('Step 13 - Compliance'!B13="","","Active")</f>
        <v/>
      </c>
      <c r="B616" s="18" t="str">
        <f>IF('Step 13 - Compliance'!B13="","",'Step 13 - Compliance'!B13)</f>
        <v/>
      </c>
      <c r="C616" s="18" t="str">
        <f>IF('Step 13 - Compliance'!B13="","",'Step 13 - Compliance'!B13)</f>
        <v/>
      </c>
      <c r="D616" s="17" t="str">
        <f>IF('Step 13 - Compliance'!B13="","",'Step 13 - Compliance'!G13)</f>
        <v/>
      </c>
      <c r="E616" s="17" t="str">
        <f>IF('Step 13 - Compliance'!B13="","",'Step 13 - Compliance'!H13)</f>
        <v/>
      </c>
      <c r="F616" s="18" t="str">
        <f>IF('Step 13 - Compliance'!B13="","",IF('Step 13 - Compliance'!C13="","","Fund Code"))</f>
        <v/>
      </c>
      <c r="G616" s="17" t="str">
        <f>IF('Step 13 - Compliance'!B13="","",IF('Step 13 - Compliance'!C13="","","Equals"))</f>
        <v/>
      </c>
      <c r="H616" s="18" t="str">
        <f>IF('Step 13 - Compliance'!B13="","",IF('Step 13 - Compliance'!C13="","",'Step 13 - Compliance'!C13))</f>
        <v/>
      </c>
      <c r="I616" s="18" t="str">
        <f>IF('Step 13 - Compliance'!B13="","","Organization Code")</f>
        <v/>
      </c>
      <c r="J616" s="17" t="str">
        <f>IF('Step 13 - Compliance'!B13="","","Equals")</f>
        <v/>
      </c>
      <c r="K616" s="18" t="str">
        <f>IF('Step 13 - Compliance'!B13="","",'Step 13 - Compliance'!D13)</f>
        <v/>
      </c>
      <c r="L616" s="18" t="str">
        <f>IF('Step 13 - Compliance'!B13="","","Other Criteria")</f>
        <v/>
      </c>
      <c r="M616" s="17" t="str">
        <f>IF('Step 13 - Compliance'!B13="","","Equals")</f>
        <v/>
      </c>
      <c r="N616" s="18" t="str">
        <f>IF('Step 13 - Compliance'!B13="","",'Step 13 - Compliance'!E13)</f>
        <v/>
      </c>
      <c r="O616" s="18" t="str">
        <f>IF('Step 13 - Compliance'!B13="","",IF('Step 13 - Compliance'!F13="","","Total"))</f>
        <v/>
      </c>
      <c r="P616" s="17" t="str">
        <f>IF('Step 13 - Compliance'!B13="","",IF('Step 13 - Compliance'!F13="","","&gt;="))</f>
        <v/>
      </c>
      <c r="Q616" s="18" t="str">
        <f>IF('Step 13 - Compliance'!B13="","",IF('Step 13 - Compliance'!F13="","",'Step 13 - Compliance'!F13))</f>
        <v/>
      </c>
      <c r="R616" s="18" t="str">
        <f>""</f>
        <v/>
      </c>
      <c r="S616" s="18" t="str">
        <f>""</f>
        <v/>
      </c>
      <c r="T616" s="18" t="str">
        <f>""</f>
        <v/>
      </c>
      <c r="U616" s="18" t="str">
        <f>IF('Step 13 - Compliance'!B13="","",'Step 13 - Compliance'!I13)</f>
        <v/>
      </c>
      <c r="V616" s="17" t="str">
        <f>IF('Step 13 - Compliance'!B13="","",'Step 13 - Compliance'!K13)</f>
        <v/>
      </c>
      <c r="W616" s="18" t="str">
        <f>IF('Step 13 - Compliance'!B13="","",'Step 13 - Compliance'!L13)</f>
        <v/>
      </c>
      <c r="X616" s="17" t="str">
        <f>IF('Step 13 - Compliance'!B13="","",'Step 13 - Compliance'!N13)</f>
        <v/>
      </c>
      <c r="Y616" s="18" t="str">
        <f>""</f>
        <v/>
      </c>
      <c r="Z616" s="18" t="str">
        <f>""</f>
        <v/>
      </c>
      <c r="AA616" s="18" t="str">
        <f>""</f>
        <v/>
      </c>
      <c r="AB616" s="18" t="str">
        <f>""</f>
        <v/>
      </c>
      <c r="AC616" s="18" t="str">
        <f>""</f>
        <v/>
      </c>
      <c r="AD616" s="18" t="str">
        <f>""</f>
        <v/>
      </c>
      <c r="AE616" s="18" t="str">
        <f>""</f>
        <v/>
      </c>
      <c r="AF616" s="18" t="str">
        <f>""</f>
        <v/>
      </c>
      <c r="AG616" s="18" t="str">
        <f>""</f>
        <v/>
      </c>
      <c r="AH616" s="18" t="str">
        <f>""</f>
        <v/>
      </c>
      <c r="AI616" s="18" t="str">
        <f>""</f>
        <v/>
      </c>
      <c r="AJ616" s="18" t="str">
        <f>""</f>
        <v/>
      </c>
      <c r="AK616" s="18" t="str">
        <f>""</f>
        <v/>
      </c>
      <c r="AL616" s="18" t="str">
        <f>""</f>
        <v/>
      </c>
      <c r="AM616" s="18" t="str">
        <f>""</f>
        <v/>
      </c>
    </row>
    <row r="617" spans="1:39" ht="15.75" customHeight="1" x14ac:dyDescent="0.25">
      <c r="A617" s="19" t="str">
        <f>IF('Step 13 - Compliance'!B14="","","Active")</f>
        <v/>
      </c>
      <c r="B617" s="20" t="str">
        <f>IF('Step 13 - Compliance'!B14="","",'Step 13 - Compliance'!B14)</f>
        <v/>
      </c>
      <c r="C617" s="20" t="str">
        <f>IF('Step 13 - Compliance'!B14="","",'Step 13 - Compliance'!B14)</f>
        <v/>
      </c>
      <c r="D617" s="19" t="str">
        <f>IF('Step 13 - Compliance'!B14="","",'Step 13 - Compliance'!G14)</f>
        <v/>
      </c>
      <c r="E617" s="19" t="str">
        <f>IF('Step 13 - Compliance'!B14="","",'Step 13 - Compliance'!H14)</f>
        <v/>
      </c>
      <c r="F617" s="20" t="str">
        <f>IF('Step 13 - Compliance'!B14="","",IF('Step 13 - Compliance'!C14="","","Fund Code"))</f>
        <v/>
      </c>
      <c r="G617" s="19" t="str">
        <f>IF('Step 13 - Compliance'!B14="","",IF('Step 13 - Compliance'!C14="","","Equals"))</f>
        <v/>
      </c>
      <c r="H617" s="20" t="str">
        <f>IF('Step 13 - Compliance'!B14="","",IF('Step 13 - Compliance'!C14="","",'Step 13 - Compliance'!C14))</f>
        <v/>
      </c>
      <c r="I617" s="20" t="str">
        <f>IF('Step 13 - Compliance'!B14="","","Organization Code")</f>
        <v/>
      </c>
      <c r="J617" s="19" t="str">
        <f>IF('Step 13 - Compliance'!B14="","","Equals")</f>
        <v/>
      </c>
      <c r="K617" s="20" t="str">
        <f>IF('Step 13 - Compliance'!B14="","",'Step 13 - Compliance'!D14)</f>
        <v/>
      </c>
      <c r="L617" s="20" t="str">
        <f>IF('Step 13 - Compliance'!B14="","","Other Criteria")</f>
        <v/>
      </c>
      <c r="M617" s="19" t="str">
        <f>IF('Step 13 - Compliance'!B14="","","Equals")</f>
        <v/>
      </c>
      <c r="N617" s="20" t="str">
        <f>IF('Step 13 - Compliance'!B14="","",'Step 13 - Compliance'!E14)</f>
        <v/>
      </c>
      <c r="O617" s="20" t="str">
        <f>IF('Step 13 - Compliance'!B14="","",IF('Step 13 - Compliance'!F14="","","Total"))</f>
        <v/>
      </c>
      <c r="P617" s="19" t="str">
        <f>IF('Step 13 - Compliance'!B14="","",IF('Step 13 - Compliance'!F14="","","&gt;="))</f>
        <v/>
      </c>
      <c r="Q617" s="20" t="str">
        <f>IF('Step 13 - Compliance'!B14="","",IF('Step 13 - Compliance'!F14="","",'Step 13 - Compliance'!F14))</f>
        <v/>
      </c>
      <c r="R617" s="20" t="str">
        <f>""</f>
        <v/>
      </c>
      <c r="S617" s="20" t="str">
        <f>""</f>
        <v/>
      </c>
      <c r="T617" s="20" t="str">
        <f>""</f>
        <v/>
      </c>
      <c r="U617" s="20" t="str">
        <f>IF('Step 13 - Compliance'!B14="","",'Step 13 - Compliance'!I14)</f>
        <v/>
      </c>
      <c r="V617" s="19" t="str">
        <f>IF('Step 13 - Compliance'!B14="","",'Step 13 - Compliance'!K14)</f>
        <v/>
      </c>
      <c r="W617" s="20" t="str">
        <f>IF('Step 13 - Compliance'!B14="","",'Step 13 - Compliance'!L14)</f>
        <v/>
      </c>
      <c r="X617" s="19" t="str">
        <f>IF('Step 13 - Compliance'!B14="","",'Step 13 - Compliance'!N14)</f>
        <v/>
      </c>
      <c r="Y617" s="20" t="str">
        <f>""</f>
        <v/>
      </c>
      <c r="Z617" s="20" t="str">
        <f>""</f>
        <v/>
      </c>
      <c r="AA617" s="20" t="str">
        <f>""</f>
        <v/>
      </c>
      <c r="AB617" s="20" t="str">
        <f>""</f>
        <v/>
      </c>
      <c r="AC617" s="20" t="str">
        <f>""</f>
        <v/>
      </c>
      <c r="AD617" s="20" t="str">
        <f>""</f>
        <v/>
      </c>
      <c r="AE617" s="20" t="str">
        <f>""</f>
        <v/>
      </c>
      <c r="AF617" s="20" t="str">
        <f>""</f>
        <v/>
      </c>
      <c r="AG617" s="20" t="str">
        <f>""</f>
        <v/>
      </c>
      <c r="AH617" s="20" t="str">
        <f>""</f>
        <v/>
      </c>
      <c r="AI617" s="20" t="str">
        <f>""</f>
        <v/>
      </c>
      <c r="AJ617" s="20" t="str">
        <f>""</f>
        <v/>
      </c>
      <c r="AK617" s="20" t="str">
        <f>""</f>
        <v/>
      </c>
      <c r="AL617" s="20" t="str">
        <f>""</f>
        <v/>
      </c>
      <c r="AM617" s="20" t="str">
        <f>""</f>
        <v/>
      </c>
    </row>
    <row r="618" spans="1:39" ht="15.75" customHeight="1" x14ac:dyDescent="0.25">
      <c r="A618" s="17" t="str">
        <f>IF('Step 13 - Compliance'!B15="","","Active")</f>
        <v/>
      </c>
      <c r="B618" s="18" t="str">
        <f>IF('Step 13 - Compliance'!B15="","",'Step 13 - Compliance'!B15)</f>
        <v/>
      </c>
      <c r="C618" s="18" t="str">
        <f>IF('Step 13 - Compliance'!B15="","",'Step 13 - Compliance'!B15)</f>
        <v/>
      </c>
      <c r="D618" s="17" t="str">
        <f>IF('Step 13 - Compliance'!B15="","",'Step 13 - Compliance'!G15)</f>
        <v/>
      </c>
      <c r="E618" s="17" t="str">
        <f>IF('Step 13 - Compliance'!B15="","",'Step 13 - Compliance'!H15)</f>
        <v/>
      </c>
      <c r="F618" s="18" t="str">
        <f>IF('Step 13 - Compliance'!B15="","",IF('Step 13 - Compliance'!C15="","","Fund Code"))</f>
        <v/>
      </c>
      <c r="G618" s="17" t="str">
        <f>IF('Step 13 - Compliance'!B15="","",IF('Step 13 - Compliance'!C15="","","Equals"))</f>
        <v/>
      </c>
      <c r="H618" s="18" t="str">
        <f>IF('Step 13 - Compliance'!B15="","",IF('Step 13 - Compliance'!C15="","",'Step 13 - Compliance'!C15))</f>
        <v/>
      </c>
      <c r="I618" s="18" t="str">
        <f>IF('Step 13 - Compliance'!B15="","","Organization Code")</f>
        <v/>
      </c>
      <c r="J618" s="17" t="str">
        <f>IF('Step 13 - Compliance'!B15="","","Equals")</f>
        <v/>
      </c>
      <c r="K618" s="18" t="str">
        <f>IF('Step 13 - Compliance'!B15="","",'Step 13 - Compliance'!D15)</f>
        <v/>
      </c>
      <c r="L618" s="18" t="str">
        <f>IF('Step 13 - Compliance'!B15="","","Other Criteria")</f>
        <v/>
      </c>
      <c r="M618" s="17" t="str">
        <f>IF('Step 13 - Compliance'!B15="","","Equals")</f>
        <v/>
      </c>
      <c r="N618" s="18" t="str">
        <f>IF('Step 13 - Compliance'!B15="","",'Step 13 - Compliance'!E15)</f>
        <v/>
      </c>
      <c r="O618" s="18" t="str">
        <f>IF('Step 13 - Compliance'!B15="","",IF('Step 13 - Compliance'!F15="","","Total"))</f>
        <v/>
      </c>
      <c r="P618" s="17" t="str">
        <f>IF('Step 13 - Compliance'!B15="","",IF('Step 13 - Compliance'!F15="","","&gt;="))</f>
        <v/>
      </c>
      <c r="Q618" s="18" t="str">
        <f>IF('Step 13 - Compliance'!B15="","",IF('Step 13 - Compliance'!F15="","",'Step 13 - Compliance'!F15))</f>
        <v/>
      </c>
      <c r="R618" s="18" t="str">
        <f>""</f>
        <v/>
      </c>
      <c r="S618" s="18" t="str">
        <f>""</f>
        <v/>
      </c>
      <c r="T618" s="18" t="str">
        <f>""</f>
        <v/>
      </c>
      <c r="U618" s="18" t="str">
        <f>IF('Step 13 - Compliance'!B15="","",'Step 13 - Compliance'!I15)</f>
        <v/>
      </c>
      <c r="V618" s="17" t="str">
        <f>IF('Step 13 - Compliance'!B15="","",'Step 13 - Compliance'!K15)</f>
        <v/>
      </c>
      <c r="W618" s="18" t="str">
        <f>IF('Step 13 - Compliance'!B15="","",'Step 13 - Compliance'!L15)</f>
        <v/>
      </c>
      <c r="X618" s="17" t="str">
        <f>IF('Step 13 - Compliance'!B15="","",'Step 13 - Compliance'!N15)</f>
        <v/>
      </c>
      <c r="Y618" s="18" t="str">
        <f>""</f>
        <v/>
      </c>
      <c r="Z618" s="18" t="str">
        <f>""</f>
        <v/>
      </c>
      <c r="AA618" s="18" t="str">
        <f>""</f>
        <v/>
      </c>
      <c r="AB618" s="18" t="str">
        <f>""</f>
        <v/>
      </c>
      <c r="AC618" s="18" t="str">
        <f>""</f>
        <v/>
      </c>
      <c r="AD618" s="18" t="str">
        <f>""</f>
        <v/>
      </c>
      <c r="AE618" s="18" t="str">
        <f>""</f>
        <v/>
      </c>
      <c r="AF618" s="18" t="str">
        <f>""</f>
        <v/>
      </c>
      <c r="AG618" s="18" t="str">
        <f>""</f>
        <v/>
      </c>
      <c r="AH618" s="18" t="str">
        <f>""</f>
        <v/>
      </c>
      <c r="AI618" s="18" t="str">
        <f>""</f>
        <v/>
      </c>
      <c r="AJ618" s="18" t="str">
        <f>""</f>
        <v/>
      </c>
      <c r="AK618" s="18" t="str">
        <f>""</f>
        <v/>
      </c>
      <c r="AL618" s="18" t="str">
        <f>""</f>
        <v/>
      </c>
      <c r="AM618" s="18" t="str">
        <f>""</f>
        <v/>
      </c>
    </row>
    <row r="619" spans="1:39" ht="15.75" customHeight="1" x14ac:dyDescent="0.25">
      <c r="A619" s="19" t="str">
        <f>IF('Step 13 - Compliance'!B16="","","Active")</f>
        <v/>
      </c>
      <c r="B619" s="20" t="str">
        <f>IF('Step 13 - Compliance'!B16="","",'Step 13 - Compliance'!B16)</f>
        <v/>
      </c>
      <c r="C619" s="20" t="str">
        <f>IF('Step 13 - Compliance'!B16="","",'Step 13 - Compliance'!B16)</f>
        <v/>
      </c>
      <c r="D619" s="19" t="str">
        <f>IF('Step 13 - Compliance'!B16="","",'Step 13 - Compliance'!G16)</f>
        <v/>
      </c>
      <c r="E619" s="19" t="str">
        <f>IF('Step 13 - Compliance'!B16="","",'Step 13 - Compliance'!H16)</f>
        <v/>
      </c>
      <c r="F619" s="20" t="str">
        <f>IF('Step 13 - Compliance'!B16="","",IF('Step 13 - Compliance'!C16="","","Fund Code"))</f>
        <v/>
      </c>
      <c r="G619" s="19" t="str">
        <f>IF('Step 13 - Compliance'!B16="","",IF('Step 13 - Compliance'!C16="","","Equals"))</f>
        <v/>
      </c>
      <c r="H619" s="20" t="str">
        <f>IF('Step 13 - Compliance'!B16="","",IF('Step 13 - Compliance'!C16="","",'Step 13 - Compliance'!C16))</f>
        <v/>
      </c>
      <c r="I619" s="20" t="str">
        <f>IF('Step 13 - Compliance'!B16="","","Organization Code")</f>
        <v/>
      </c>
      <c r="J619" s="19" t="str">
        <f>IF('Step 13 - Compliance'!B16="","","Equals")</f>
        <v/>
      </c>
      <c r="K619" s="20" t="str">
        <f>IF('Step 13 - Compliance'!B16="","",'Step 13 - Compliance'!D16)</f>
        <v/>
      </c>
      <c r="L619" s="20" t="str">
        <f>IF('Step 13 - Compliance'!B16="","","Other Criteria")</f>
        <v/>
      </c>
      <c r="M619" s="19" t="str">
        <f>IF('Step 13 - Compliance'!B16="","","Equals")</f>
        <v/>
      </c>
      <c r="N619" s="20" t="str">
        <f>IF('Step 13 - Compliance'!B16="","",'Step 13 - Compliance'!E16)</f>
        <v/>
      </c>
      <c r="O619" s="20" t="str">
        <f>IF('Step 13 - Compliance'!B16="","",IF('Step 13 - Compliance'!F16="","","Total"))</f>
        <v/>
      </c>
      <c r="P619" s="19" t="str">
        <f>IF('Step 13 - Compliance'!B16="","",IF('Step 13 - Compliance'!F16="","","&gt;="))</f>
        <v/>
      </c>
      <c r="Q619" s="20" t="str">
        <f>IF('Step 13 - Compliance'!B16="","",IF('Step 13 - Compliance'!F16="","",'Step 13 - Compliance'!F16))</f>
        <v/>
      </c>
      <c r="R619" s="20" t="str">
        <f>""</f>
        <v/>
      </c>
      <c r="S619" s="20" t="str">
        <f>""</f>
        <v/>
      </c>
      <c r="T619" s="20" t="str">
        <f>""</f>
        <v/>
      </c>
      <c r="U619" s="20" t="str">
        <f>IF('Step 13 - Compliance'!B16="","",'Step 13 - Compliance'!I16)</f>
        <v/>
      </c>
      <c r="V619" s="19" t="str">
        <f>IF('Step 13 - Compliance'!B16="","",'Step 13 - Compliance'!K16)</f>
        <v/>
      </c>
      <c r="W619" s="20" t="str">
        <f>IF('Step 13 - Compliance'!B16="","",'Step 13 - Compliance'!L16)</f>
        <v/>
      </c>
      <c r="X619" s="19" t="str">
        <f>IF('Step 13 - Compliance'!B16="","",'Step 13 - Compliance'!N16)</f>
        <v/>
      </c>
      <c r="Y619" s="20" t="str">
        <f>""</f>
        <v/>
      </c>
      <c r="Z619" s="20" t="str">
        <f>""</f>
        <v/>
      </c>
      <c r="AA619" s="20" t="str">
        <f>""</f>
        <v/>
      </c>
      <c r="AB619" s="20" t="str">
        <f>""</f>
        <v/>
      </c>
      <c r="AC619" s="20" t="str">
        <f>""</f>
        <v/>
      </c>
      <c r="AD619" s="20" t="str">
        <f>""</f>
        <v/>
      </c>
      <c r="AE619" s="20" t="str">
        <f>""</f>
        <v/>
      </c>
      <c r="AF619" s="20" t="str">
        <f>""</f>
        <v/>
      </c>
      <c r="AG619" s="20" t="str">
        <f>""</f>
        <v/>
      </c>
      <c r="AH619" s="20" t="str">
        <f>""</f>
        <v/>
      </c>
      <c r="AI619" s="20" t="str">
        <f>""</f>
        <v/>
      </c>
      <c r="AJ619" s="20" t="str">
        <f>""</f>
        <v/>
      </c>
      <c r="AK619" s="20" t="str">
        <f>""</f>
        <v/>
      </c>
      <c r="AL619" s="20" t="str">
        <f>""</f>
        <v/>
      </c>
      <c r="AM619" s="20" t="str">
        <f>""</f>
        <v/>
      </c>
    </row>
    <row r="620" spans="1:39" ht="15.75" customHeight="1" x14ac:dyDescent="0.25">
      <c r="A620" s="17" t="str">
        <f>IF('Step 13 - Compliance'!B17="","","Active")</f>
        <v/>
      </c>
      <c r="B620" s="18" t="str">
        <f>IF('Step 13 - Compliance'!B17="","",'Step 13 - Compliance'!B17)</f>
        <v/>
      </c>
      <c r="C620" s="18" t="str">
        <f>IF('Step 13 - Compliance'!B17="","",'Step 13 - Compliance'!B17)</f>
        <v/>
      </c>
      <c r="D620" s="17" t="str">
        <f>IF('Step 13 - Compliance'!B17="","",'Step 13 - Compliance'!G17)</f>
        <v/>
      </c>
      <c r="E620" s="17" t="str">
        <f>IF('Step 13 - Compliance'!B17="","",'Step 13 - Compliance'!H17)</f>
        <v/>
      </c>
      <c r="F620" s="18" t="str">
        <f>IF('Step 13 - Compliance'!B17="","",IF('Step 13 - Compliance'!C17="","","Fund Code"))</f>
        <v/>
      </c>
      <c r="G620" s="17" t="str">
        <f>IF('Step 13 - Compliance'!B17="","",IF('Step 13 - Compliance'!C17="","","Equals"))</f>
        <v/>
      </c>
      <c r="H620" s="18" t="str">
        <f>IF('Step 13 - Compliance'!B17="","",IF('Step 13 - Compliance'!C17="","",'Step 13 - Compliance'!C17))</f>
        <v/>
      </c>
      <c r="I620" s="18" t="str">
        <f>IF('Step 13 - Compliance'!B17="","","Organization Code")</f>
        <v/>
      </c>
      <c r="J620" s="17" t="str">
        <f>IF('Step 13 - Compliance'!B17="","","Equals")</f>
        <v/>
      </c>
      <c r="K620" s="18" t="str">
        <f>IF('Step 13 - Compliance'!B17="","",'Step 13 - Compliance'!D17)</f>
        <v/>
      </c>
      <c r="L620" s="18" t="str">
        <f>IF('Step 13 - Compliance'!B17="","","Other Criteria")</f>
        <v/>
      </c>
      <c r="M620" s="17" t="str">
        <f>IF('Step 13 - Compliance'!B17="","","Equals")</f>
        <v/>
      </c>
      <c r="N620" s="18" t="str">
        <f>IF('Step 13 - Compliance'!B17="","",'Step 13 - Compliance'!E17)</f>
        <v/>
      </c>
      <c r="O620" s="18" t="str">
        <f>IF('Step 13 - Compliance'!B17="","",IF('Step 13 - Compliance'!F17="","","Total"))</f>
        <v/>
      </c>
      <c r="P620" s="17" t="str">
        <f>IF('Step 13 - Compliance'!B17="","",IF('Step 13 - Compliance'!F17="","","&gt;="))</f>
        <v/>
      </c>
      <c r="Q620" s="18" t="str">
        <f>IF('Step 13 - Compliance'!B17="","",IF('Step 13 - Compliance'!F17="","",'Step 13 - Compliance'!F17))</f>
        <v/>
      </c>
      <c r="R620" s="18" t="str">
        <f>""</f>
        <v/>
      </c>
      <c r="S620" s="18" t="str">
        <f>""</f>
        <v/>
      </c>
      <c r="T620" s="18" t="str">
        <f>""</f>
        <v/>
      </c>
      <c r="U620" s="18" t="str">
        <f>IF('Step 13 - Compliance'!B17="","",'Step 13 - Compliance'!I17)</f>
        <v/>
      </c>
      <c r="V620" s="17" t="str">
        <f>IF('Step 13 - Compliance'!B17="","",'Step 13 - Compliance'!K17)</f>
        <v/>
      </c>
      <c r="W620" s="18" t="str">
        <f>IF('Step 13 - Compliance'!B17="","",'Step 13 - Compliance'!L17)</f>
        <v/>
      </c>
      <c r="X620" s="17" t="str">
        <f>IF('Step 13 - Compliance'!B17="","",'Step 13 - Compliance'!N17)</f>
        <v/>
      </c>
      <c r="Y620" s="18" t="str">
        <f>""</f>
        <v/>
      </c>
      <c r="Z620" s="18" t="str">
        <f>""</f>
        <v/>
      </c>
      <c r="AA620" s="18" t="str">
        <f>""</f>
        <v/>
      </c>
      <c r="AB620" s="18" t="str">
        <f>""</f>
        <v/>
      </c>
      <c r="AC620" s="18" t="str">
        <f>""</f>
        <v/>
      </c>
      <c r="AD620" s="18" t="str">
        <f>""</f>
        <v/>
      </c>
      <c r="AE620" s="18" t="str">
        <f>""</f>
        <v/>
      </c>
      <c r="AF620" s="18" t="str">
        <f>""</f>
        <v/>
      </c>
      <c r="AG620" s="18" t="str">
        <f>""</f>
        <v/>
      </c>
      <c r="AH620" s="18" t="str">
        <f>""</f>
        <v/>
      </c>
      <c r="AI620" s="18" t="str">
        <f>""</f>
        <v/>
      </c>
      <c r="AJ620" s="18" t="str">
        <f>""</f>
        <v/>
      </c>
      <c r="AK620" s="18" t="str">
        <f>""</f>
        <v/>
      </c>
      <c r="AL620" s="18" t="str">
        <f>""</f>
        <v/>
      </c>
      <c r="AM620" s="18" t="str">
        <f>""</f>
        <v/>
      </c>
    </row>
    <row r="621" spans="1:39" ht="15.75" customHeight="1" x14ac:dyDescent="0.25">
      <c r="A621" s="19" t="str">
        <f>IF('Step 13 - Compliance'!B18="","","Active")</f>
        <v/>
      </c>
      <c r="B621" s="20" t="str">
        <f>IF('Step 13 - Compliance'!B18="","",'Step 13 - Compliance'!B18)</f>
        <v/>
      </c>
      <c r="C621" s="20" t="str">
        <f>IF('Step 13 - Compliance'!B18="","",'Step 13 - Compliance'!B18)</f>
        <v/>
      </c>
      <c r="D621" s="19" t="str">
        <f>IF('Step 13 - Compliance'!B18="","",'Step 13 - Compliance'!G18)</f>
        <v/>
      </c>
      <c r="E621" s="19" t="str">
        <f>IF('Step 13 - Compliance'!B18="","",'Step 13 - Compliance'!H18)</f>
        <v/>
      </c>
      <c r="F621" s="20" t="str">
        <f>IF('Step 13 - Compliance'!B18="","",IF('Step 13 - Compliance'!C18="","","Fund Code"))</f>
        <v/>
      </c>
      <c r="G621" s="19" t="str">
        <f>IF('Step 13 - Compliance'!B18="","",IF('Step 13 - Compliance'!C18="","","Equals"))</f>
        <v/>
      </c>
      <c r="H621" s="20" t="str">
        <f>IF('Step 13 - Compliance'!B18="","",IF('Step 13 - Compliance'!C18="","",'Step 13 - Compliance'!C18))</f>
        <v/>
      </c>
      <c r="I621" s="20" t="str">
        <f>IF('Step 13 - Compliance'!B18="","","Organization Code")</f>
        <v/>
      </c>
      <c r="J621" s="19" t="str">
        <f>IF('Step 13 - Compliance'!B18="","","Equals")</f>
        <v/>
      </c>
      <c r="K621" s="20" t="str">
        <f>IF('Step 13 - Compliance'!B18="","",'Step 13 - Compliance'!D18)</f>
        <v/>
      </c>
      <c r="L621" s="20" t="str">
        <f>IF('Step 13 - Compliance'!B18="","","Other Criteria")</f>
        <v/>
      </c>
      <c r="M621" s="19" t="str">
        <f>IF('Step 13 - Compliance'!B18="","","Equals")</f>
        <v/>
      </c>
      <c r="N621" s="20" t="str">
        <f>IF('Step 13 - Compliance'!B18="","",'Step 13 - Compliance'!E18)</f>
        <v/>
      </c>
      <c r="O621" s="20" t="str">
        <f>IF('Step 13 - Compliance'!B18="","",IF('Step 13 - Compliance'!F18="","","Total"))</f>
        <v/>
      </c>
      <c r="P621" s="19" t="str">
        <f>IF('Step 13 - Compliance'!B18="","",IF('Step 13 - Compliance'!F18="","","&gt;="))</f>
        <v/>
      </c>
      <c r="Q621" s="20" t="str">
        <f>IF('Step 13 - Compliance'!B18="","",IF('Step 13 - Compliance'!F18="","",'Step 13 - Compliance'!F18))</f>
        <v/>
      </c>
      <c r="R621" s="20" t="str">
        <f>""</f>
        <v/>
      </c>
      <c r="S621" s="20" t="str">
        <f>""</f>
        <v/>
      </c>
      <c r="T621" s="20" t="str">
        <f>""</f>
        <v/>
      </c>
      <c r="U621" s="20" t="str">
        <f>IF('Step 13 - Compliance'!B18="","",'Step 13 - Compliance'!I18)</f>
        <v/>
      </c>
      <c r="V621" s="19" t="str">
        <f>IF('Step 13 - Compliance'!B18="","",'Step 13 - Compliance'!K18)</f>
        <v/>
      </c>
      <c r="W621" s="20" t="str">
        <f>IF('Step 13 - Compliance'!B18="","",'Step 13 - Compliance'!L18)</f>
        <v/>
      </c>
      <c r="X621" s="19" t="str">
        <f>IF('Step 13 - Compliance'!B18="","",'Step 13 - Compliance'!N18)</f>
        <v/>
      </c>
      <c r="Y621" s="20" t="str">
        <f>""</f>
        <v/>
      </c>
      <c r="Z621" s="20" t="str">
        <f>""</f>
        <v/>
      </c>
      <c r="AA621" s="20" t="str">
        <f>""</f>
        <v/>
      </c>
      <c r="AB621" s="20" t="str">
        <f>""</f>
        <v/>
      </c>
      <c r="AC621" s="20" t="str">
        <f>""</f>
        <v/>
      </c>
      <c r="AD621" s="20" t="str">
        <f>""</f>
        <v/>
      </c>
      <c r="AE621" s="20" t="str">
        <f>""</f>
        <v/>
      </c>
      <c r="AF621" s="20" t="str">
        <f>""</f>
        <v/>
      </c>
      <c r="AG621" s="20" t="str">
        <f>""</f>
        <v/>
      </c>
      <c r="AH621" s="20" t="str">
        <f>""</f>
        <v/>
      </c>
      <c r="AI621" s="20" t="str">
        <f>""</f>
        <v/>
      </c>
      <c r="AJ621" s="20" t="str">
        <f>""</f>
        <v/>
      </c>
      <c r="AK621" s="20" t="str">
        <f>""</f>
        <v/>
      </c>
      <c r="AL621" s="20" t="str">
        <f>""</f>
        <v/>
      </c>
      <c r="AM621" s="20" t="str">
        <f>""</f>
        <v/>
      </c>
    </row>
    <row r="622" spans="1:39" ht="15.75" customHeight="1" x14ac:dyDescent="0.25">
      <c r="A622" s="17" t="str">
        <f>IF('Step 13 - Compliance'!B19="","","Active")</f>
        <v/>
      </c>
      <c r="B622" s="18" t="str">
        <f>IF('Step 13 - Compliance'!B19="","",'Step 13 - Compliance'!B19)</f>
        <v/>
      </c>
      <c r="C622" s="18" t="str">
        <f>IF('Step 13 - Compliance'!B19="","",'Step 13 - Compliance'!B19)</f>
        <v/>
      </c>
      <c r="D622" s="17" t="str">
        <f>IF('Step 13 - Compliance'!B19="","",'Step 13 - Compliance'!G19)</f>
        <v/>
      </c>
      <c r="E622" s="17" t="str">
        <f>IF('Step 13 - Compliance'!B19="","",'Step 13 - Compliance'!H19)</f>
        <v/>
      </c>
      <c r="F622" s="18" t="str">
        <f>IF('Step 13 - Compliance'!B19="","",IF('Step 13 - Compliance'!C19="","","Fund Code"))</f>
        <v/>
      </c>
      <c r="G622" s="17" t="str">
        <f>IF('Step 13 - Compliance'!B19="","",IF('Step 13 - Compliance'!C19="","","Equals"))</f>
        <v/>
      </c>
      <c r="H622" s="18" t="str">
        <f>IF('Step 13 - Compliance'!B19="","",IF('Step 13 - Compliance'!C19="","",'Step 13 - Compliance'!C19))</f>
        <v/>
      </c>
      <c r="I622" s="18" t="str">
        <f>IF('Step 13 - Compliance'!B19="","","Organization Code")</f>
        <v/>
      </c>
      <c r="J622" s="17" t="str">
        <f>IF('Step 13 - Compliance'!B19="","","Equals")</f>
        <v/>
      </c>
      <c r="K622" s="18" t="str">
        <f>IF('Step 13 - Compliance'!B19="","",'Step 13 - Compliance'!D19)</f>
        <v/>
      </c>
      <c r="L622" s="18" t="str">
        <f>IF('Step 13 - Compliance'!B19="","","Other Criteria")</f>
        <v/>
      </c>
      <c r="M622" s="17" t="str">
        <f>IF('Step 13 - Compliance'!B19="","","Equals")</f>
        <v/>
      </c>
      <c r="N622" s="18" t="str">
        <f>IF('Step 13 - Compliance'!B19="","",'Step 13 - Compliance'!E19)</f>
        <v/>
      </c>
      <c r="O622" s="18" t="str">
        <f>IF('Step 13 - Compliance'!B19="","",IF('Step 13 - Compliance'!F19="","","Total"))</f>
        <v/>
      </c>
      <c r="P622" s="17" t="str">
        <f>IF('Step 13 - Compliance'!B19="","",IF('Step 13 - Compliance'!F19="","","&gt;="))</f>
        <v/>
      </c>
      <c r="Q622" s="18" t="str">
        <f>IF('Step 13 - Compliance'!B19="","",IF('Step 13 - Compliance'!F19="","",'Step 13 - Compliance'!F19))</f>
        <v/>
      </c>
      <c r="R622" s="18" t="str">
        <f>""</f>
        <v/>
      </c>
      <c r="S622" s="18" t="str">
        <f>""</f>
        <v/>
      </c>
      <c r="T622" s="18" t="str">
        <f>""</f>
        <v/>
      </c>
      <c r="U622" s="18" t="str">
        <f>IF('Step 13 - Compliance'!B19="","",'Step 13 - Compliance'!I19)</f>
        <v/>
      </c>
      <c r="V622" s="17" t="str">
        <f>IF('Step 13 - Compliance'!B19="","",'Step 13 - Compliance'!K19)</f>
        <v/>
      </c>
      <c r="W622" s="18" t="str">
        <f>IF('Step 13 - Compliance'!B19="","",'Step 13 - Compliance'!L19)</f>
        <v/>
      </c>
      <c r="X622" s="17" t="str">
        <f>IF('Step 13 - Compliance'!B19="","",'Step 13 - Compliance'!N19)</f>
        <v/>
      </c>
      <c r="Y622" s="18" t="str">
        <f>""</f>
        <v/>
      </c>
      <c r="Z622" s="18" t="str">
        <f>""</f>
        <v/>
      </c>
      <c r="AA622" s="18" t="str">
        <f>""</f>
        <v/>
      </c>
      <c r="AB622" s="18" t="str">
        <f>""</f>
        <v/>
      </c>
      <c r="AC622" s="18" t="str">
        <f>""</f>
        <v/>
      </c>
      <c r="AD622" s="18" t="str">
        <f>""</f>
        <v/>
      </c>
      <c r="AE622" s="18" t="str">
        <f>""</f>
        <v/>
      </c>
      <c r="AF622" s="18" t="str">
        <f>""</f>
        <v/>
      </c>
      <c r="AG622" s="18" t="str">
        <f>""</f>
        <v/>
      </c>
      <c r="AH622" s="18" t="str">
        <f>""</f>
        <v/>
      </c>
      <c r="AI622" s="18" t="str">
        <f>""</f>
        <v/>
      </c>
      <c r="AJ622" s="18" t="str">
        <f>""</f>
        <v/>
      </c>
      <c r="AK622" s="18" t="str">
        <f>""</f>
        <v/>
      </c>
      <c r="AL622" s="18" t="str">
        <f>""</f>
        <v/>
      </c>
      <c r="AM622" s="18" t="str">
        <f>""</f>
        <v/>
      </c>
    </row>
    <row r="623" spans="1:39" ht="15.75" customHeight="1" x14ac:dyDescent="0.25">
      <c r="A623" s="19" t="str">
        <f>IF('Step 13 - Compliance'!B20="","","Active")</f>
        <v/>
      </c>
      <c r="B623" s="20" t="str">
        <f>IF('Step 13 - Compliance'!B20="","",'Step 13 - Compliance'!B20)</f>
        <v/>
      </c>
      <c r="C623" s="20" t="str">
        <f>IF('Step 13 - Compliance'!B20="","",'Step 13 - Compliance'!B20)</f>
        <v/>
      </c>
      <c r="D623" s="19" t="str">
        <f>IF('Step 13 - Compliance'!B20="","",'Step 13 - Compliance'!G20)</f>
        <v/>
      </c>
      <c r="E623" s="19" t="str">
        <f>IF('Step 13 - Compliance'!B20="","",'Step 13 - Compliance'!H20)</f>
        <v/>
      </c>
      <c r="F623" s="20" t="str">
        <f>IF('Step 13 - Compliance'!B20="","",IF('Step 13 - Compliance'!C20="","","Fund Code"))</f>
        <v/>
      </c>
      <c r="G623" s="19" t="str">
        <f>IF('Step 13 - Compliance'!B20="","",IF('Step 13 - Compliance'!C20="","","Equals"))</f>
        <v/>
      </c>
      <c r="H623" s="20" t="str">
        <f>IF('Step 13 - Compliance'!B20="","",IF('Step 13 - Compliance'!C20="","",'Step 13 - Compliance'!C20))</f>
        <v/>
      </c>
      <c r="I623" s="20" t="str">
        <f>IF('Step 13 - Compliance'!B20="","","Organization Code")</f>
        <v/>
      </c>
      <c r="J623" s="19" t="str">
        <f>IF('Step 13 - Compliance'!B20="","","Equals")</f>
        <v/>
      </c>
      <c r="K623" s="20" t="str">
        <f>IF('Step 13 - Compliance'!B20="","",'Step 13 - Compliance'!D20)</f>
        <v/>
      </c>
      <c r="L623" s="20" t="str">
        <f>IF('Step 13 - Compliance'!B20="","","Other Criteria")</f>
        <v/>
      </c>
      <c r="M623" s="19" t="str">
        <f>IF('Step 13 - Compliance'!B20="","","Equals")</f>
        <v/>
      </c>
      <c r="N623" s="20" t="str">
        <f>IF('Step 13 - Compliance'!B20="","",'Step 13 - Compliance'!E20)</f>
        <v/>
      </c>
      <c r="O623" s="20" t="str">
        <f>IF('Step 13 - Compliance'!B20="","",IF('Step 13 - Compliance'!F20="","","Total"))</f>
        <v/>
      </c>
      <c r="P623" s="19" t="str">
        <f>IF('Step 13 - Compliance'!B20="","",IF('Step 13 - Compliance'!F20="","","&gt;="))</f>
        <v/>
      </c>
      <c r="Q623" s="20" t="str">
        <f>IF('Step 13 - Compliance'!B20="","",IF('Step 13 - Compliance'!F20="","",'Step 13 - Compliance'!F20))</f>
        <v/>
      </c>
      <c r="R623" s="20" t="str">
        <f>""</f>
        <v/>
      </c>
      <c r="S623" s="20" t="str">
        <f>""</f>
        <v/>
      </c>
      <c r="T623" s="20" t="str">
        <f>""</f>
        <v/>
      </c>
      <c r="U623" s="20" t="str">
        <f>IF('Step 13 - Compliance'!B20="","",'Step 13 - Compliance'!I20)</f>
        <v/>
      </c>
      <c r="V623" s="19" t="str">
        <f>IF('Step 13 - Compliance'!B20="","",'Step 13 - Compliance'!K20)</f>
        <v/>
      </c>
      <c r="W623" s="20" t="str">
        <f>IF('Step 13 - Compliance'!B20="","",'Step 13 - Compliance'!L20)</f>
        <v/>
      </c>
      <c r="X623" s="19" t="str">
        <f>IF('Step 13 - Compliance'!B20="","",'Step 13 - Compliance'!N20)</f>
        <v/>
      </c>
      <c r="Y623" s="20" t="str">
        <f>""</f>
        <v/>
      </c>
      <c r="Z623" s="20" t="str">
        <f>""</f>
        <v/>
      </c>
      <c r="AA623" s="20" t="str">
        <f>""</f>
        <v/>
      </c>
      <c r="AB623" s="20" t="str">
        <f>""</f>
        <v/>
      </c>
      <c r="AC623" s="20" t="str">
        <f>""</f>
        <v/>
      </c>
      <c r="AD623" s="20" t="str">
        <f>""</f>
        <v/>
      </c>
      <c r="AE623" s="20" t="str">
        <f>""</f>
        <v/>
      </c>
      <c r="AF623" s="20" t="str">
        <f>""</f>
        <v/>
      </c>
      <c r="AG623" s="20" t="str">
        <f>""</f>
        <v/>
      </c>
      <c r="AH623" s="20" t="str">
        <f>""</f>
        <v/>
      </c>
      <c r="AI623" s="20" t="str">
        <f>""</f>
        <v/>
      </c>
      <c r="AJ623" s="20" t="str">
        <f>""</f>
        <v/>
      </c>
      <c r="AK623" s="20" t="str">
        <f>""</f>
        <v/>
      </c>
      <c r="AL623" s="20" t="str">
        <f>""</f>
        <v/>
      </c>
      <c r="AM623" s="20" t="str">
        <f>""</f>
        <v/>
      </c>
    </row>
    <row r="624" spans="1:39" ht="15.75" customHeight="1" x14ac:dyDescent="0.25">
      <c r="A624" s="17" t="str">
        <f>IF('Step 13 - Compliance'!B21="","","Active")</f>
        <v/>
      </c>
      <c r="B624" s="18" t="str">
        <f>IF('Step 13 - Compliance'!B21="","",'Step 13 - Compliance'!B21)</f>
        <v/>
      </c>
      <c r="C624" s="18" t="str">
        <f>IF('Step 13 - Compliance'!B21="","",'Step 13 - Compliance'!B21)</f>
        <v/>
      </c>
      <c r="D624" s="17" t="str">
        <f>IF('Step 13 - Compliance'!B21="","",'Step 13 - Compliance'!G21)</f>
        <v/>
      </c>
      <c r="E624" s="17" t="str">
        <f>IF('Step 13 - Compliance'!B21="","",'Step 13 - Compliance'!H21)</f>
        <v/>
      </c>
      <c r="F624" s="18" t="str">
        <f>IF('Step 13 - Compliance'!B21="","",IF('Step 13 - Compliance'!C21="","","Fund Code"))</f>
        <v/>
      </c>
      <c r="G624" s="17" t="str">
        <f>IF('Step 13 - Compliance'!B21="","",IF('Step 13 - Compliance'!C21="","","Equals"))</f>
        <v/>
      </c>
      <c r="H624" s="18" t="str">
        <f>IF('Step 13 - Compliance'!B21="","",IF('Step 13 - Compliance'!C21="","",'Step 13 - Compliance'!C21))</f>
        <v/>
      </c>
      <c r="I624" s="18" t="str">
        <f>IF('Step 13 - Compliance'!B21="","","Organization Code")</f>
        <v/>
      </c>
      <c r="J624" s="17" t="str">
        <f>IF('Step 13 - Compliance'!B21="","","Equals")</f>
        <v/>
      </c>
      <c r="K624" s="18" t="str">
        <f>IF('Step 13 - Compliance'!B21="","",'Step 13 - Compliance'!D21)</f>
        <v/>
      </c>
      <c r="L624" s="18" t="str">
        <f>IF('Step 13 - Compliance'!B21="","","Other Criteria")</f>
        <v/>
      </c>
      <c r="M624" s="17" t="str">
        <f>IF('Step 13 - Compliance'!B21="","","Equals")</f>
        <v/>
      </c>
      <c r="N624" s="18" t="str">
        <f>IF('Step 13 - Compliance'!B21="","",'Step 13 - Compliance'!E21)</f>
        <v/>
      </c>
      <c r="O624" s="18" t="str">
        <f>IF('Step 13 - Compliance'!B21="","",IF('Step 13 - Compliance'!F21="","","Total"))</f>
        <v/>
      </c>
      <c r="P624" s="17" t="str">
        <f>IF('Step 13 - Compliance'!B21="","",IF('Step 13 - Compliance'!F21="","","&gt;="))</f>
        <v/>
      </c>
      <c r="Q624" s="18" t="str">
        <f>IF('Step 13 - Compliance'!B21="","",IF('Step 13 - Compliance'!F21="","",'Step 13 - Compliance'!F21))</f>
        <v/>
      </c>
      <c r="R624" s="18" t="str">
        <f>""</f>
        <v/>
      </c>
      <c r="S624" s="18" t="str">
        <f>""</f>
        <v/>
      </c>
      <c r="T624" s="18" t="str">
        <f>""</f>
        <v/>
      </c>
      <c r="U624" s="18" t="str">
        <f>IF('Step 13 - Compliance'!B21="","",'Step 13 - Compliance'!I21)</f>
        <v/>
      </c>
      <c r="V624" s="17" t="str">
        <f>IF('Step 13 - Compliance'!B21="","",'Step 13 - Compliance'!K21)</f>
        <v/>
      </c>
      <c r="W624" s="18" t="str">
        <f>IF('Step 13 - Compliance'!B21="","",'Step 13 - Compliance'!L21)</f>
        <v/>
      </c>
      <c r="X624" s="17" t="str">
        <f>IF('Step 13 - Compliance'!B21="","",'Step 13 - Compliance'!N21)</f>
        <v/>
      </c>
      <c r="Y624" s="18" t="str">
        <f>""</f>
        <v/>
      </c>
      <c r="Z624" s="18" t="str">
        <f>""</f>
        <v/>
      </c>
      <c r="AA624" s="18" t="str">
        <f>""</f>
        <v/>
      </c>
      <c r="AB624" s="18" t="str">
        <f>""</f>
        <v/>
      </c>
      <c r="AC624" s="18" t="str">
        <f>""</f>
        <v/>
      </c>
      <c r="AD624" s="18" t="str">
        <f>""</f>
        <v/>
      </c>
      <c r="AE624" s="18" t="str">
        <f>""</f>
        <v/>
      </c>
      <c r="AF624" s="18" t="str">
        <f>""</f>
        <v/>
      </c>
      <c r="AG624" s="18" t="str">
        <f>""</f>
        <v/>
      </c>
      <c r="AH624" s="18" t="str">
        <f>""</f>
        <v/>
      </c>
      <c r="AI624" s="18" t="str">
        <f>""</f>
        <v/>
      </c>
      <c r="AJ624" s="18" t="str">
        <f>""</f>
        <v/>
      </c>
      <c r="AK624" s="18" t="str">
        <f>""</f>
        <v/>
      </c>
      <c r="AL624" s="18" t="str">
        <f>""</f>
        <v/>
      </c>
      <c r="AM624" s="18" t="str">
        <f>""</f>
        <v/>
      </c>
    </row>
    <row r="625" spans="1:39" ht="15.75" customHeight="1" x14ac:dyDescent="0.25">
      <c r="A625" s="19" t="str">
        <f>IF('Step 13 - Compliance'!B22="","","Active")</f>
        <v/>
      </c>
      <c r="B625" s="20" t="str">
        <f>IF('Step 13 - Compliance'!B22="","",'Step 13 - Compliance'!B22)</f>
        <v/>
      </c>
      <c r="C625" s="20" t="str">
        <f>IF('Step 13 - Compliance'!B22="","",'Step 13 - Compliance'!B22)</f>
        <v/>
      </c>
      <c r="D625" s="19" t="str">
        <f>IF('Step 13 - Compliance'!B22="","",'Step 13 - Compliance'!G22)</f>
        <v/>
      </c>
      <c r="E625" s="19" t="str">
        <f>IF('Step 13 - Compliance'!B22="","",'Step 13 - Compliance'!H22)</f>
        <v/>
      </c>
      <c r="F625" s="20" t="str">
        <f>IF('Step 13 - Compliance'!B22="","",IF('Step 13 - Compliance'!C22="","","Fund Code"))</f>
        <v/>
      </c>
      <c r="G625" s="19" t="str">
        <f>IF('Step 13 - Compliance'!B22="","",IF('Step 13 - Compliance'!C22="","","Equals"))</f>
        <v/>
      </c>
      <c r="H625" s="20" t="str">
        <f>IF('Step 13 - Compliance'!B22="","",IF('Step 13 - Compliance'!C22="","",'Step 13 - Compliance'!C22))</f>
        <v/>
      </c>
      <c r="I625" s="20" t="str">
        <f>IF('Step 13 - Compliance'!B22="","","Organization Code")</f>
        <v/>
      </c>
      <c r="J625" s="19" t="str">
        <f>IF('Step 13 - Compliance'!B22="","","Equals")</f>
        <v/>
      </c>
      <c r="K625" s="20" t="str">
        <f>IF('Step 13 - Compliance'!B22="","",'Step 13 - Compliance'!D22)</f>
        <v/>
      </c>
      <c r="L625" s="20" t="str">
        <f>IF('Step 13 - Compliance'!B22="","","Other Criteria")</f>
        <v/>
      </c>
      <c r="M625" s="19" t="str">
        <f>IF('Step 13 - Compliance'!B22="","","Equals")</f>
        <v/>
      </c>
      <c r="N625" s="20" t="str">
        <f>IF('Step 13 - Compliance'!B22="","",'Step 13 - Compliance'!E22)</f>
        <v/>
      </c>
      <c r="O625" s="20" t="str">
        <f>IF('Step 13 - Compliance'!B22="","",IF('Step 13 - Compliance'!F22="","","Total"))</f>
        <v/>
      </c>
      <c r="P625" s="19" t="str">
        <f>IF('Step 13 - Compliance'!B22="","",IF('Step 13 - Compliance'!F22="","","&gt;="))</f>
        <v/>
      </c>
      <c r="Q625" s="20" t="str">
        <f>IF('Step 13 - Compliance'!B22="","",IF('Step 13 - Compliance'!F22="","",'Step 13 - Compliance'!F22))</f>
        <v/>
      </c>
      <c r="R625" s="20" t="str">
        <f>""</f>
        <v/>
      </c>
      <c r="S625" s="20" t="str">
        <f>""</f>
        <v/>
      </c>
      <c r="T625" s="20" t="str">
        <f>""</f>
        <v/>
      </c>
      <c r="U625" s="20" t="str">
        <f>IF('Step 13 - Compliance'!B22="","",'Step 13 - Compliance'!I22)</f>
        <v/>
      </c>
      <c r="V625" s="19" t="str">
        <f>IF('Step 13 - Compliance'!B22="","",'Step 13 - Compliance'!K22)</f>
        <v/>
      </c>
      <c r="W625" s="20" t="str">
        <f>IF('Step 13 - Compliance'!B22="","",'Step 13 - Compliance'!L22)</f>
        <v/>
      </c>
      <c r="X625" s="19" t="str">
        <f>IF('Step 13 - Compliance'!B22="","",'Step 13 - Compliance'!N22)</f>
        <v/>
      </c>
      <c r="Y625" s="20" t="str">
        <f>""</f>
        <v/>
      </c>
      <c r="Z625" s="20" t="str">
        <f>""</f>
        <v/>
      </c>
      <c r="AA625" s="20" t="str">
        <f>""</f>
        <v/>
      </c>
      <c r="AB625" s="20" t="str">
        <f>""</f>
        <v/>
      </c>
      <c r="AC625" s="20" t="str">
        <f>""</f>
        <v/>
      </c>
      <c r="AD625" s="20" t="str">
        <f>""</f>
        <v/>
      </c>
      <c r="AE625" s="20" t="str">
        <f>""</f>
        <v/>
      </c>
      <c r="AF625" s="20" t="str">
        <f>""</f>
        <v/>
      </c>
      <c r="AG625" s="20" t="str">
        <f>""</f>
        <v/>
      </c>
      <c r="AH625" s="20" t="str">
        <f>""</f>
        <v/>
      </c>
      <c r="AI625" s="20" t="str">
        <f>""</f>
        <v/>
      </c>
      <c r="AJ625" s="20" t="str">
        <f>""</f>
        <v/>
      </c>
      <c r="AK625" s="20" t="str">
        <f>""</f>
        <v/>
      </c>
      <c r="AL625" s="20" t="str">
        <f>""</f>
        <v/>
      </c>
      <c r="AM625" s="20" t="str">
        <f>""</f>
        <v/>
      </c>
    </row>
    <row r="626" spans="1:39" ht="15.75" customHeight="1" x14ac:dyDescent="0.25">
      <c r="A626" s="17" t="str">
        <f>IF('Step 13 - Compliance'!B23="","","Active")</f>
        <v/>
      </c>
      <c r="B626" s="18" t="str">
        <f>IF('Step 13 - Compliance'!B23="","",'Step 13 - Compliance'!B23)</f>
        <v/>
      </c>
      <c r="C626" s="18" t="str">
        <f>IF('Step 13 - Compliance'!B23="","",'Step 13 - Compliance'!B23)</f>
        <v/>
      </c>
      <c r="D626" s="17" t="str">
        <f>IF('Step 13 - Compliance'!B23="","",'Step 13 - Compliance'!G23)</f>
        <v/>
      </c>
      <c r="E626" s="17" t="str">
        <f>IF('Step 13 - Compliance'!B23="","",'Step 13 - Compliance'!H23)</f>
        <v/>
      </c>
      <c r="F626" s="18" t="str">
        <f>IF('Step 13 - Compliance'!B23="","",IF('Step 13 - Compliance'!C23="","","Fund Code"))</f>
        <v/>
      </c>
      <c r="G626" s="17" t="str">
        <f>IF('Step 13 - Compliance'!B23="","",IF('Step 13 - Compliance'!C23="","","Equals"))</f>
        <v/>
      </c>
      <c r="H626" s="18" t="str">
        <f>IF('Step 13 - Compliance'!B23="","",IF('Step 13 - Compliance'!C23="","",'Step 13 - Compliance'!C23))</f>
        <v/>
      </c>
      <c r="I626" s="18" t="str">
        <f>IF('Step 13 - Compliance'!B23="","","Organization Code")</f>
        <v/>
      </c>
      <c r="J626" s="17" t="str">
        <f>IF('Step 13 - Compliance'!B23="","","Equals")</f>
        <v/>
      </c>
      <c r="K626" s="18" t="str">
        <f>IF('Step 13 - Compliance'!B23="","",'Step 13 - Compliance'!D23)</f>
        <v/>
      </c>
      <c r="L626" s="18" t="str">
        <f>IF('Step 13 - Compliance'!B23="","","Other Criteria")</f>
        <v/>
      </c>
      <c r="M626" s="17" t="str">
        <f>IF('Step 13 - Compliance'!B23="","","Equals")</f>
        <v/>
      </c>
      <c r="N626" s="18" t="str">
        <f>IF('Step 13 - Compliance'!B23="","",'Step 13 - Compliance'!E23)</f>
        <v/>
      </c>
      <c r="O626" s="18" t="str">
        <f>IF('Step 13 - Compliance'!B23="","",IF('Step 13 - Compliance'!F23="","","Total"))</f>
        <v/>
      </c>
      <c r="P626" s="17" t="str">
        <f>IF('Step 13 - Compliance'!B23="","",IF('Step 13 - Compliance'!F23="","","&gt;="))</f>
        <v/>
      </c>
      <c r="Q626" s="18" t="str">
        <f>IF('Step 13 - Compliance'!B23="","",IF('Step 13 - Compliance'!F23="","",'Step 13 - Compliance'!F23))</f>
        <v/>
      </c>
      <c r="R626" s="18" t="str">
        <f>""</f>
        <v/>
      </c>
      <c r="S626" s="18" t="str">
        <f>""</f>
        <v/>
      </c>
      <c r="T626" s="18" t="str">
        <f>""</f>
        <v/>
      </c>
      <c r="U626" s="18" t="str">
        <f>IF('Step 13 - Compliance'!B23="","",'Step 13 - Compliance'!I23)</f>
        <v/>
      </c>
      <c r="V626" s="17" t="str">
        <f>IF('Step 13 - Compliance'!B23="","",'Step 13 - Compliance'!K23)</f>
        <v/>
      </c>
      <c r="W626" s="18" t="str">
        <f>IF('Step 13 - Compliance'!B23="","",'Step 13 - Compliance'!L23)</f>
        <v/>
      </c>
      <c r="X626" s="17" t="str">
        <f>IF('Step 13 - Compliance'!B23="","",'Step 13 - Compliance'!N23)</f>
        <v/>
      </c>
      <c r="Y626" s="18" t="str">
        <f>""</f>
        <v/>
      </c>
      <c r="Z626" s="18" t="str">
        <f>""</f>
        <v/>
      </c>
      <c r="AA626" s="18" t="str">
        <f>""</f>
        <v/>
      </c>
      <c r="AB626" s="18" t="str">
        <f>""</f>
        <v/>
      </c>
      <c r="AC626" s="18" t="str">
        <f>""</f>
        <v/>
      </c>
      <c r="AD626" s="18" t="str">
        <f>""</f>
        <v/>
      </c>
      <c r="AE626" s="18" t="str">
        <f>""</f>
        <v/>
      </c>
      <c r="AF626" s="18" t="str">
        <f>""</f>
        <v/>
      </c>
      <c r="AG626" s="18" t="str">
        <f>""</f>
        <v/>
      </c>
      <c r="AH626" s="18" t="str">
        <f>""</f>
        <v/>
      </c>
      <c r="AI626" s="18" t="str">
        <f>""</f>
        <v/>
      </c>
      <c r="AJ626" s="18" t="str">
        <f>""</f>
        <v/>
      </c>
      <c r="AK626" s="18" t="str">
        <f>""</f>
        <v/>
      </c>
      <c r="AL626" s="18" t="str">
        <f>""</f>
        <v/>
      </c>
      <c r="AM626" s="18" t="str">
        <f>""</f>
        <v/>
      </c>
    </row>
    <row r="627" spans="1:39" ht="15.75" customHeight="1" x14ac:dyDescent="0.25">
      <c r="A627" s="19" t="str">
        <f>IF('Step 13 - Compliance'!B24="","","Active")</f>
        <v/>
      </c>
      <c r="B627" s="20" t="str">
        <f>IF('Step 13 - Compliance'!B24="","",'Step 13 - Compliance'!B24)</f>
        <v/>
      </c>
      <c r="C627" s="20" t="str">
        <f>IF('Step 13 - Compliance'!B24="","",'Step 13 - Compliance'!B24)</f>
        <v/>
      </c>
      <c r="D627" s="19" t="str">
        <f>IF('Step 13 - Compliance'!B24="","",'Step 13 - Compliance'!G24)</f>
        <v/>
      </c>
      <c r="E627" s="19" t="str">
        <f>IF('Step 13 - Compliance'!B24="","",'Step 13 - Compliance'!H24)</f>
        <v/>
      </c>
      <c r="F627" s="20" t="str">
        <f>IF('Step 13 - Compliance'!B24="","",IF('Step 13 - Compliance'!C24="","","Fund Code"))</f>
        <v/>
      </c>
      <c r="G627" s="19" t="str">
        <f>IF('Step 13 - Compliance'!B24="","",IF('Step 13 - Compliance'!C24="","","Equals"))</f>
        <v/>
      </c>
      <c r="H627" s="20" t="str">
        <f>IF('Step 13 - Compliance'!B24="","",IF('Step 13 - Compliance'!C24="","",'Step 13 - Compliance'!C24))</f>
        <v/>
      </c>
      <c r="I627" s="20" t="str">
        <f>IF('Step 13 - Compliance'!B24="","","Organization Code")</f>
        <v/>
      </c>
      <c r="J627" s="19" t="str">
        <f>IF('Step 13 - Compliance'!B24="","","Equals")</f>
        <v/>
      </c>
      <c r="K627" s="20" t="str">
        <f>IF('Step 13 - Compliance'!B24="","",'Step 13 - Compliance'!D24)</f>
        <v/>
      </c>
      <c r="L627" s="20" t="str">
        <f>IF('Step 13 - Compliance'!B24="","","Other Criteria")</f>
        <v/>
      </c>
      <c r="M627" s="19" t="str">
        <f>IF('Step 13 - Compliance'!B24="","","Equals")</f>
        <v/>
      </c>
      <c r="N627" s="20" t="str">
        <f>IF('Step 13 - Compliance'!B24="","",'Step 13 - Compliance'!E24)</f>
        <v/>
      </c>
      <c r="O627" s="20" t="str">
        <f>IF('Step 13 - Compliance'!B24="","",IF('Step 13 - Compliance'!F24="","","Total"))</f>
        <v/>
      </c>
      <c r="P627" s="19" t="str">
        <f>IF('Step 13 - Compliance'!B24="","",IF('Step 13 - Compliance'!F24="","","&gt;="))</f>
        <v/>
      </c>
      <c r="Q627" s="20" t="str">
        <f>IF('Step 13 - Compliance'!B24="","",IF('Step 13 - Compliance'!F24="","",'Step 13 - Compliance'!F24))</f>
        <v/>
      </c>
      <c r="R627" s="20" t="str">
        <f>""</f>
        <v/>
      </c>
      <c r="S627" s="20" t="str">
        <f>""</f>
        <v/>
      </c>
      <c r="T627" s="20" t="str">
        <f>""</f>
        <v/>
      </c>
      <c r="U627" s="20" t="str">
        <f>IF('Step 13 - Compliance'!B24="","",'Step 13 - Compliance'!I24)</f>
        <v/>
      </c>
      <c r="V627" s="19" t="str">
        <f>IF('Step 13 - Compliance'!B24="","",'Step 13 - Compliance'!K24)</f>
        <v/>
      </c>
      <c r="W627" s="20" t="str">
        <f>IF('Step 13 - Compliance'!B24="","",'Step 13 - Compliance'!L24)</f>
        <v/>
      </c>
      <c r="X627" s="19" t="str">
        <f>IF('Step 13 - Compliance'!B24="","",'Step 13 - Compliance'!N24)</f>
        <v/>
      </c>
      <c r="Y627" s="20" t="str">
        <f>""</f>
        <v/>
      </c>
      <c r="Z627" s="20" t="str">
        <f>""</f>
        <v/>
      </c>
      <c r="AA627" s="20" t="str">
        <f>""</f>
        <v/>
      </c>
      <c r="AB627" s="20" t="str">
        <f>""</f>
        <v/>
      </c>
      <c r="AC627" s="20" t="str">
        <f>""</f>
        <v/>
      </c>
      <c r="AD627" s="20" t="str">
        <f>""</f>
        <v/>
      </c>
      <c r="AE627" s="20" t="str">
        <f>""</f>
        <v/>
      </c>
      <c r="AF627" s="20" t="str">
        <f>""</f>
        <v/>
      </c>
      <c r="AG627" s="20" t="str">
        <f>""</f>
        <v/>
      </c>
      <c r="AH627" s="20" t="str">
        <f>""</f>
        <v/>
      </c>
      <c r="AI627" s="20" t="str">
        <f>""</f>
        <v/>
      </c>
      <c r="AJ627" s="20" t="str">
        <f>""</f>
        <v/>
      </c>
      <c r="AK627" s="20" t="str">
        <f>""</f>
        <v/>
      </c>
      <c r="AL627" s="20" t="str">
        <f>""</f>
        <v/>
      </c>
      <c r="AM627" s="20" t="str">
        <f>""</f>
        <v/>
      </c>
    </row>
    <row r="628" spans="1:39" ht="15.75" customHeight="1" x14ac:dyDescent="0.25">
      <c r="A628" s="17" t="str">
        <f>IF('Step 13 - Compliance'!B25="","","Active")</f>
        <v/>
      </c>
      <c r="B628" s="18" t="str">
        <f>IF('Step 13 - Compliance'!B25="","",'Step 13 - Compliance'!B25)</f>
        <v/>
      </c>
      <c r="C628" s="18" t="str">
        <f>IF('Step 13 - Compliance'!B25="","",'Step 13 - Compliance'!B25)</f>
        <v/>
      </c>
      <c r="D628" s="17" t="str">
        <f>IF('Step 13 - Compliance'!B25="","",'Step 13 - Compliance'!G25)</f>
        <v/>
      </c>
      <c r="E628" s="17" t="str">
        <f>IF('Step 13 - Compliance'!B25="","",'Step 13 - Compliance'!H25)</f>
        <v/>
      </c>
      <c r="F628" s="18" t="str">
        <f>IF('Step 13 - Compliance'!B25="","",IF('Step 13 - Compliance'!C25="","","Fund Code"))</f>
        <v/>
      </c>
      <c r="G628" s="17" t="str">
        <f>IF('Step 13 - Compliance'!B25="","",IF('Step 13 - Compliance'!C25="","","Equals"))</f>
        <v/>
      </c>
      <c r="H628" s="18" t="str">
        <f>IF('Step 13 - Compliance'!B25="","",IF('Step 13 - Compliance'!C25="","",'Step 13 - Compliance'!C25))</f>
        <v/>
      </c>
      <c r="I628" s="18" t="str">
        <f>IF('Step 13 - Compliance'!B25="","","Organization Code")</f>
        <v/>
      </c>
      <c r="J628" s="17" t="str">
        <f>IF('Step 13 - Compliance'!B25="","","Equals")</f>
        <v/>
      </c>
      <c r="K628" s="18" t="str">
        <f>IF('Step 13 - Compliance'!B25="","",'Step 13 - Compliance'!D25)</f>
        <v/>
      </c>
      <c r="L628" s="18" t="str">
        <f>IF('Step 13 - Compliance'!B25="","","Other Criteria")</f>
        <v/>
      </c>
      <c r="M628" s="17" t="str">
        <f>IF('Step 13 - Compliance'!B25="","","Equals")</f>
        <v/>
      </c>
      <c r="N628" s="18" t="str">
        <f>IF('Step 13 - Compliance'!B25="","",'Step 13 - Compliance'!E25)</f>
        <v/>
      </c>
      <c r="O628" s="18" t="str">
        <f>IF('Step 13 - Compliance'!B25="","",IF('Step 13 - Compliance'!F25="","","Total"))</f>
        <v/>
      </c>
      <c r="P628" s="17" t="str">
        <f>IF('Step 13 - Compliance'!B25="","",IF('Step 13 - Compliance'!F25="","","&gt;="))</f>
        <v/>
      </c>
      <c r="Q628" s="18" t="str">
        <f>IF('Step 13 - Compliance'!B25="","",IF('Step 13 - Compliance'!F25="","",'Step 13 - Compliance'!F25))</f>
        <v/>
      </c>
      <c r="R628" s="18" t="str">
        <f>""</f>
        <v/>
      </c>
      <c r="S628" s="18" t="str">
        <f>""</f>
        <v/>
      </c>
      <c r="T628" s="18" t="str">
        <f>""</f>
        <v/>
      </c>
      <c r="U628" s="18" t="str">
        <f>IF('Step 13 - Compliance'!B25="","",'Step 13 - Compliance'!I25)</f>
        <v/>
      </c>
      <c r="V628" s="17" t="str">
        <f>IF('Step 13 - Compliance'!B25="","",'Step 13 - Compliance'!K25)</f>
        <v/>
      </c>
      <c r="W628" s="18" t="str">
        <f>IF('Step 13 - Compliance'!B25="","",'Step 13 - Compliance'!L25)</f>
        <v/>
      </c>
      <c r="X628" s="17" t="str">
        <f>IF('Step 13 - Compliance'!B25="","",'Step 13 - Compliance'!N25)</f>
        <v/>
      </c>
      <c r="Y628" s="18" t="str">
        <f>""</f>
        <v/>
      </c>
      <c r="Z628" s="18" t="str">
        <f>""</f>
        <v/>
      </c>
      <c r="AA628" s="18" t="str">
        <f>""</f>
        <v/>
      </c>
      <c r="AB628" s="18" t="str">
        <f>""</f>
        <v/>
      </c>
      <c r="AC628" s="18" t="str">
        <f>""</f>
        <v/>
      </c>
      <c r="AD628" s="18" t="str">
        <f>""</f>
        <v/>
      </c>
      <c r="AE628" s="18" t="str">
        <f>""</f>
        <v/>
      </c>
      <c r="AF628" s="18" t="str">
        <f>""</f>
        <v/>
      </c>
      <c r="AG628" s="18" t="str">
        <f>""</f>
        <v/>
      </c>
      <c r="AH628" s="18" t="str">
        <f>""</f>
        <v/>
      </c>
      <c r="AI628" s="18" t="str">
        <f>""</f>
        <v/>
      </c>
      <c r="AJ628" s="18" t="str">
        <f>""</f>
        <v/>
      </c>
      <c r="AK628" s="18" t="str">
        <f>""</f>
        <v/>
      </c>
      <c r="AL628" s="18" t="str">
        <f>""</f>
        <v/>
      </c>
      <c r="AM628" s="18" t="str">
        <f>""</f>
        <v/>
      </c>
    </row>
    <row r="629" spans="1:39" ht="15.75" customHeight="1" x14ac:dyDescent="0.25">
      <c r="A629" s="19" t="str">
        <f>IF('Step 13 - Compliance'!B26="","","Active")</f>
        <v/>
      </c>
      <c r="B629" s="20" t="str">
        <f>IF('Step 13 - Compliance'!B26="","",'Step 13 - Compliance'!B26)</f>
        <v/>
      </c>
      <c r="C629" s="20" t="str">
        <f>IF('Step 13 - Compliance'!B26="","",'Step 13 - Compliance'!B26)</f>
        <v/>
      </c>
      <c r="D629" s="19" t="str">
        <f>IF('Step 13 - Compliance'!B26="","",'Step 13 - Compliance'!G26)</f>
        <v/>
      </c>
      <c r="E629" s="19" t="str">
        <f>IF('Step 13 - Compliance'!B26="","",'Step 13 - Compliance'!H26)</f>
        <v/>
      </c>
      <c r="F629" s="20" t="str">
        <f>IF('Step 13 - Compliance'!B26="","",IF('Step 13 - Compliance'!C26="","","Fund Code"))</f>
        <v/>
      </c>
      <c r="G629" s="19" t="str">
        <f>IF('Step 13 - Compliance'!B26="","",IF('Step 13 - Compliance'!C26="","","Equals"))</f>
        <v/>
      </c>
      <c r="H629" s="20" t="str">
        <f>IF('Step 13 - Compliance'!B26="","",IF('Step 13 - Compliance'!C26="","",'Step 13 - Compliance'!C26))</f>
        <v/>
      </c>
      <c r="I629" s="20" t="str">
        <f>IF('Step 13 - Compliance'!B26="","","Organization Code")</f>
        <v/>
      </c>
      <c r="J629" s="19" t="str">
        <f>IF('Step 13 - Compliance'!B26="","","Equals")</f>
        <v/>
      </c>
      <c r="K629" s="20" t="str">
        <f>IF('Step 13 - Compliance'!B26="","",'Step 13 - Compliance'!D26)</f>
        <v/>
      </c>
      <c r="L629" s="20" t="str">
        <f>IF('Step 13 - Compliance'!B26="","","Other Criteria")</f>
        <v/>
      </c>
      <c r="M629" s="19" t="str">
        <f>IF('Step 13 - Compliance'!B26="","","Equals")</f>
        <v/>
      </c>
      <c r="N629" s="20" t="str">
        <f>IF('Step 13 - Compliance'!B26="","",'Step 13 - Compliance'!E26)</f>
        <v/>
      </c>
      <c r="O629" s="20" t="str">
        <f>IF('Step 13 - Compliance'!B26="","",IF('Step 13 - Compliance'!F26="","","Total"))</f>
        <v/>
      </c>
      <c r="P629" s="19" t="str">
        <f>IF('Step 13 - Compliance'!B26="","",IF('Step 13 - Compliance'!F26="","","&gt;="))</f>
        <v/>
      </c>
      <c r="Q629" s="20" t="str">
        <f>IF('Step 13 - Compliance'!B26="","",IF('Step 13 - Compliance'!F26="","",'Step 13 - Compliance'!F26))</f>
        <v/>
      </c>
      <c r="R629" s="20" t="str">
        <f>""</f>
        <v/>
      </c>
      <c r="S629" s="20" t="str">
        <f>""</f>
        <v/>
      </c>
      <c r="T629" s="20" t="str">
        <f>""</f>
        <v/>
      </c>
      <c r="U629" s="20" t="str">
        <f>IF('Step 13 - Compliance'!B26="","",'Step 13 - Compliance'!I26)</f>
        <v/>
      </c>
      <c r="V629" s="19" t="str">
        <f>IF('Step 13 - Compliance'!B26="","",'Step 13 - Compliance'!K26)</f>
        <v/>
      </c>
      <c r="W629" s="20" t="str">
        <f>IF('Step 13 - Compliance'!B26="","",'Step 13 - Compliance'!L26)</f>
        <v/>
      </c>
      <c r="X629" s="19" t="str">
        <f>IF('Step 13 - Compliance'!B26="","",'Step 13 - Compliance'!N26)</f>
        <v/>
      </c>
      <c r="Y629" s="20" t="str">
        <f>""</f>
        <v/>
      </c>
      <c r="Z629" s="20" t="str">
        <f>""</f>
        <v/>
      </c>
      <c r="AA629" s="20" t="str">
        <f>""</f>
        <v/>
      </c>
      <c r="AB629" s="20" t="str">
        <f>""</f>
        <v/>
      </c>
      <c r="AC629" s="20" t="str">
        <f>""</f>
        <v/>
      </c>
      <c r="AD629" s="20" t="str">
        <f>""</f>
        <v/>
      </c>
      <c r="AE629" s="20" t="str">
        <f>""</f>
        <v/>
      </c>
      <c r="AF629" s="20" t="str">
        <f>""</f>
        <v/>
      </c>
      <c r="AG629" s="20" t="str">
        <f>""</f>
        <v/>
      </c>
      <c r="AH629" s="20" t="str">
        <f>""</f>
        <v/>
      </c>
      <c r="AI629" s="20" t="str">
        <f>""</f>
        <v/>
      </c>
      <c r="AJ629" s="20" t="str">
        <f>""</f>
        <v/>
      </c>
      <c r="AK629" s="20" t="str">
        <f>""</f>
        <v/>
      </c>
      <c r="AL629" s="20" t="str">
        <f>""</f>
        <v/>
      </c>
      <c r="AM629" s="20" t="str">
        <f>""</f>
        <v/>
      </c>
    </row>
    <row r="630" spans="1:39" ht="15.75" customHeight="1" x14ac:dyDescent="0.25">
      <c r="A630" s="17" t="str">
        <f>IF('Step 13 - Compliance'!B27="","","Active")</f>
        <v/>
      </c>
      <c r="B630" s="18" t="str">
        <f>IF('Step 13 - Compliance'!B27="","",'Step 13 - Compliance'!B27)</f>
        <v/>
      </c>
      <c r="C630" s="18" t="str">
        <f>IF('Step 13 - Compliance'!B27="","",'Step 13 - Compliance'!B27)</f>
        <v/>
      </c>
      <c r="D630" s="17" t="str">
        <f>IF('Step 13 - Compliance'!B27="","",'Step 13 - Compliance'!G27)</f>
        <v/>
      </c>
      <c r="E630" s="17" t="str">
        <f>IF('Step 13 - Compliance'!B27="","",'Step 13 - Compliance'!H27)</f>
        <v/>
      </c>
      <c r="F630" s="18" t="str">
        <f>IF('Step 13 - Compliance'!B27="","",IF('Step 13 - Compliance'!C27="","","Fund Code"))</f>
        <v/>
      </c>
      <c r="G630" s="17" t="str">
        <f>IF('Step 13 - Compliance'!B27="","",IF('Step 13 - Compliance'!C27="","","Equals"))</f>
        <v/>
      </c>
      <c r="H630" s="18" t="str">
        <f>IF('Step 13 - Compliance'!B27="","",IF('Step 13 - Compliance'!C27="","",'Step 13 - Compliance'!C27))</f>
        <v/>
      </c>
      <c r="I630" s="18" t="str">
        <f>IF('Step 13 - Compliance'!B27="","","Organization Code")</f>
        <v/>
      </c>
      <c r="J630" s="17" t="str">
        <f>IF('Step 13 - Compliance'!B27="","","Equals")</f>
        <v/>
      </c>
      <c r="K630" s="18" t="str">
        <f>IF('Step 13 - Compliance'!B27="","",'Step 13 - Compliance'!D27)</f>
        <v/>
      </c>
      <c r="L630" s="18" t="str">
        <f>IF('Step 13 - Compliance'!B27="","","Other Criteria")</f>
        <v/>
      </c>
      <c r="M630" s="17" t="str">
        <f>IF('Step 13 - Compliance'!B27="","","Equals")</f>
        <v/>
      </c>
      <c r="N630" s="18" t="str">
        <f>IF('Step 13 - Compliance'!B27="","",'Step 13 - Compliance'!E27)</f>
        <v/>
      </c>
      <c r="O630" s="18" t="str">
        <f>IF('Step 13 - Compliance'!B27="","",IF('Step 13 - Compliance'!F27="","","Total"))</f>
        <v/>
      </c>
      <c r="P630" s="17" t="str">
        <f>IF('Step 13 - Compliance'!B27="","",IF('Step 13 - Compliance'!F27="","","&gt;="))</f>
        <v/>
      </c>
      <c r="Q630" s="18" t="str">
        <f>IF('Step 13 - Compliance'!B27="","",IF('Step 13 - Compliance'!F27="","",'Step 13 - Compliance'!F27))</f>
        <v/>
      </c>
      <c r="R630" s="18" t="str">
        <f>""</f>
        <v/>
      </c>
      <c r="S630" s="18" t="str">
        <f>""</f>
        <v/>
      </c>
      <c r="T630" s="18" t="str">
        <f>""</f>
        <v/>
      </c>
      <c r="U630" s="18" t="str">
        <f>IF('Step 13 - Compliance'!B27="","",'Step 13 - Compliance'!I27)</f>
        <v/>
      </c>
      <c r="V630" s="17" t="str">
        <f>IF('Step 13 - Compliance'!B27="","",'Step 13 - Compliance'!K27)</f>
        <v/>
      </c>
      <c r="W630" s="18" t="str">
        <f>IF('Step 13 - Compliance'!B27="","",'Step 13 - Compliance'!L27)</f>
        <v/>
      </c>
      <c r="X630" s="17" t="str">
        <f>IF('Step 13 - Compliance'!B27="","",'Step 13 - Compliance'!N27)</f>
        <v/>
      </c>
      <c r="Y630" s="18" t="str">
        <f>""</f>
        <v/>
      </c>
      <c r="Z630" s="18" t="str">
        <f>""</f>
        <v/>
      </c>
      <c r="AA630" s="18" t="str">
        <f>""</f>
        <v/>
      </c>
      <c r="AB630" s="18" t="str">
        <f>""</f>
        <v/>
      </c>
      <c r="AC630" s="18" t="str">
        <f>""</f>
        <v/>
      </c>
      <c r="AD630" s="18" t="str">
        <f>""</f>
        <v/>
      </c>
      <c r="AE630" s="18" t="str">
        <f>""</f>
        <v/>
      </c>
      <c r="AF630" s="18" t="str">
        <f>""</f>
        <v/>
      </c>
      <c r="AG630" s="18" t="str">
        <f>""</f>
        <v/>
      </c>
      <c r="AH630" s="18" t="str">
        <f>""</f>
        <v/>
      </c>
      <c r="AI630" s="18" t="str">
        <f>""</f>
        <v/>
      </c>
      <c r="AJ630" s="18" t="str">
        <f>""</f>
        <v/>
      </c>
      <c r="AK630" s="18" t="str">
        <f>""</f>
        <v/>
      </c>
      <c r="AL630" s="18" t="str">
        <f>""</f>
        <v/>
      </c>
      <c r="AM630" s="18" t="str">
        <f>""</f>
        <v/>
      </c>
    </row>
    <row r="631" spans="1:39" ht="15.75" customHeight="1" x14ac:dyDescent="0.25">
      <c r="A631" s="19" t="str">
        <f>IF('Step 13 - Compliance'!B28="","","Active")</f>
        <v/>
      </c>
      <c r="B631" s="20" t="str">
        <f>IF('Step 13 - Compliance'!B28="","",'Step 13 - Compliance'!B28)</f>
        <v/>
      </c>
      <c r="C631" s="20" t="str">
        <f>IF('Step 13 - Compliance'!B28="","",'Step 13 - Compliance'!B28)</f>
        <v/>
      </c>
      <c r="D631" s="19" t="str">
        <f>IF('Step 13 - Compliance'!B28="","",'Step 13 - Compliance'!G28)</f>
        <v/>
      </c>
      <c r="E631" s="19" t="str">
        <f>IF('Step 13 - Compliance'!B28="","",'Step 13 - Compliance'!H28)</f>
        <v/>
      </c>
      <c r="F631" s="20" t="str">
        <f>IF('Step 13 - Compliance'!B28="","",IF('Step 13 - Compliance'!C28="","","Fund Code"))</f>
        <v/>
      </c>
      <c r="G631" s="19" t="str">
        <f>IF('Step 13 - Compliance'!B28="","",IF('Step 13 - Compliance'!C28="","","Equals"))</f>
        <v/>
      </c>
      <c r="H631" s="20" t="str">
        <f>IF('Step 13 - Compliance'!B28="","",IF('Step 13 - Compliance'!C28="","",'Step 13 - Compliance'!C28))</f>
        <v/>
      </c>
      <c r="I631" s="20" t="str">
        <f>IF('Step 13 - Compliance'!B28="","","Organization Code")</f>
        <v/>
      </c>
      <c r="J631" s="19" t="str">
        <f>IF('Step 13 - Compliance'!B28="","","Equals")</f>
        <v/>
      </c>
      <c r="K631" s="20" t="str">
        <f>IF('Step 13 - Compliance'!B28="","",'Step 13 - Compliance'!D28)</f>
        <v/>
      </c>
      <c r="L631" s="20" t="str">
        <f>IF('Step 13 - Compliance'!B28="","","Other Criteria")</f>
        <v/>
      </c>
      <c r="M631" s="19" t="str">
        <f>IF('Step 13 - Compliance'!B28="","","Equals")</f>
        <v/>
      </c>
      <c r="N631" s="20" t="str">
        <f>IF('Step 13 - Compliance'!B28="","",'Step 13 - Compliance'!E28)</f>
        <v/>
      </c>
      <c r="O631" s="20" t="str">
        <f>IF('Step 13 - Compliance'!B28="","",IF('Step 13 - Compliance'!F28="","","Total"))</f>
        <v/>
      </c>
      <c r="P631" s="19" t="str">
        <f>IF('Step 13 - Compliance'!B28="","",IF('Step 13 - Compliance'!F28="","","&gt;="))</f>
        <v/>
      </c>
      <c r="Q631" s="20" t="str">
        <f>IF('Step 13 - Compliance'!B28="","",IF('Step 13 - Compliance'!F28="","",'Step 13 - Compliance'!F28))</f>
        <v/>
      </c>
      <c r="R631" s="20" t="str">
        <f>""</f>
        <v/>
      </c>
      <c r="S631" s="20" t="str">
        <f>""</f>
        <v/>
      </c>
      <c r="T631" s="20" t="str">
        <f>""</f>
        <v/>
      </c>
      <c r="U631" s="20" t="str">
        <f>IF('Step 13 - Compliance'!B28="","",'Step 13 - Compliance'!I28)</f>
        <v/>
      </c>
      <c r="V631" s="19" t="str">
        <f>IF('Step 13 - Compliance'!B28="","",'Step 13 - Compliance'!K28)</f>
        <v/>
      </c>
      <c r="W631" s="20" t="str">
        <f>IF('Step 13 - Compliance'!B28="","",'Step 13 - Compliance'!L28)</f>
        <v/>
      </c>
      <c r="X631" s="19" t="str">
        <f>IF('Step 13 - Compliance'!B28="","",'Step 13 - Compliance'!N28)</f>
        <v/>
      </c>
      <c r="Y631" s="20" t="str">
        <f>""</f>
        <v/>
      </c>
      <c r="Z631" s="20" t="str">
        <f>""</f>
        <v/>
      </c>
      <c r="AA631" s="20" t="str">
        <f>""</f>
        <v/>
      </c>
      <c r="AB631" s="20" t="str">
        <f>""</f>
        <v/>
      </c>
      <c r="AC631" s="20" t="str">
        <f>""</f>
        <v/>
      </c>
      <c r="AD631" s="20" t="str">
        <f>""</f>
        <v/>
      </c>
      <c r="AE631" s="20" t="str">
        <f>""</f>
        <v/>
      </c>
      <c r="AF631" s="20" t="str">
        <f>""</f>
        <v/>
      </c>
      <c r="AG631" s="20" t="str">
        <f>""</f>
        <v/>
      </c>
      <c r="AH631" s="20" t="str">
        <f>""</f>
        <v/>
      </c>
      <c r="AI631" s="20" t="str">
        <f>""</f>
        <v/>
      </c>
      <c r="AJ631" s="20" t="str">
        <f>""</f>
        <v/>
      </c>
      <c r="AK631" s="20" t="str">
        <f>""</f>
        <v/>
      </c>
      <c r="AL631" s="20" t="str">
        <f>""</f>
        <v/>
      </c>
      <c r="AM631" s="20" t="str">
        <f>""</f>
        <v/>
      </c>
    </row>
    <row r="632" spans="1:39" ht="15.75" customHeight="1" x14ac:dyDescent="0.25">
      <c r="A632" s="17" t="str">
        <f>IF('Step 13 - Compliance'!B29="","","Active")</f>
        <v/>
      </c>
      <c r="B632" s="18" t="str">
        <f>IF('Step 13 - Compliance'!B29="","",'Step 13 - Compliance'!B29)</f>
        <v/>
      </c>
      <c r="C632" s="18" t="str">
        <f>IF('Step 13 - Compliance'!B29="","",'Step 13 - Compliance'!B29)</f>
        <v/>
      </c>
      <c r="D632" s="17" t="str">
        <f>IF('Step 13 - Compliance'!B29="","",'Step 13 - Compliance'!G29)</f>
        <v/>
      </c>
      <c r="E632" s="17" t="str">
        <f>IF('Step 13 - Compliance'!B29="","",'Step 13 - Compliance'!H29)</f>
        <v/>
      </c>
      <c r="F632" s="18" t="str">
        <f>IF('Step 13 - Compliance'!B29="","",IF('Step 13 - Compliance'!C29="","","Fund Code"))</f>
        <v/>
      </c>
      <c r="G632" s="17" t="str">
        <f>IF('Step 13 - Compliance'!B29="","",IF('Step 13 - Compliance'!C29="","","Equals"))</f>
        <v/>
      </c>
      <c r="H632" s="18" t="str">
        <f>IF('Step 13 - Compliance'!B29="","",IF('Step 13 - Compliance'!C29="","",'Step 13 - Compliance'!C29))</f>
        <v/>
      </c>
      <c r="I632" s="18" t="str">
        <f>IF('Step 13 - Compliance'!B29="","","Organization Code")</f>
        <v/>
      </c>
      <c r="J632" s="17" t="str">
        <f>IF('Step 13 - Compliance'!B29="","","Equals")</f>
        <v/>
      </c>
      <c r="K632" s="18" t="str">
        <f>IF('Step 13 - Compliance'!B29="","",'Step 13 - Compliance'!D29)</f>
        <v/>
      </c>
      <c r="L632" s="18" t="str">
        <f>IF('Step 13 - Compliance'!B29="","","Other Criteria")</f>
        <v/>
      </c>
      <c r="M632" s="17" t="str">
        <f>IF('Step 13 - Compliance'!B29="","","Equals")</f>
        <v/>
      </c>
      <c r="N632" s="18" t="str">
        <f>IF('Step 13 - Compliance'!B29="","",'Step 13 - Compliance'!E29)</f>
        <v/>
      </c>
      <c r="O632" s="18" t="str">
        <f>IF('Step 13 - Compliance'!B29="","",IF('Step 13 - Compliance'!F29="","","Total"))</f>
        <v/>
      </c>
      <c r="P632" s="17" t="str">
        <f>IF('Step 13 - Compliance'!B29="","",IF('Step 13 - Compliance'!F29="","","&gt;="))</f>
        <v/>
      </c>
      <c r="Q632" s="18" t="str">
        <f>IF('Step 13 - Compliance'!B29="","",IF('Step 13 - Compliance'!F29="","",'Step 13 - Compliance'!F29))</f>
        <v/>
      </c>
      <c r="R632" s="18" t="str">
        <f>""</f>
        <v/>
      </c>
      <c r="S632" s="18" t="str">
        <f>""</f>
        <v/>
      </c>
      <c r="T632" s="18" t="str">
        <f>""</f>
        <v/>
      </c>
      <c r="U632" s="18" t="str">
        <f>IF('Step 13 - Compliance'!B29="","",'Step 13 - Compliance'!I29)</f>
        <v/>
      </c>
      <c r="V632" s="17" t="str">
        <f>IF('Step 13 - Compliance'!B29="","",'Step 13 - Compliance'!K29)</f>
        <v/>
      </c>
      <c r="W632" s="18" t="str">
        <f>IF('Step 13 - Compliance'!B29="","",'Step 13 - Compliance'!L29)</f>
        <v/>
      </c>
      <c r="X632" s="17" t="str">
        <f>IF('Step 13 - Compliance'!B29="","",'Step 13 - Compliance'!N29)</f>
        <v/>
      </c>
      <c r="Y632" s="18" t="str">
        <f>""</f>
        <v/>
      </c>
      <c r="Z632" s="18" t="str">
        <f>""</f>
        <v/>
      </c>
      <c r="AA632" s="18" t="str">
        <f>""</f>
        <v/>
      </c>
      <c r="AB632" s="18" t="str">
        <f>""</f>
        <v/>
      </c>
      <c r="AC632" s="18" t="str">
        <f>""</f>
        <v/>
      </c>
      <c r="AD632" s="18" t="str">
        <f>""</f>
        <v/>
      </c>
      <c r="AE632" s="18" t="str">
        <f>""</f>
        <v/>
      </c>
      <c r="AF632" s="18" t="str">
        <f>""</f>
        <v/>
      </c>
      <c r="AG632" s="18" t="str">
        <f>""</f>
        <v/>
      </c>
      <c r="AH632" s="18" t="str">
        <f>""</f>
        <v/>
      </c>
      <c r="AI632" s="18" t="str">
        <f>""</f>
        <v/>
      </c>
      <c r="AJ632" s="18" t="str">
        <f>""</f>
        <v/>
      </c>
      <c r="AK632" s="18" t="str">
        <f>""</f>
        <v/>
      </c>
      <c r="AL632" s="18" t="str">
        <f>""</f>
        <v/>
      </c>
      <c r="AM632" s="18" t="str">
        <f>""</f>
        <v/>
      </c>
    </row>
    <row r="633" spans="1:39" ht="15.75" customHeight="1" x14ac:dyDescent="0.25">
      <c r="A633" s="19" t="str">
        <f>IF('Step 13 - Compliance'!B30="","","Active")</f>
        <v/>
      </c>
      <c r="B633" s="20" t="str">
        <f>IF('Step 13 - Compliance'!B30="","",'Step 13 - Compliance'!B30)</f>
        <v/>
      </c>
      <c r="C633" s="20" t="str">
        <f>IF('Step 13 - Compliance'!B30="","",'Step 13 - Compliance'!B30)</f>
        <v/>
      </c>
      <c r="D633" s="19" t="str">
        <f>IF('Step 13 - Compliance'!B30="","",'Step 13 - Compliance'!G30)</f>
        <v/>
      </c>
      <c r="E633" s="19" t="str">
        <f>IF('Step 13 - Compliance'!B30="","",'Step 13 - Compliance'!H30)</f>
        <v/>
      </c>
      <c r="F633" s="20" t="str">
        <f>IF('Step 13 - Compliance'!B30="","",IF('Step 13 - Compliance'!C30="","","Fund Code"))</f>
        <v/>
      </c>
      <c r="G633" s="19" t="str">
        <f>IF('Step 13 - Compliance'!B30="","",IF('Step 13 - Compliance'!C30="","","Equals"))</f>
        <v/>
      </c>
      <c r="H633" s="20" t="str">
        <f>IF('Step 13 - Compliance'!B30="","",IF('Step 13 - Compliance'!C30="","",'Step 13 - Compliance'!C30))</f>
        <v/>
      </c>
      <c r="I633" s="20" t="str">
        <f>IF('Step 13 - Compliance'!B30="","","Organization Code")</f>
        <v/>
      </c>
      <c r="J633" s="19" t="str">
        <f>IF('Step 13 - Compliance'!B30="","","Equals")</f>
        <v/>
      </c>
      <c r="K633" s="20" t="str">
        <f>IF('Step 13 - Compliance'!B30="","",'Step 13 - Compliance'!D30)</f>
        <v/>
      </c>
      <c r="L633" s="20" t="str">
        <f>IF('Step 13 - Compliance'!B30="","","Other Criteria")</f>
        <v/>
      </c>
      <c r="M633" s="19" t="str">
        <f>IF('Step 13 - Compliance'!B30="","","Equals")</f>
        <v/>
      </c>
      <c r="N633" s="20" t="str">
        <f>IF('Step 13 - Compliance'!B30="","",'Step 13 - Compliance'!E30)</f>
        <v/>
      </c>
      <c r="O633" s="20" t="str">
        <f>IF('Step 13 - Compliance'!B30="","",IF('Step 13 - Compliance'!F30="","","Total"))</f>
        <v/>
      </c>
      <c r="P633" s="19" t="str">
        <f>IF('Step 13 - Compliance'!B30="","",IF('Step 13 - Compliance'!F30="","","&gt;="))</f>
        <v/>
      </c>
      <c r="Q633" s="20" t="str">
        <f>IF('Step 13 - Compliance'!B30="","",IF('Step 13 - Compliance'!F30="","",'Step 13 - Compliance'!F30))</f>
        <v/>
      </c>
      <c r="R633" s="20" t="str">
        <f>""</f>
        <v/>
      </c>
      <c r="S633" s="20" t="str">
        <f>""</f>
        <v/>
      </c>
      <c r="T633" s="20" t="str">
        <f>""</f>
        <v/>
      </c>
      <c r="U633" s="20" t="str">
        <f>IF('Step 13 - Compliance'!B30="","",'Step 13 - Compliance'!I30)</f>
        <v/>
      </c>
      <c r="V633" s="19" t="str">
        <f>IF('Step 13 - Compliance'!B30="","",'Step 13 - Compliance'!K30)</f>
        <v/>
      </c>
      <c r="W633" s="20" t="str">
        <f>IF('Step 13 - Compliance'!B30="","",'Step 13 - Compliance'!L30)</f>
        <v/>
      </c>
      <c r="X633" s="19" t="str">
        <f>IF('Step 13 - Compliance'!B30="","",'Step 13 - Compliance'!N30)</f>
        <v/>
      </c>
      <c r="Y633" s="20" t="str">
        <f>""</f>
        <v/>
      </c>
      <c r="Z633" s="20" t="str">
        <f>""</f>
        <v/>
      </c>
      <c r="AA633" s="20" t="str">
        <f>""</f>
        <v/>
      </c>
      <c r="AB633" s="20" t="str">
        <f>""</f>
        <v/>
      </c>
      <c r="AC633" s="20" t="str">
        <f>""</f>
        <v/>
      </c>
      <c r="AD633" s="20" t="str">
        <f>""</f>
        <v/>
      </c>
      <c r="AE633" s="20" t="str">
        <f>""</f>
        <v/>
      </c>
      <c r="AF633" s="20" t="str">
        <f>""</f>
        <v/>
      </c>
      <c r="AG633" s="20" t="str">
        <f>""</f>
        <v/>
      </c>
      <c r="AH633" s="20" t="str">
        <f>""</f>
        <v/>
      </c>
      <c r="AI633" s="20" t="str">
        <f>""</f>
        <v/>
      </c>
      <c r="AJ633" s="20" t="str">
        <f>""</f>
        <v/>
      </c>
      <c r="AK633" s="20" t="str">
        <f>""</f>
        <v/>
      </c>
      <c r="AL633" s="20" t="str">
        <f>""</f>
        <v/>
      </c>
      <c r="AM633" s="20" t="str">
        <f>""</f>
        <v/>
      </c>
    </row>
    <row r="634" spans="1:39" ht="15.75" customHeight="1" x14ac:dyDescent="0.25">
      <c r="A634" s="17" t="str">
        <f>IF('Step 13 - Compliance'!B31="","","Active")</f>
        <v/>
      </c>
      <c r="B634" s="18" t="str">
        <f>IF('Step 13 - Compliance'!B31="","",'Step 13 - Compliance'!B31)</f>
        <v/>
      </c>
      <c r="C634" s="18" t="str">
        <f>IF('Step 13 - Compliance'!B31="","",'Step 13 - Compliance'!B31)</f>
        <v/>
      </c>
      <c r="D634" s="17" t="str">
        <f>IF('Step 13 - Compliance'!B31="","",'Step 13 - Compliance'!G31)</f>
        <v/>
      </c>
      <c r="E634" s="17" t="str">
        <f>IF('Step 13 - Compliance'!B31="","",'Step 13 - Compliance'!H31)</f>
        <v/>
      </c>
      <c r="F634" s="18" t="str">
        <f>IF('Step 13 - Compliance'!B31="","",IF('Step 13 - Compliance'!C31="","","Fund Code"))</f>
        <v/>
      </c>
      <c r="G634" s="17" t="str">
        <f>IF('Step 13 - Compliance'!B31="","",IF('Step 13 - Compliance'!C31="","","Equals"))</f>
        <v/>
      </c>
      <c r="H634" s="18" t="str">
        <f>IF('Step 13 - Compliance'!B31="","",IF('Step 13 - Compliance'!C31="","",'Step 13 - Compliance'!C31))</f>
        <v/>
      </c>
      <c r="I634" s="18" t="str">
        <f>IF('Step 13 - Compliance'!B31="","","Organization Code")</f>
        <v/>
      </c>
      <c r="J634" s="17" t="str">
        <f>IF('Step 13 - Compliance'!B31="","","Equals")</f>
        <v/>
      </c>
      <c r="K634" s="18" t="str">
        <f>IF('Step 13 - Compliance'!B31="","",'Step 13 - Compliance'!D31)</f>
        <v/>
      </c>
      <c r="L634" s="18" t="str">
        <f>IF('Step 13 - Compliance'!B31="","","Other Criteria")</f>
        <v/>
      </c>
      <c r="M634" s="17" t="str">
        <f>IF('Step 13 - Compliance'!B31="","","Equals")</f>
        <v/>
      </c>
      <c r="N634" s="18" t="str">
        <f>IF('Step 13 - Compliance'!B31="","",'Step 13 - Compliance'!E31)</f>
        <v/>
      </c>
      <c r="O634" s="18" t="str">
        <f>IF('Step 13 - Compliance'!B31="","",IF('Step 13 - Compliance'!F31="","","Total"))</f>
        <v/>
      </c>
      <c r="P634" s="17" t="str">
        <f>IF('Step 13 - Compliance'!B31="","",IF('Step 13 - Compliance'!F31="","","&gt;="))</f>
        <v/>
      </c>
      <c r="Q634" s="18" t="str">
        <f>IF('Step 13 - Compliance'!B31="","",IF('Step 13 - Compliance'!F31="","",'Step 13 - Compliance'!F31))</f>
        <v/>
      </c>
      <c r="R634" s="18" t="str">
        <f>""</f>
        <v/>
      </c>
      <c r="S634" s="18" t="str">
        <f>""</f>
        <v/>
      </c>
      <c r="T634" s="18" t="str">
        <f>""</f>
        <v/>
      </c>
      <c r="U634" s="18" t="str">
        <f>IF('Step 13 - Compliance'!B31="","",'Step 13 - Compliance'!I31)</f>
        <v/>
      </c>
      <c r="V634" s="17" t="str">
        <f>IF('Step 13 - Compliance'!B31="","",'Step 13 - Compliance'!K31)</f>
        <v/>
      </c>
      <c r="W634" s="18" t="str">
        <f>IF('Step 13 - Compliance'!B31="","",'Step 13 - Compliance'!L31)</f>
        <v/>
      </c>
      <c r="X634" s="17" t="str">
        <f>IF('Step 13 - Compliance'!B31="","",'Step 13 - Compliance'!N31)</f>
        <v/>
      </c>
      <c r="Y634" s="18" t="str">
        <f>""</f>
        <v/>
      </c>
      <c r="Z634" s="18" t="str">
        <f>""</f>
        <v/>
      </c>
      <c r="AA634" s="18" t="str">
        <f>""</f>
        <v/>
      </c>
      <c r="AB634" s="18" t="str">
        <f>""</f>
        <v/>
      </c>
      <c r="AC634" s="18" t="str">
        <f>""</f>
        <v/>
      </c>
      <c r="AD634" s="18" t="str">
        <f>""</f>
        <v/>
      </c>
      <c r="AE634" s="18" t="str">
        <f>""</f>
        <v/>
      </c>
      <c r="AF634" s="18" t="str">
        <f>""</f>
        <v/>
      </c>
      <c r="AG634" s="18" t="str">
        <f>""</f>
        <v/>
      </c>
      <c r="AH634" s="18" t="str">
        <f>""</f>
        <v/>
      </c>
      <c r="AI634" s="18" t="str">
        <f>""</f>
        <v/>
      </c>
      <c r="AJ634" s="18" t="str">
        <f>""</f>
        <v/>
      </c>
      <c r="AK634" s="18" t="str">
        <f>""</f>
        <v/>
      </c>
      <c r="AL634" s="18" t="str">
        <f>""</f>
        <v/>
      </c>
      <c r="AM634" s="18" t="str">
        <f>""</f>
        <v/>
      </c>
    </row>
    <row r="635" spans="1:39" ht="15.75" customHeight="1" x14ac:dyDescent="0.25">
      <c r="A635" s="19" t="str">
        <f>IF('Step 13 - Compliance'!B32="","","Active")</f>
        <v/>
      </c>
      <c r="B635" s="20" t="str">
        <f>IF('Step 13 - Compliance'!B32="","",'Step 13 - Compliance'!B32)</f>
        <v/>
      </c>
      <c r="C635" s="20" t="str">
        <f>IF('Step 13 - Compliance'!B32="","",'Step 13 - Compliance'!B32)</f>
        <v/>
      </c>
      <c r="D635" s="19" t="str">
        <f>IF('Step 13 - Compliance'!B32="","",'Step 13 - Compliance'!G32)</f>
        <v/>
      </c>
      <c r="E635" s="19" t="str">
        <f>IF('Step 13 - Compliance'!B32="","",'Step 13 - Compliance'!H32)</f>
        <v/>
      </c>
      <c r="F635" s="20" t="str">
        <f>IF('Step 13 - Compliance'!B32="","",IF('Step 13 - Compliance'!C32="","","Fund Code"))</f>
        <v/>
      </c>
      <c r="G635" s="19" t="str">
        <f>IF('Step 13 - Compliance'!B32="","",IF('Step 13 - Compliance'!C32="","","Equals"))</f>
        <v/>
      </c>
      <c r="H635" s="20" t="str">
        <f>IF('Step 13 - Compliance'!B32="","",IF('Step 13 - Compliance'!C32="","",'Step 13 - Compliance'!C32))</f>
        <v/>
      </c>
      <c r="I635" s="20" t="str">
        <f>IF('Step 13 - Compliance'!B32="","","Organization Code")</f>
        <v/>
      </c>
      <c r="J635" s="19" t="str">
        <f>IF('Step 13 - Compliance'!B32="","","Equals")</f>
        <v/>
      </c>
      <c r="K635" s="20" t="str">
        <f>IF('Step 13 - Compliance'!B32="","",'Step 13 - Compliance'!D32)</f>
        <v/>
      </c>
      <c r="L635" s="20" t="str">
        <f>IF('Step 13 - Compliance'!B32="","","Other Criteria")</f>
        <v/>
      </c>
      <c r="M635" s="19" t="str">
        <f>IF('Step 13 - Compliance'!B32="","","Equals")</f>
        <v/>
      </c>
      <c r="N635" s="20" t="str">
        <f>IF('Step 13 - Compliance'!B32="","",'Step 13 - Compliance'!E32)</f>
        <v/>
      </c>
      <c r="O635" s="20" t="str">
        <f>IF('Step 13 - Compliance'!B32="","",IF('Step 13 - Compliance'!F32="","","Total"))</f>
        <v/>
      </c>
      <c r="P635" s="19" t="str">
        <f>IF('Step 13 - Compliance'!B32="","",IF('Step 13 - Compliance'!F32="","","&gt;="))</f>
        <v/>
      </c>
      <c r="Q635" s="20" t="str">
        <f>IF('Step 13 - Compliance'!B32="","",IF('Step 13 - Compliance'!F32="","",'Step 13 - Compliance'!F32))</f>
        <v/>
      </c>
      <c r="R635" s="20" t="str">
        <f>""</f>
        <v/>
      </c>
      <c r="S635" s="20" t="str">
        <f>""</f>
        <v/>
      </c>
      <c r="T635" s="20" t="str">
        <f>""</f>
        <v/>
      </c>
      <c r="U635" s="20" t="str">
        <f>IF('Step 13 - Compliance'!B32="","",'Step 13 - Compliance'!I32)</f>
        <v/>
      </c>
      <c r="V635" s="19" t="str">
        <f>IF('Step 13 - Compliance'!B32="","",'Step 13 - Compliance'!K32)</f>
        <v/>
      </c>
      <c r="W635" s="20" t="str">
        <f>IF('Step 13 - Compliance'!B32="","",'Step 13 - Compliance'!L32)</f>
        <v/>
      </c>
      <c r="X635" s="19" t="str">
        <f>IF('Step 13 - Compliance'!B32="","",'Step 13 - Compliance'!N32)</f>
        <v/>
      </c>
      <c r="Y635" s="20" t="str">
        <f>""</f>
        <v/>
      </c>
      <c r="Z635" s="20" t="str">
        <f>""</f>
        <v/>
      </c>
      <c r="AA635" s="20" t="str">
        <f>""</f>
        <v/>
      </c>
      <c r="AB635" s="20" t="str">
        <f>""</f>
        <v/>
      </c>
      <c r="AC635" s="20" t="str">
        <f>""</f>
        <v/>
      </c>
      <c r="AD635" s="20" t="str">
        <f>""</f>
        <v/>
      </c>
      <c r="AE635" s="20" t="str">
        <f>""</f>
        <v/>
      </c>
      <c r="AF635" s="20" t="str">
        <f>""</f>
        <v/>
      </c>
      <c r="AG635" s="20" t="str">
        <f>""</f>
        <v/>
      </c>
      <c r="AH635" s="20" t="str">
        <f>""</f>
        <v/>
      </c>
      <c r="AI635" s="20" t="str">
        <f>""</f>
        <v/>
      </c>
      <c r="AJ635" s="20" t="str">
        <f>""</f>
        <v/>
      </c>
      <c r="AK635" s="20" t="str">
        <f>""</f>
        <v/>
      </c>
      <c r="AL635" s="20" t="str">
        <f>""</f>
        <v/>
      </c>
      <c r="AM635" s="20" t="str">
        <f>""</f>
        <v/>
      </c>
    </row>
    <row r="636" spans="1:39" ht="15.75" customHeight="1" x14ac:dyDescent="0.25">
      <c r="A636" s="17" t="str">
        <f>IF('Step 13 - Compliance'!B33="","","Active")</f>
        <v/>
      </c>
      <c r="B636" s="18" t="str">
        <f>IF('Step 13 - Compliance'!B33="","",'Step 13 - Compliance'!B33)</f>
        <v/>
      </c>
      <c r="C636" s="18" t="str">
        <f>IF('Step 13 - Compliance'!B33="","",'Step 13 - Compliance'!B33)</f>
        <v/>
      </c>
      <c r="D636" s="17" t="str">
        <f>IF('Step 13 - Compliance'!B33="","",'Step 13 - Compliance'!G33)</f>
        <v/>
      </c>
      <c r="E636" s="17" t="str">
        <f>IF('Step 13 - Compliance'!B33="","",'Step 13 - Compliance'!H33)</f>
        <v/>
      </c>
      <c r="F636" s="18" t="str">
        <f>IF('Step 13 - Compliance'!B33="","",IF('Step 13 - Compliance'!C33="","","Fund Code"))</f>
        <v/>
      </c>
      <c r="G636" s="17" t="str">
        <f>IF('Step 13 - Compliance'!B33="","",IF('Step 13 - Compliance'!C33="","","Equals"))</f>
        <v/>
      </c>
      <c r="H636" s="18" t="str">
        <f>IF('Step 13 - Compliance'!B33="","",IF('Step 13 - Compliance'!C33="","",'Step 13 - Compliance'!C33))</f>
        <v/>
      </c>
      <c r="I636" s="18" t="str">
        <f>IF('Step 13 - Compliance'!B33="","","Organization Code")</f>
        <v/>
      </c>
      <c r="J636" s="17" t="str">
        <f>IF('Step 13 - Compliance'!B33="","","Equals")</f>
        <v/>
      </c>
      <c r="K636" s="18" t="str">
        <f>IF('Step 13 - Compliance'!B33="","",'Step 13 - Compliance'!D33)</f>
        <v/>
      </c>
      <c r="L636" s="18" t="str">
        <f>IF('Step 13 - Compliance'!B33="","","Other Criteria")</f>
        <v/>
      </c>
      <c r="M636" s="17" t="str">
        <f>IF('Step 13 - Compliance'!B33="","","Equals")</f>
        <v/>
      </c>
      <c r="N636" s="18" t="str">
        <f>IF('Step 13 - Compliance'!B33="","",'Step 13 - Compliance'!E33)</f>
        <v/>
      </c>
      <c r="O636" s="18" t="str">
        <f>IF('Step 13 - Compliance'!B33="","",IF('Step 13 - Compliance'!F33="","","Total"))</f>
        <v/>
      </c>
      <c r="P636" s="17" t="str">
        <f>IF('Step 13 - Compliance'!B33="","",IF('Step 13 - Compliance'!F33="","","&gt;="))</f>
        <v/>
      </c>
      <c r="Q636" s="18" t="str">
        <f>IF('Step 13 - Compliance'!B33="","",IF('Step 13 - Compliance'!F33="","",'Step 13 - Compliance'!F33))</f>
        <v/>
      </c>
      <c r="R636" s="18" t="str">
        <f>""</f>
        <v/>
      </c>
      <c r="S636" s="18" t="str">
        <f>""</f>
        <v/>
      </c>
      <c r="T636" s="18" t="str">
        <f>""</f>
        <v/>
      </c>
      <c r="U636" s="18" t="str">
        <f>IF('Step 13 - Compliance'!B33="","",'Step 13 - Compliance'!I33)</f>
        <v/>
      </c>
      <c r="V636" s="17" t="str">
        <f>IF('Step 13 - Compliance'!B33="","",'Step 13 - Compliance'!K33)</f>
        <v/>
      </c>
      <c r="W636" s="18" t="str">
        <f>IF('Step 13 - Compliance'!B33="","",'Step 13 - Compliance'!L33)</f>
        <v/>
      </c>
      <c r="X636" s="17" t="str">
        <f>IF('Step 13 - Compliance'!B33="","",'Step 13 - Compliance'!N33)</f>
        <v/>
      </c>
      <c r="Y636" s="18" t="str">
        <f>""</f>
        <v/>
      </c>
      <c r="Z636" s="18" t="str">
        <f>""</f>
        <v/>
      </c>
      <c r="AA636" s="18" t="str">
        <f>""</f>
        <v/>
      </c>
      <c r="AB636" s="18" t="str">
        <f>""</f>
        <v/>
      </c>
      <c r="AC636" s="18" t="str">
        <f>""</f>
        <v/>
      </c>
      <c r="AD636" s="18" t="str">
        <f>""</f>
        <v/>
      </c>
      <c r="AE636" s="18" t="str">
        <f>""</f>
        <v/>
      </c>
      <c r="AF636" s="18" t="str">
        <f>""</f>
        <v/>
      </c>
      <c r="AG636" s="18" t="str">
        <f>""</f>
        <v/>
      </c>
      <c r="AH636" s="18" t="str">
        <f>""</f>
        <v/>
      </c>
      <c r="AI636" s="18" t="str">
        <f>""</f>
        <v/>
      </c>
      <c r="AJ636" s="18" t="str">
        <f>""</f>
        <v/>
      </c>
      <c r="AK636" s="18" t="str">
        <f>""</f>
        <v/>
      </c>
      <c r="AL636" s="18" t="str">
        <f>""</f>
        <v/>
      </c>
      <c r="AM636" s="18" t="str">
        <f>""</f>
        <v/>
      </c>
    </row>
    <row r="637" spans="1:39" ht="15.75" customHeight="1" x14ac:dyDescent="0.25">
      <c r="A637" s="19" t="str">
        <f>IF('Step 13 - Compliance'!B34="","","Active")</f>
        <v/>
      </c>
      <c r="B637" s="20" t="str">
        <f>IF('Step 13 - Compliance'!B34="","",'Step 13 - Compliance'!B34)</f>
        <v/>
      </c>
      <c r="C637" s="20" t="str">
        <f>IF('Step 13 - Compliance'!B34="","",'Step 13 - Compliance'!B34)</f>
        <v/>
      </c>
      <c r="D637" s="19" t="str">
        <f>IF('Step 13 - Compliance'!B34="","",'Step 13 - Compliance'!G34)</f>
        <v/>
      </c>
      <c r="E637" s="19" t="str">
        <f>IF('Step 13 - Compliance'!B34="","",'Step 13 - Compliance'!H34)</f>
        <v/>
      </c>
      <c r="F637" s="20" t="str">
        <f>IF('Step 13 - Compliance'!B34="","",IF('Step 13 - Compliance'!C34="","","Fund Code"))</f>
        <v/>
      </c>
      <c r="G637" s="19" t="str">
        <f>IF('Step 13 - Compliance'!B34="","",IF('Step 13 - Compliance'!C34="","","Equals"))</f>
        <v/>
      </c>
      <c r="H637" s="20" t="str">
        <f>IF('Step 13 - Compliance'!B34="","",IF('Step 13 - Compliance'!C34="","",'Step 13 - Compliance'!C34))</f>
        <v/>
      </c>
      <c r="I637" s="20" t="str">
        <f>IF('Step 13 - Compliance'!B34="","","Organization Code")</f>
        <v/>
      </c>
      <c r="J637" s="19" t="str">
        <f>IF('Step 13 - Compliance'!B34="","","Equals")</f>
        <v/>
      </c>
      <c r="K637" s="20" t="str">
        <f>IF('Step 13 - Compliance'!B34="","",'Step 13 - Compliance'!D34)</f>
        <v/>
      </c>
      <c r="L637" s="20" t="str">
        <f>IF('Step 13 - Compliance'!B34="","","Other Criteria")</f>
        <v/>
      </c>
      <c r="M637" s="19" t="str">
        <f>IF('Step 13 - Compliance'!B34="","","Equals")</f>
        <v/>
      </c>
      <c r="N637" s="20" t="str">
        <f>IF('Step 13 - Compliance'!B34="","",'Step 13 - Compliance'!E34)</f>
        <v/>
      </c>
      <c r="O637" s="20" t="str">
        <f>IF('Step 13 - Compliance'!B34="","",IF('Step 13 - Compliance'!F34="","","Total"))</f>
        <v/>
      </c>
      <c r="P637" s="19" t="str">
        <f>IF('Step 13 - Compliance'!B34="","",IF('Step 13 - Compliance'!F34="","","&gt;="))</f>
        <v/>
      </c>
      <c r="Q637" s="20" t="str">
        <f>IF('Step 13 - Compliance'!B34="","",IF('Step 13 - Compliance'!F34="","",'Step 13 - Compliance'!F34))</f>
        <v/>
      </c>
      <c r="R637" s="20" t="str">
        <f>""</f>
        <v/>
      </c>
      <c r="S637" s="20" t="str">
        <f>""</f>
        <v/>
      </c>
      <c r="T637" s="20" t="str">
        <f>""</f>
        <v/>
      </c>
      <c r="U637" s="20" t="str">
        <f>IF('Step 13 - Compliance'!B34="","",'Step 13 - Compliance'!I34)</f>
        <v/>
      </c>
      <c r="V637" s="19" t="str">
        <f>IF('Step 13 - Compliance'!B34="","",'Step 13 - Compliance'!K34)</f>
        <v/>
      </c>
      <c r="W637" s="20" t="str">
        <f>IF('Step 13 - Compliance'!B34="","",'Step 13 - Compliance'!L34)</f>
        <v/>
      </c>
      <c r="X637" s="19" t="str">
        <f>IF('Step 13 - Compliance'!B34="","",'Step 13 - Compliance'!N34)</f>
        <v/>
      </c>
      <c r="Y637" s="20" t="str">
        <f>""</f>
        <v/>
      </c>
      <c r="Z637" s="20" t="str">
        <f>""</f>
        <v/>
      </c>
      <c r="AA637" s="20" t="str">
        <f>""</f>
        <v/>
      </c>
      <c r="AB637" s="20" t="str">
        <f>""</f>
        <v/>
      </c>
      <c r="AC637" s="20" t="str">
        <f>""</f>
        <v/>
      </c>
      <c r="AD637" s="20" t="str">
        <f>""</f>
        <v/>
      </c>
      <c r="AE637" s="20" t="str">
        <f>""</f>
        <v/>
      </c>
      <c r="AF637" s="20" t="str">
        <f>""</f>
        <v/>
      </c>
      <c r="AG637" s="20" t="str">
        <f>""</f>
        <v/>
      </c>
      <c r="AH637" s="20" t="str">
        <f>""</f>
        <v/>
      </c>
      <c r="AI637" s="20" t="str">
        <f>""</f>
        <v/>
      </c>
      <c r="AJ637" s="20" t="str">
        <f>""</f>
        <v/>
      </c>
      <c r="AK637" s="20" t="str">
        <f>""</f>
        <v/>
      </c>
      <c r="AL637" s="20" t="str">
        <f>""</f>
        <v/>
      </c>
      <c r="AM637" s="20" t="str">
        <f>""</f>
        <v/>
      </c>
    </row>
    <row r="638" spans="1:39" ht="15.75" customHeight="1" x14ac:dyDescent="0.25">
      <c r="A638" s="17" t="str">
        <f>IF('Step 13 - Compliance'!B35="","","Active")</f>
        <v/>
      </c>
      <c r="B638" s="18" t="str">
        <f>IF('Step 13 - Compliance'!B35="","",'Step 13 - Compliance'!B35)</f>
        <v/>
      </c>
      <c r="C638" s="18" t="str">
        <f>IF('Step 13 - Compliance'!B35="","",'Step 13 - Compliance'!B35)</f>
        <v/>
      </c>
      <c r="D638" s="17" t="str">
        <f>IF('Step 13 - Compliance'!B35="","",'Step 13 - Compliance'!G35)</f>
        <v/>
      </c>
      <c r="E638" s="17" t="str">
        <f>IF('Step 13 - Compliance'!B35="","",'Step 13 - Compliance'!H35)</f>
        <v/>
      </c>
      <c r="F638" s="18" t="str">
        <f>IF('Step 13 - Compliance'!B35="","",IF('Step 13 - Compliance'!C35="","","Fund Code"))</f>
        <v/>
      </c>
      <c r="G638" s="17" t="str">
        <f>IF('Step 13 - Compliance'!B35="","",IF('Step 13 - Compliance'!C35="","","Equals"))</f>
        <v/>
      </c>
      <c r="H638" s="18" t="str">
        <f>IF('Step 13 - Compliance'!B35="","",IF('Step 13 - Compliance'!C35="","",'Step 13 - Compliance'!C35))</f>
        <v/>
      </c>
      <c r="I638" s="18" t="str">
        <f>IF('Step 13 - Compliance'!B35="","","Organization Code")</f>
        <v/>
      </c>
      <c r="J638" s="17" t="str">
        <f>IF('Step 13 - Compliance'!B35="","","Equals")</f>
        <v/>
      </c>
      <c r="K638" s="18" t="str">
        <f>IF('Step 13 - Compliance'!B35="","",'Step 13 - Compliance'!D35)</f>
        <v/>
      </c>
      <c r="L638" s="18" t="str">
        <f>IF('Step 13 - Compliance'!B35="","","Other Criteria")</f>
        <v/>
      </c>
      <c r="M638" s="17" t="str">
        <f>IF('Step 13 - Compliance'!B35="","","Equals")</f>
        <v/>
      </c>
      <c r="N638" s="18" t="str">
        <f>IF('Step 13 - Compliance'!B35="","",'Step 13 - Compliance'!E35)</f>
        <v/>
      </c>
      <c r="O638" s="18" t="str">
        <f>IF('Step 13 - Compliance'!B35="","",IF('Step 13 - Compliance'!F35="","","Total"))</f>
        <v/>
      </c>
      <c r="P638" s="17" t="str">
        <f>IF('Step 13 - Compliance'!B35="","",IF('Step 13 - Compliance'!F35="","","&gt;="))</f>
        <v/>
      </c>
      <c r="Q638" s="18" t="str">
        <f>IF('Step 13 - Compliance'!B35="","",IF('Step 13 - Compliance'!F35="","",'Step 13 - Compliance'!F35))</f>
        <v/>
      </c>
      <c r="R638" s="18" t="str">
        <f>""</f>
        <v/>
      </c>
      <c r="S638" s="18" t="str">
        <f>""</f>
        <v/>
      </c>
      <c r="T638" s="18" t="str">
        <f>""</f>
        <v/>
      </c>
      <c r="U638" s="18" t="str">
        <f>IF('Step 13 - Compliance'!B35="","",'Step 13 - Compliance'!I35)</f>
        <v/>
      </c>
      <c r="V638" s="17" t="str">
        <f>IF('Step 13 - Compliance'!B35="","",'Step 13 - Compliance'!K35)</f>
        <v/>
      </c>
      <c r="W638" s="18" t="str">
        <f>IF('Step 13 - Compliance'!B35="","",'Step 13 - Compliance'!L35)</f>
        <v/>
      </c>
      <c r="X638" s="17" t="str">
        <f>IF('Step 13 - Compliance'!B35="","",'Step 13 - Compliance'!N35)</f>
        <v/>
      </c>
      <c r="Y638" s="18" t="str">
        <f>""</f>
        <v/>
      </c>
      <c r="Z638" s="18" t="str">
        <f>""</f>
        <v/>
      </c>
      <c r="AA638" s="18" t="str">
        <f>""</f>
        <v/>
      </c>
      <c r="AB638" s="18" t="str">
        <f>""</f>
        <v/>
      </c>
      <c r="AC638" s="18" t="str">
        <f>""</f>
        <v/>
      </c>
      <c r="AD638" s="18" t="str">
        <f>""</f>
        <v/>
      </c>
      <c r="AE638" s="18" t="str">
        <f>""</f>
        <v/>
      </c>
      <c r="AF638" s="18" t="str">
        <f>""</f>
        <v/>
      </c>
      <c r="AG638" s="18" t="str">
        <f>""</f>
        <v/>
      </c>
      <c r="AH638" s="18" t="str">
        <f>""</f>
        <v/>
      </c>
      <c r="AI638" s="18" t="str">
        <f>""</f>
        <v/>
      </c>
      <c r="AJ638" s="18" t="str">
        <f>""</f>
        <v/>
      </c>
      <c r="AK638" s="18" t="str">
        <f>""</f>
        <v/>
      </c>
      <c r="AL638" s="18" t="str">
        <f>""</f>
        <v/>
      </c>
      <c r="AM638" s="18" t="str">
        <f>""</f>
        <v/>
      </c>
    </row>
    <row r="639" spans="1:39" ht="15.75" customHeight="1" x14ac:dyDescent="0.25">
      <c r="A639" s="19" t="str">
        <f>IF('Step 13 - Compliance'!B36="","","Active")</f>
        <v/>
      </c>
      <c r="B639" s="20" t="str">
        <f>IF('Step 13 - Compliance'!B36="","",'Step 13 - Compliance'!B36)</f>
        <v/>
      </c>
      <c r="C639" s="20" t="str">
        <f>IF('Step 13 - Compliance'!B36="","",'Step 13 - Compliance'!B36)</f>
        <v/>
      </c>
      <c r="D639" s="19" t="str">
        <f>IF('Step 13 - Compliance'!B36="","",'Step 13 - Compliance'!G36)</f>
        <v/>
      </c>
      <c r="E639" s="19" t="str">
        <f>IF('Step 13 - Compliance'!B36="","",'Step 13 - Compliance'!H36)</f>
        <v/>
      </c>
      <c r="F639" s="20" t="str">
        <f>IF('Step 13 - Compliance'!B36="","",IF('Step 13 - Compliance'!C36="","","Fund Code"))</f>
        <v/>
      </c>
      <c r="G639" s="19" t="str">
        <f>IF('Step 13 - Compliance'!B36="","",IF('Step 13 - Compliance'!C36="","","Equals"))</f>
        <v/>
      </c>
      <c r="H639" s="20" t="str">
        <f>IF('Step 13 - Compliance'!B36="","",IF('Step 13 - Compliance'!C36="","",'Step 13 - Compliance'!C36))</f>
        <v/>
      </c>
      <c r="I639" s="20" t="str">
        <f>IF('Step 13 - Compliance'!B36="","","Organization Code")</f>
        <v/>
      </c>
      <c r="J639" s="19" t="str">
        <f>IF('Step 13 - Compliance'!B36="","","Equals")</f>
        <v/>
      </c>
      <c r="K639" s="20" t="str">
        <f>IF('Step 13 - Compliance'!B36="","",'Step 13 - Compliance'!D36)</f>
        <v/>
      </c>
      <c r="L639" s="20" t="str">
        <f>IF('Step 13 - Compliance'!B36="","","Other Criteria")</f>
        <v/>
      </c>
      <c r="M639" s="19" t="str">
        <f>IF('Step 13 - Compliance'!B36="","","Equals")</f>
        <v/>
      </c>
      <c r="N639" s="20" t="str">
        <f>IF('Step 13 - Compliance'!B36="","",'Step 13 - Compliance'!E36)</f>
        <v/>
      </c>
      <c r="O639" s="20" t="str">
        <f>IF('Step 13 - Compliance'!B36="","",IF('Step 13 - Compliance'!F36="","","Total"))</f>
        <v/>
      </c>
      <c r="P639" s="19" t="str">
        <f>IF('Step 13 - Compliance'!B36="","",IF('Step 13 - Compliance'!F36="","","&gt;="))</f>
        <v/>
      </c>
      <c r="Q639" s="20" t="str">
        <f>IF('Step 13 - Compliance'!B36="","",IF('Step 13 - Compliance'!F36="","",'Step 13 - Compliance'!F36))</f>
        <v/>
      </c>
      <c r="R639" s="20" t="str">
        <f>""</f>
        <v/>
      </c>
      <c r="S639" s="20" t="str">
        <f>""</f>
        <v/>
      </c>
      <c r="T639" s="20" t="str">
        <f>""</f>
        <v/>
      </c>
      <c r="U639" s="20" t="str">
        <f>IF('Step 13 - Compliance'!B36="","",'Step 13 - Compliance'!I36)</f>
        <v/>
      </c>
      <c r="V639" s="19" t="str">
        <f>IF('Step 13 - Compliance'!B36="","",'Step 13 - Compliance'!K36)</f>
        <v/>
      </c>
      <c r="W639" s="20" t="str">
        <f>IF('Step 13 - Compliance'!B36="","",'Step 13 - Compliance'!L36)</f>
        <v/>
      </c>
      <c r="X639" s="19" t="str">
        <f>IF('Step 13 - Compliance'!B36="","",'Step 13 - Compliance'!N36)</f>
        <v/>
      </c>
      <c r="Y639" s="20" t="str">
        <f>""</f>
        <v/>
      </c>
      <c r="Z639" s="20" t="str">
        <f>""</f>
        <v/>
      </c>
      <c r="AA639" s="20" t="str">
        <f>""</f>
        <v/>
      </c>
      <c r="AB639" s="20" t="str">
        <f>""</f>
        <v/>
      </c>
      <c r="AC639" s="20" t="str">
        <f>""</f>
        <v/>
      </c>
      <c r="AD639" s="20" t="str">
        <f>""</f>
        <v/>
      </c>
      <c r="AE639" s="20" t="str">
        <f>""</f>
        <v/>
      </c>
      <c r="AF639" s="20" t="str">
        <f>""</f>
        <v/>
      </c>
      <c r="AG639" s="20" t="str">
        <f>""</f>
        <v/>
      </c>
      <c r="AH639" s="20" t="str">
        <f>""</f>
        <v/>
      </c>
      <c r="AI639" s="20" t="str">
        <f>""</f>
        <v/>
      </c>
      <c r="AJ639" s="20" t="str">
        <f>""</f>
        <v/>
      </c>
      <c r="AK639" s="20" t="str">
        <f>""</f>
        <v/>
      </c>
      <c r="AL639" s="20" t="str">
        <f>""</f>
        <v/>
      </c>
      <c r="AM639" s="20" t="str">
        <f>""</f>
        <v/>
      </c>
    </row>
    <row r="640" spans="1:39" ht="15.75" customHeight="1" x14ac:dyDescent="0.25">
      <c r="A640" s="17" t="str">
        <f>IF('Step 13 - Compliance'!B37="","","Active")</f>
        <v/>
      </c>
      <c r="B640" s="18" t="str">
        <f>IF('Step 13 - Compliance'!B37="","",'Step 13 - Compliance'!B37)</f>
        <v/>
      </c>
      <c r="C640" s="18" t="str">
        <f>IF('Step 13 - Compliance'!B37="","",'Step 13 - Compliance'!B37)</f>
        <v/>
      </c>
      <c r="D640" s="17" t="str">
        <f>IF('Step 13 - Compliance'!B37="","",'Step 13 - Compliance'!G37)</f>
        <v/>
      </c>
      <c r="E640" s="17" t="str">
        <f>IF('Step 13 - Compliance'!B37="","",'Step 13 - Compliance'!H37)</f>
        <v/>
      </c>
      <c r="F640" s="18" t="str">
        <f>IF('Step 13 - Compliance'!B37="","",IF('Step 13 - Compliance'!C37="","","Fund Code"))</f>
        <v/>
      </c>
      <c r="G640" s="17" t="str">
        <f>IF('Step 13 - Compliance'!B37="","",IF('Step 13 - Compliance'!C37="","","Equals"))</f>
        <v/>
      </c>
      <c r="H640" s="18" t="str">
        <f>IF('Step 13 - Compliance'!B37="","",IF('Step 13 - Compliance'!C37="","",'Step 13 - Compliance'!C37))</f>
        <v/>
      </c>
      <c r="I640" s="18" t="str">
        <f>IF('Step 13 - Compliance'!B37="","","Organization Code")</f>
        <v/>
      </c>
      <c r="J640" s="17" t="str">
        <f>IF('Step 13 - Compliance'!B37="","","Equals")</f>
        <v/>
      </c>
      <c r="K640" s="18" t="str">
        <f>IF('Step 13 - Compliance'!B37="","",'Step 13 - Compliance'!D37)</f>
        <v/>
      </c>
      <c r="L640" s="18" t="str">
        <f>IF('Step 13 - Compliance'!B37="","","Other Criteria")</f>
        <v/>
      </c>
      <c r="M640" s="17" t="str">
        <f>IF('Step 13 - Compliance'!B37="","","Equals")</f>
        <v/>
      </c>
      <c r="N640" s="18" t="str">
        <f>IF('Step 13 - Compliance'!B37="","",'Step 13 - Compliance'!E37)</f>
        <v/>
      </c>
      <c r="O640" s="18" t="str">
        <f>IF('Step 13 - Compliance'!B37="","",IF('Step 13 - Compliance'!F37="","","Total"))</f>
        <v/>
      </c>
      <c r="P640" s="17" t="str">
        <f>IF('Step 13 - Compliance'!B37="","",IF('Step 13 - Compliance'!F37="","","&gt;="))</f>
        <v/>
      </c>
      <c r="Q640" s="18" t="str">
        <f>IF('Step 13 - Compliance'!B37="","",IF('Step 13 - Compliance'!F37="","",'Step 13 - Compliance'!F37))</f>
        <v/>
      </c>
      <c r="R640" s="18" t="str">
        <f>""</f>
        <v/>
      </c>
      <c r="S640" s="18" t="str">
        <f>""</f>
        <v/>
      </c>
      <c r="T640" s="18" t="str">
        <f>""</f>
        <v/>
      </c>
      <c r="U640" s="18" t="str">
        <f>IF('Step 13 - Compliance'!B37="","",'Step 13 - Compliance'!I37)</f>
        <v/>
      </c>
      <c r="V640" s="17" t="str">
        <f>IF('Step 13 - Compliance'!B37="","",'Step 13 - Compliance'!K37)</f>
        <v/>
      </c>
      <c r="W640" s="18" t="str">
        <f>IF('Step 13 - Compliance'!B37="","",'Step 13 - Compliance'!L37)</f>
        <v/>
      </c>
      <c r="X640" s="17" t="str">
        <f>IF('Step 13 - Compliance'!B37="","",'Step 13 - Compliance'!N37)</f>
        <v/>
      </c>
      <c r="Y640" s="18" t="str">
        <f>""</f>
        <v/>
      </c>
      <c r="Z640" s="18" t="str">
        <f>""</f>
        <v/>
      </c>
      <c r="AA640" s="18" t="str">
        <f>""</f>
        <v/>
      </c>
      <c r="AB640" s="18" t="str">
        <f>""</f>
        <v/>
      </c>
      <c r="AC640" s="18" t="str">
        <f>""</f>
        <v/>
      </c>
      <c r="AD640" s="18" t="str">
        <f>""</f>
        <v/>
      </c>
      <c r="AE640" s="18" t="str">
        <f>""</f>
        <v/>
      </c>
      <c r="AF640" s="18" t="str">
        <f>""</f>
        <v/>
      </c>
      <c r="AG640" s="18" t="str">
        <f>""</f>
        <v/>
      </c>
      <c r="AH640" s="18" t="str">
        <f>""</f>
        <v/>
      </c>
      <c r="AI640" s="18" t="str">
        <f>""</f>
        <v/>
      </c>
      <c r="AJ640" s="18" t="str">
        <f>""</f>
        <v/>
      </c>
      <c r="AK640" s="18" t="str">
        <f>""</f>
        <v/>
      </c>
      <c r="AL640" s="18" t="str">
        <f>""</f>
        <v/>
      </c>
      <c r="AM640" s="18" t="str">
        <f>""</f>
        <v/>
      </c>
    </row>
    <row r="641" spans="1:39" ht="15.75" customHeight="1" x14ac:dyDescent="0.25">
      <c r="A641" s="19" t="str">
        <f>IF('Step 13 - Compliance'!B38="","","Active")</f>
        <v/>
      </c>
      <c r="B641" s="20" t="str">
        <f>IF('Step 13 - Compliance'!B38="","",'Step 13 - Compliance'!B38)</f>
        <v/>
      </c>
      <c r="C641" s="20" t="str">
        <f>IF('Step 13 - Compliance'!B38="","",'Step 13 - Compliance'!B38)</f>
        <v/>
      </c>
      <c r="D641" s="19" t="str">
        <f>IF('Step 13 - Compliance'!B38="","",'Step 13 - Compliance'!G38)</f>
        <v/>
      </c>
      <c r="E641" s="19" t="str">
        <f>IF('Step 13 - Compliance'!B38="","",'Step 13 - Compliance'!H38)</f>
        <v/>
      </c>
      <c r="F641" s="20" t="str">
        <f>IF('Step 13 - Compliance'!B38="","",IF('Step 13 - Compliance'!C38="","","Fund Code"))</f>
        <v/>
      </c>
      <c r="G641" s="19" t="str">
        <f>IF('Step 13 - Compliance'!B38="","",IF('Step 13 - Compliance'!C38="","","Equals"))</f>
        <v/>
      </c>
      <c r="H641" s="20" t="str">
        <f>IF('Step 13 - Compliance'!B38="","",IF('Step 13 - Compliance'!C38="","",'Step 13 - Compliance'!C38))</f>
        <v/>
      </c>
      <c r="I641" s="20" t="str">
        <f>IF('Step 13 - Compliance'!B38="","","Organization Code")</f>
        <v/>
      </c>
      <c r="J641" s="19" t="str">
        <f>IF('Step 13 - Compliance'!B38="","","Equals")</f>
        <v/>
      </c>
      <c r="K641" s="20" t="str">
        <f>IF('Step 13 - Compliance'!B38="","",'Step 13 - Compliance'!D38)</f>
        <v/>
      </c>
      <c r="L641" s="20" t="str">
        <f>IF('Step 13 - Compliance'!B38="","","Other Criteria")</f>
        <v/>
      </c>
      <c r="M641" s="19" t="str">
        <f>IF('Step 13 - Compliance'!B38="","","Equals")</f>
        <v/>
      </c>
      <c r="N641" s="20" t="str">
        <f>IF('Step 13 - Compliance'!B38="","",'Step 13 - Compliance'!E38)</f>
        <v/>
      </c>
      <c r="O641" s="20" t="str">
        <f>IF('Step 13 - Compliance'!B38="","",IF('Step 13 - Compliance'!F38="","","Total"))</f>
        <v/>
      </c>
      <c r="P641" s="19" t="str">
        <f>IF('Step 13 - Compliance'!B38="","",IF('Step 13 - Compliance'!F38="","","&gt;="))</f>
        <v/>
      </c>
      <c r="Q641" s="20" t="str">
        <f>IF('Step 13 - Compliance'!B38="","",IF('Step 13 - Compliance'!F38="","",'Step 13 - Compliance'!F38))</f>
        <v/>
      </c>
      <c r="R641" s="20" t="str">
        <f>""</f>
        <v/>
      </c>
      <c r="S641" s="20" t="str">
        <f>""</f>
        <v/>
      </c>
      <c r="T641" s="20" t="str">
        <f>""</f>
        <v/>
      </c>
      <c r="U641" s="20" t="str">
        <f>IF('Step 13 - Compliance'!B38="","",'Step 13 - Compliance'!I38)</f>
        <v/>
      </c>
      <c r="V641" s="19" t="str">
        <f>IF('Step 13 - Compliance'!B38="","",'Step 13 - Compliance'!K38)</f>
        <v/>
      </c>
      <c r="W641" s="20" t="str">
        <f>IF('Step 13 - Compliance'!B38="","",'Step 13 - Compliance'!L38)</f>
        <v/>
      </c>
      <c r="X641" s="19" t="str">
        <f>IF('Step 13 - Compliance'!B38="","",'Step 13 - Compliance'!N38)</f>
        <v/>
      </c>
      <c r="Y641" s="20" t="str">
        <f>""</f>
        <v/>
      </c>
      <c r="Z641" s="20" t="str">
        <f>""</f>
        <v/>
      </c>
      <c r="AA641" s="20" t="str">
        <f>""</f>
        <v/>
      </c>
      <c r="AB641" s="20" t="str">
        <f>""</f>
        <v/>
      </c>
      <c r="AC641" s="20" t="str">
        <f>""</f>
        <v/>
      </c>
      <c r="AD641" s="20" t="str">
        <f>""</f>
        <v/>
      </c>
      <c r="AE641" s="20" t="str">
        <f>""</f>
        <v/>
      </c>
      <c r="AF641" s="20" t="str">
        <f>""</f>
        <v/>
      </c>
      <c r="AG641" s="20" t="str">
        <f>""</f>
        <v/>
      </c>
      <c r="AH641" s="20" t="str">
        <f>""</f>
        <v/>
      </c>
      <c r="AI641" s="20" t="str">
        <f>""</f>
        <v/>
      </c>
      <c r="AJ641" s="20" t="str">
        <f>""</f>
        <v/>
      </c>
      <c r="AK641" s="20" t="str">
        <f>""</f>
        <v/>
      </c>
      <c r="AL641" s="20" t="str">
        <f>""</f>
        <v/>
      </c>
      <c r="AM641" s="20" t="str">
        <f>""</f>
        <v/>
      </c>
    </row>
    <row r="642" spans="1:39" ht="15.75" customHeight="1" x14ac:dyDescent="0.25">
      <c r="A642" s="17" t="str">
        <f>IF('Step 13 - Compliance'!B39="","","Active")</f>
        <v/>
      </c>
      <c r="B642" s="18" t="str">
        <f>IF('Step 13 - Compliance'!B39="","",'Step 13 - Compliance'!B39)</f>
        <v/>
      </c>
      <c r="C642" s="18" t="str">
        <f>IF('Step 13 - Compliance'!B39="","",'Step 13 - Compliance'!B39)</f>
        <v/>
      </c>
      <c r="D642" s="17" t="str">
        <f>IF('Step 13 - Compliance'!B39="","",'Step 13 - Compliance'!G39)</f>
        <v/>
      </c>
      <c r="E642" s="17" t="str">
        <f>IF('Step 13 - Compliance'!B39="","",'Step 13 - Compliance'!H39)</f>
        <v/>
      </c>
      <c r="F642" s="18" t="str">
        <f>IF('Step 13 - Compliance'!B39="","",IF('Step 13 - Compliance'!C39="","","Fund Code"))</f>
        <v/>
      </c>
      <c r="G642" s="17" t="str">
        <f>IF('Step 13 - Compliance'!B39="","",IF('Step 13 - Compliance'!C39="","","Equals"))</f>
        <v/>
      </c>
      <c r="H642" s="18" t="str">
        <f>IF('Step 13 - Compliance'!B39="","",IF('Step 13 - Compliance'!C39="","",'Step 13 - Compliance'!C39))</f>
        <v/>
      </c>
      <c r="I642" s="18" t="str">
        <f>IF('Step 13 - Compliance'!B39="","","Organization Code")</f>
        <v/>
      </c>
      <c r="J642" s="17" t="str">
        <f>IF('Step 13 - Compliance'!B39="","","Equals")</f>
        <v/>
      </c>
      <c r="K642" s="18" t="str">
        <f>IF('Step 13 - Compliance'!B39="","",'Step 13 - Compliance'!D39)</f>
        <v/>
      </c>
      <c r="L642" s="18" t="str">
        <f>IF('Step 13 - Compliance'!B39="","","Other Criteria")</f>
        <v/>
      </c>
      <c r="M642" s="17" t="str">
        <f>IF('Step 13 - Compliance'!B39="","","Equals")</f>
        <v/>
      </c>
      <c r="N642" s="18" t="str">
        <f>IF('Step 13 - Compliance'!B39="","",'Step 13 - Compliance'!E39)</f>
        <v/>
      </c>
      <c r="O642" s="18" t="str">
        <f>IF('Step 13 - Compliance'!B39="","",IF('Step 13 - Compliance'!F39="","","Total"))</f>
        <v/>
      </c>
      <c r="P642" s="17" t="str">
        <f>IF('Step 13 - Compliance'!B39="","",IF('Step 13 - Compliance'!F39="","","&gt;="))</f>
        <v/>
      </c>
      <c r="Q642" s="18" t="str">
        <f>IF('Step 13 - Compliance'!B39="","",IF('Step 13 - Compliance'!F39="","",'Step 13 - Compliance'!F39))</f>
        <v/>
      </c>
      <c r="R642" s="18" t="str">
        <f>""</f>
        <v/>
      </c>
      <c r="S642" s="18" t="str">
        <f>""</f>
        <v/>
      </c>
      <c r="T642" s="18" t="str">
        <f>""</f>
        <v/>
      </c>
      <c r="U642" s="18" t="str">
        <f>IF('Step 13 - Compliance'!B39="","",'Step 13 - Compliance'!I39)</f>
        <v/>
      </c>
      <c r="V642" s="17" t="str">
        <f>IF('Step 13 - Compliance'!B39="","",'Step 13 - Compliance'!K39)</f>
        <v/>
      </c>
      <c r="W642" s="18" t="str">
        <f>IF('Step 13 - Compliance'!B39="","",'Step 13 - Compliance'!L39)</f>
        <v/>
      </c>
      <c r="X642" s="17" t="str">
        <f>IF('Step 13 - Compliance'!B39="","",'Step 13 - Compliance'!N39)</f>
        <v/>
      </c>
      <c r="Y642" s="18" t="str">
        <f>""</f>
        <v/>
      </c>
      <c r="Z642" s="18" t="str">
        <f>""</f>
        <v/>
      </c>
      <c r="AA642" s="18" t="str">
        <f>""</f>
        <v/>
      </c>
      <c r="AB642" s="18" t="str">
        <f>""</f>
        <v/>
      </c>
      <c r="AC642" s="18" t="str">
        <f>""</f>
        <v/>
      </c>
      <c r="AD642" s="18" t="str">
        <f>""</f>
        <v/>
      </c>
      <c r="AE642" s="18" t="str">
        <f>""</f>
        <v/>
      </c>
      <c r="AF642" s="18" t="str">
        <f>""</f>
        <v/>
      </c>
      <c r="AG642" s="18" t="str">
        <f>""</f>
        <v/>
      </c>
      <c r="AH642" s="18" t="str">
        <f>""</f>
        <v/>
      </c>
      <c r="AI642" s="18" t="str">
        <f>""</f>
        <v/>
      </c>
      <c r="AJ642" s="18" t="str">
        <f>""</f>
        <v/>
      </c>
      <c r="AK642" s="18" t="str">
        <f>""</f>
        <v/>
      </c>
      <c r="AL642" s="18" t="str">
        <f>""</f>
        <v/>
      </c>
      <c r="AM642" s="18" t="str">
        <f>""</f>
        <v/>
      </c>
    </row>
    <row r="643" spans="1:39" ht="15.75" customHeight="1" x14ac:dyDescent="0.25">
      <c r="A643" s="19" t="str">
        <f>IF('Step 13 - Compliance'!B40="","","Active")</f>
        <v/>
      </c>
      <c r="B643" s="20" t="str">
        <f>IF('Step 13 - Compliance'!B40="","",'Step 13 - Compliance'!B40)</f>
        <v/>
      </c>
      <c r="C643" s="20" t="str">
        <f>IF('Step 13 - Compliance'!B40="","",'Step 13 - Compliance'!B40)</f>
        <v/>
      </c>
      <c r="D643" s="19" t="str">
        <f>IF('Step 13 - Compliance'!B40="","",'Step 13 - Compliance'!G40)</f>
        <v/>
      </c>
      <c r="E643" s="19" t="str">
        <f>IF('Step 13 - Compliance'!B40="","",'Step 13 - Compliance'!H40)</f>
        <v/>
      </c>
      <c r="F643" s="20" t="str">
        <f>IF('Step 13 - Compliance'!B40="","",IF('Step 13 - Compliance'!C40="","","Fund Code"))</f>
        <v/>
      </c>
      <c r="G643" s="19" t="str">
        <f>IF('Step 13 - Compliance'!B40="","",IF('Step 13 - Compliance'!C40="","","Equals"))</f>
        <v/>
      </c>
      <c r="H643" s="20" t="str">
        <f>IF('Step 13 - Compliance'!B40="","",IF('Step 13 - Compliance'!C40="","",'Step 13 - Compliance'!C40))</f>
        <v/>
      </c>
      <c r="I643" s="20" t="str">
        <f>IF('Step 13 - Compliance'!B40="","","Organization Code")</f>
        <v/>
      </c>
      <c r="J643" s="19" t="str">
        <f>IF('Step 13 - Compliance'!B40="","","Equals")</f>
        <v/>
      </c>
      <c r="K643" s="20" t="str">
        <f>IF('Step 13 - Compliance'!B40="","",'Step 13 - Compliance'!D40)</f>
        <v/>
      </c>
      <c r="L643" s="20" t="str">
        <f>IF('Step 13 - Compliance'!B40="","","Other Criteria")</f>
        <v/>
      </c>
      <c r="M643" s="19" t="str">
        <f>IF('Step 13 - Compliance'!B40="","","Equals")</f>
        <v/>
      </c>
      <c r="N643" s="20" t="str">
        <f>IF('Step 13 - Compliance'!B40="","",'Step 13 - Compliance'!E40)</f>
        <v/>
      </c>
      <c r="O643" s="20" t="str">
        <f>IF('Step 13 - Compliance'!B40="","",IF('Step 13 - Compliance'!F40="","","Total"))</f>
        <v/>
      </c>
      <c r="P643" s="19" t="str">
        <f>IF('Step 13 - Compliance'!B40="","",IF('Step 13 - Compliance'!F40="","","&gt;="))</f>
        <v/>
      </c>
      <c r="Q643" s="20" t="str">
        <f>IF('Step 13 - Compliance'!B40="","",IF('Step 13 - Compliance'!F40="","",'Step 13 - Compliance'!F40))</f>
        <v/>
      </c>
      <c r="R643" s="20" t="str">
        <f>""</f>
        <v/>
      </c>
      <c r="S643" s="20" t="str">
        <f>""</f>
        <v/>
      </c>
      <c r="T643" s="20" t="str">
        <f>""</f>
        <v/>
      </c>
      <c r="U643" s="20" t="str">
        <f>IF('Step 13 - Compliance'!B40="","",'Step 13 - Compliance'!I40)</f>
        <v/>
      </c>
      <c r="V643" s="19" t="str">
        <f>IF('Step 13 - Compliance'!B40="","",'Step 13 - Compliance'!K40)</f>
        <v/>
      </c>
      <c r="W643" s="20" t="str">
        <f>IF('Step 13 - Compliance'!B40="","",'Step 13 - Compliance'!L40)</f>
        <v/>
      </c>
      <c r="X643" s="19" t="str">
        <f>IF('Step 13 - Compliance'!B40="","",'Step 13 - Compliance'!N40)</f>
        <v/>
      </c>
      <c r="Y643" s="20" t="str">
        <f>""</f>
        <v/>
      </c>
      <c r="Z643" s="20" t="str">
        <f>""</f>
        <v/>
      </c>
      <c r="AA643" s="20" t="str">
        <f>""</f>
        <v/>
      </c>
      <c r="AB643" s="20" t="str">
        <f>""</f>
        <v/>
      </c>
      <c r="AC643" s="20" t="str">
        <f>""</f>
        <v/>
      </c>
      <c r="AD643" s="20" t="str">
        <f>""</f>
        <v/>
      </c>
      <c r="AE643" s="20" t="str">
        <f>""</f>
        <v/>
      </c>
      <c r="AF643" s="20" t="str">
        <f>""</f>
        <v/>
      </c>
      <c r="AG643" s="20" t="str">
        <f>""</f>
        <v/>
      </c>
      <c r="AH643" s="20" t="str">
        <f>""</f>
        <v/>
      </c>
      <c r="AI643" s="20" t="str">
        <f>""</f>
        <v/>
      </c>
      <c r="AJ643" s="20" t="str">
        <f>""</f>
        <v/>
      </c>
      <c r="AK643" s="20" t="str">
        <f>""</f>
        <v/>
      </c>
      <c r="AL643" s="20" t="str">
        <f>""</f>
        <v/>
      </c>
      <c r="AM643" s="20" t="str">
        <f>""</f>
        <v/>
      </c>
    </row>
    <row r="644" spans="1:39" ht="15.75" customHeight="1" x14ac:dyDescent="0.25">
      <c r="A644" s="17" t="str">
        <f>IF('Step 13 - Compliance'!B41="","","Active")</f>
        <v/>
      </c>
      <c r="B644" s="18" t="str">
        <f>IF('Step 13 - Compliance'!B41="","",'Step 13 - Compliance'!B41)</f>
        <v/>
      </c>
      <c r="C644" s="18" t="str">
        <f>IF('Step 13 - Compliance'!B41="","",'Step 13 - Compliance'!B41)</f>
        <v/>
      </c>
      <c r="D644" s="17" t="str">
        <f>IF('Step 13 - Compliance'!B41="","",'Step 13 - Compliance'!G41)</f>
        <v/>
      </c>
      <c r="E644" s="17" t="str">
        <f>IF('Step 13 - Compliance'!B41="","",'Step 13 - Compliance'!H41)</f>
        <v/>
      </c>
      <c r="F644" s="18" t="str">
        <f>IF('Step 13 - Compliance'!B41="","",IF('Step 13 - Compliance'!C41="","","Fund Code"))</f>
        <v/>
      </c>
      <c r="G644" s="17" t="str">
        <f>IF('Step 13 - Compliance'!B41="","",IF('Step 13 - Compliance'!C41="","","Equals"))</f>
        <v/>
      </c>
      <c r="H644" s="18" t="str">
        <f>IF('Step 13 - Compliance'!B41="","",IF('Step 13 - Compliance'!C41="","",'Step 13 - Compliance'!C41))</f>
        <v/>
      </c>
      <c r="I644" s="18" t="str">
        <f>IF('Step 13 - Compliance'!B41="","","Organization Code")</f>
        <v/>
      </c>
      <c r="J644" s="17" t="str">
        <f>IF('Step 13 - Compliance'!B41="","","Equals")</f>
        <v/>
      </c>
      <c r="K644" s="18" t="str">
        <f>IF('Step 13 - Compliance'!B41="","",'Step 13 - Compliance'!D41)</f>
        <v/>
      </c>
      <c r="L644" s="18" t="str">
        <f>IF('Step 13 - Compliance'!B41="","","Other Criteria")</f>
        <v/>
      </c>
      <c r="M644" s="17" t="str">
        <f>IF('Step 13 - Compliance'!B41="","","Equals")</f>
        <v/>
      </c>
      <c r="N644" s="18" t="str">
        <f>IF('Step 13 - Compliance'!B41="","",'Step 13 - Compliance'!E41)</f>
        <v/>
      </c>
      <c r="O644" s="18" t="str">
        <f>IF('Step 13 - Compliance'!B41="","",IF('Step 13 - Compliance'!F41="","","Total"))</f>
        <v/>
      </c>
      <c r="P644" s="17" t="str">
        <f>IF('Step 13 - Compliance'!B41="","",IF('Step 13 - Compliance'!F41="","","&gt;="))</f>
        <v/>
      </c>
      <c r="Q644" s="18" t="str">
        <f>IF('Step 13 - Compliance'!B41="","",IF('Step 13 - Compliance'!F41="","",'Step 13 - Compliance'!F41))</f>
        <v/>
      </c>
      <c r="R644" s="18" t="str">
        <f>""</f>
        <v/>
      </c>
      <c r="S644" s="18" t="str">
        <f>""</f>
        <v/>
      </c>
      <c r="T644" s="18" t="str">
        <f>""</f>
        <v/>
      </c>
      <c r="U644" s="18" t="str">
        <f>IF('Step 13 - Compliance'!B41="","",'Step 13 - Compliance'!I41)</f>
        <v/>
      </c>
      <c r="V644" s="17" t="str">
        <f>IF('Step 13 - Compliance'!B41="","",'Step 13 - Compliance'!K41)</f>
        <v/>
      </c>
      <c r="W644" s="18" t="str">
        <f>IF('Step 13 - Compliance'!B41="","",'Step 13 - Compliance'!L41)</f>
        <v/>
      </c>
      <c r="X644" s="17" t="str">
        <f>IF('Step 13 - Compliance'!B41="","",'Step 13 - Compliance'!N41)</f>
        <v/>
      </c>
      <c r="Y644" s="18" t="str">
        <f>""</f>
        <v/>
      </c>
      <c r="Z644" s="18" t="str">
        <f>""</f>
        <v/>
      </c>
      <c r="AA644" s="18" t="str">
        <f>""</f>
        <v/>
      </c>
      <c r="AB644" s="18" t="str">
        <f>""</f>
        <v/>
      </c>
      <c r="AC644" s="18" t="str">
        <f>""</f>
        <v/>
      </c>
      <c r="AD644" s="18" t="str">
        <f>""</f>
        <v/>
      </c>
      <c r="AE644" s="18" t="str">
        <f>""</f>
        <v/>
      </c>
      <c r="AF644" s="18" t="str">
        <f>""</f>
        <v/>
      </c>
      <c r="AG644" s="18" t="str">
        <f>""</f>
        <v/>
      </c>
      <c r="AH644" s="18" t="str">
        <f>""</f>
        <v/>
      </c>
      <c r="AI644" s="18" t="str">
        <f>""</f>
        <v/>
      </c>
      <c r="AJ644" s="18" t="str">
        <f>""</f>
        <v/>
      </c>
      <c r="AK644" s="18" t="str">
        <f>""</f>
        <v/>
      </c>
      <c r="AL644" s="18" t="str">
        <f>""</f>
        <v/>
      </c>
      <c r="AM644" s="18" t="str">
        <f>""</f>
        <v/>
      </c>
    </row>
    <row r="645" spans="1:39" ht="15.75" customHeight="1" x14ac:dyDescent="0.25">
      <c r="A645" s="19" t="str">
        <f>IF('Step 13 - Compliance'!B42="","","Active")</f>
        <v/>
      </c>
      <c r="B645" s="20" t="str">
        <f>IF('Step 13 - Compliance'!B42="","",'Step 13 - Compliance'!B42)</f>
        <v/>
      </c>
      <c r="C645" s="20" t="str">
        <f>IF('Step 13 - Compliance'!B42="","",'Step 13 - Compliance'!B42)</f>
        <v/>
      </c>
      <c r="D645" s="19" t="str">
        <f>IF('Step 13 - Compliance'!B42="","",'Step 13 - Compliance'!G42)</f>
        <v/>
      </c>
      <c r="E645" s="19" t="str">
        <f>IF('Step 13 - Compliance'!B42="","",'Step 13 - Compliance'!H42)</f>
        <v/>
      </c>
      <c r="F645" s="20" t="str">
        <f>IF('Step 13 - Compliance'!B42="","",IF('Step 13 - Compliance'!C42="","","Fund Code"))</f>
        <v/>
      </c>
      <c r="G645" s="19" t="str">
        <f>IF('Step 13 - Compliance'!B42="","",IF('Step 13 - Compliance'!C42="","","Equals"))</f>
        <v/>
      </c>
      <c r="H645" s="20" t="str">
        <f>IF('Step 13 - Compliance'!B42="","",IF('Step 13 - Compliance'!C42="","",'Step 13 - Compliance'!C42))</f>
        <v/>
      </c>
      <c r="I645" s="20" t="str">
        <f>IF('Step 13 - Compliance'!B42="","","Organization Code")</f>
        <v/>
      </c>
      <c r="J645" s="19" t="str">
        <f>IF('Step 13 - Compliance'!B42="","","Equals")</f>
        <v/>
      </c>
      <c r="K645" s="20" t="str">
        <f>IF('Step 13 - Compliance'!B42="","",'Step 13 - Compliance'!D42)</f>
        <v/>
      </c>
      <c r="L645" s="20" t="str">
        <f>IF('Step 13 - Compliance'!B42="","","Other Criteria")</f>
        <v/>
      </c>
      <c r="M645" s="19" t="str">
        <f>IF('Step 13 - Compliance'!B42="","","Equals")</f>
        <v/>
      </c>
      <c r="N645" s="20" t="str">
        <f>IF('Step 13 - Compliance'!B42="","",'Step 13 - Compliance'!E42)</f>
        <v/>
      </c>
      <c r="O645" s="20" t="str">
        <f>IF('Step 13 - Compliance'!B42="","",IF('Step 13 - Compliance'!F42="","","Total"))</f>
        <v/>
      </c>
      <c r="P645" s="19" t="str">
        <f>IF('Step 13 - Compliance'!B42="","",IF('Step 13 - Compliance'!F42="","","&gt;="))</f>
        <v/>
      </c>
      <c r="Q645" s="20" t="str">
        <f>IF('Step 13 - Compliance'!B42="","",IF('Step 13 - Compliance'!F42="","",'Step 13 - Compliance'!F42))</f>
        <v/>
      </c>
      <c r="R645" s="20" t="str">
        <f>""</f>
        <v/>
      </c>
      <c r="S645" s="20" t="str">
        <f>""</f>
        <v/>
      </c>
      <c r="T645" s="20" t="str">
        <f>""</f>
        <v/>
      </c>
      <c r="U645" s="20" t="str">
        <f>IF('Step 13 - Compliance'!B42="","",'Step 13 - Compliance'!I42)</f>
        <v/>
      </c>
      <c r="V645" s="19" t="str">
        <f>IF('Step 13 - Compliance'!B42="","",'Step 13 - Compliance'!K42)</f>
        <v/>
      </c>
      <c r="W645" s="20" t="str">
        <f>IF('Step 13 - Compliance'!B42="","",'Step 13 - Compliance'!L42)</f>
        <v/>
      </c>
      <c r="X645" s="19" t="str">
        <f>IF('Step 13 - Compliance'!B42="","",'Step 13 - Compliance'!N42)</f>
        <v/>
      </c>
      <c r="Y645" s="20" t="str">
        <f>""</f>
        <v/>
      </c>
      <c r="Z645" s="20" t="str">
        <f>""</f>
        <v/>
      </c>
      <c r="AA645" s="20" t="str">
        <f>""</f>
        <v/>
      </c>
      <c r="AB645" s="20" t="str">
        <f>""</f>
        <v/>
      </c>
      <c r="AC645" s="20" t="str">
        <f>""</f>
        <v/>
      </c>
      <c r="AD645" s="20" t="str">
        <f>""</f>
        <v/>
      </c>
      <c r="AE645" s="20" t="str">
        <f>""</f>
        <v/>
      </c>
      <c r="AF645" s="20" t="str">
        <f>""</f>
        <v/>
      </c>
      <c r="AG645" s="20" t="str">
        <f>""</f>
        <v/>
      </c>
      <c r="AH645" s="20" t="str">
        <f>""</f>
        <v/>
      </c>
      <c r="AI645" s="20" t="str">
        <f>""</f>
        <v/>
      </c>
      <c r="AJ645" s="20" t="str">
        <f>""</f>
        <v/>
      </c>
      <c r="AK645" s="20" t="str">
        <f>""</f>
        <v/>
      </c>
      <c r="AL645" s="20" t="str">
        <f>""</f>
        <v/>
      </c>
      <c r="AM645" s="20" t="str">
        <f>""</f>
        <v/>
      </c>
    </row>
    <row r="646" spans="1:39" ht="15.75" customHeight="1" x14ac:dyDescent="0.25">
      <c r="A646" s="17" t="str">
        <f>IF('Step 13 - Compliance'!B43="","","Active")</f>
        <v/>
      </c>
      <c r="B646" s="18" t="str">
        <f>IF('Step 13 - Compliance'!B43="","",'Step 13 - Compliance'!B43)</f>
        <v/>
      </c>
      <c r="C646" s="18" t="str">
        <f>IF('Step 13 - Compliance'!B43="","",'Step 13 - Compliance'!B43)</f>
        <v/>
      </c>
      <c r="D646" s="17" t="str">
        <f>IF('Step 13 - Compliance'!B43="","",'Step 13 - Compliance'!G43)</f>
        <v/>
      </c>
      <c r="E646" s="17" t="str">
        <f>IF('Step 13 - Compliance'!B43="","",'Step 13 - Compliance'!H43)</f>
        <v/>
      </c>
      <c r="F646" s="18" t="str">
        <f>IF('Step 13 - Compliance'!B43="","",IF('Step 13 - Compliance'!C43="","","Fund Code"))</f>
        <v/>
      </c>
      <c r="G646" s="17" t="str">
        <f>IF('Step 13 - Compliance'!B43="","",IF('Step 13 - Compliance'!C43="","","Equals"))</f>
        <v/>
      </c>
      <c r="H646" s="18" t="str">
        <f>IF('Step 13 - Compliance'!B43="","",IF('Step 13 - Compliance'!C43="","",'Step 13 - Compliance'!C43))</f>
        <v/>
      </c>
      <c r="I646" s="18" t="str">
        <f>IF('Step 13 - Compliance'!B43="","","Organization Code")</f>
        <v/>
      </c>
      <c r="J646" s="17" t="str">
        <f>IF('Step 13 - Compliance'!B43="","","Equals")</f>
        <v/>
      </c>
      <c r="K646" s="18" t="str">
        <f>IF('Step 13 - Compliance'!B43="","",'Step 13 - Compliance'!D43)</f>
        <v/>
      </c>
      <c r="L646" s="18" t="str">
        <f>IF('Step 13 - Compliance'!B43="","","Other Criteria")</f>
        <v/>
      </c>
      <c r="M646" s="17" t="str">
        <f>IF('Step 13 - Compliance'!B43="","","Equals")</f>
        <v/>
      </c>
      <c r="N646" s="18" t="str">
        <f>IF('Step 13 - Compliance'!B43="","",'Step 13 - Compliance'!E43)</f>
        <v/>
      </c>
      <c r="O646" s="18" t="str">
        <f>IF('Step 13 - Compliance'!B43="","",IF('Step 13 - Compliance'!F43="","","Total"))</f>
        <v/>
      </c>
      <c r="P646" s="17" t="str">
        <f>IF('Step 13 - Compliance'!B43="","",IF('Step 13 - Compliance'!F43="","","&gt;="))</f>
        <v/>
      </c>
      <c r="Q646" s="18" t="str">
        <f>IF('Step 13 - Compliance'!B43="","",IF('Step 13 - Compliance'!F43="","",'Step 13 - Compliance'!F43))</f>
        <v/>
      </c>
      <c r="R646" s="18" t="str">
        <f>""</f>
        <v/>
      </c>
      <c r="S646" s="18" t="str">
        <f>""</f>
        <v/>
      </c>
      <c r="T646" s="18" t="str">
        <f>""</f>
        <v/>
      </c>
      <c r="U646" s="18" t="str">
        <f>IF('Step 13 - Compliance'!B43="","",'Step 13 - Compliance'!I43)</f>
        <v/>
      </c>
      <c r="V646" s="17" t="str">
        <f>IF('Step 13 - Compliance'!B43="","",'Step 13 - Compliance'!K43)</f>
        <v/>
      </c>
      <c r="W646" s="18" t="str">
        <f>IF('Step 13 - Compliance'!B43="","",'Step 13 - Compliance'!L43)</f>
        <v/>
      </c>
      <c r="X646" s="17" t="str">
        <f>IF('Step 13 - Compliance'!B43="","",'Step 13 - Compliance'!N43)</f>
        <v/>
      </c>
      <c r="Y646" s="18" t="str">
        <f>""</f>
        <v/>
      </c>
      <c r="Z646" s="18" t="str">
        <f>""</f>
        <v/>
      </c>
      <c r="AA646" s="18" t="str">
        <f>""</f>
        <v/>
      </c>
      <c r="AB646" s="18" t="str">
        <f>""</f>
        <v/>
      </c>
      <c r="AC646" s="18" t="str">
        <f>""</f>
        <v/>
      </c>
      <c r="AD646" s="18" t="str">
        <f>""</f>
        <v/>
      </c>
      <c r="AE646" s="18" t="str">
        <f>""</f>
        <v/>
      </c>
      <c r="AF646" s="18" t="str">
        <f>""</f>
        <v/>
      </c>
      <c r="AG646" s="18" t="str">
        <f>""</f>
        <v/>
      </c>
      <c r="AH646" s="18" t="str">
        <f>""</f>
        <v/>
      </c>
      <c r="AI646" s="18" t="str">
        <f>""</f>
        <v/>
      </c>
      <c r="AJ646" s="18" t="str">
        <f>""</f>
        <v/>
      </c>
      <c r="AK646" s="18" t="str">
        <f>""</f>
        <v/>
      </c>
      <c r="AL646" s="18" t="str">
        <f>""</f>
        <v/>
      </c>
      <c r="AM646" s="18" t="str">
        <f>""</f>
        <v/>
      </c>
    </row>
    <row r="647" spans="1:39" ht="15.75" customHeight="1" x14ac:dyDescent="0.25">
      <c r="A647" s="19" t="str">
        <f>IF('Step 13 - Compliance'!B44="","","Active")</f>
        <v/>
      </c>
      <c r="B647" s="20" t="str">
        <f>IF('Step 13 - Compliance'!B44="","",'Step 13 - Compliance'!B44)</f>
        <v/>
      </c>
      <c r="C647" s="20" t="str">
        <f>IF('Step 13 - Compliance'!B44="","",'Step 13 - Compliance'!B44)</f>
        <v/>
      </c>
      <c r="D647" s="19" t="str">
        <f>IF('Step 13 - Compliance'!B44="","",'Step 13 - Compliance'!G44)</f>
        <v/>
      </c>
      <c r="E647" s="19" t="str">
        <f>IF('Step 13 - Compliance'!B44="","",'Step 13 - Compliance'!H44)</f>
        <v/>
      </c>
      <c r="F647" s="20" t="str">
        <f>IF('Step 13 - Compliance'!B44="","",IF('Step 13 - Compliance'!C44="","","Fund Code"))</f>
        <v/>
      </c>
      <c r="G647" s="19" t="str">
        <f>IF('Step 13 - Compliance'!B44="","",IF('Step 13 - Compliance'!C44="","","Equals"))</f>
        <v/>
      </c>
      <c r="H647" s="20" t="str">
        <f>IF('Step 13 - Compliance'!B44="","",IF('Step 13 - Compliance'!C44="","",'Step 13 - Compliance'!C44))</f>
        <v/>
      </c>
      <c r="I647" s="20" t="str">
        <f>IF('Step 13 - Compliance'!B44="","","Organization Code")</f>
        <v/>
      </c>
      <c r="J647" s="19" t="str">
        <f>IF('Step 13 - Compliance'!B44="","","Equals")</f>
        <v/>
      </c>
      <c r="K647" s="20" t="str">
        <f>IF('Step 13 - Compliance'!B44="","",'Step 13 - Compliance'!D44)</f>
        <v/>
      </c>
      <c r="L647" s="20" t="str">
        <f>IF('Step 13 - Compliance'!B44="","","Other Criteria")</f>
        <v/>
      </c>
      <c r="M647" s="19" t="str">
        <f>IF('Step 13 - Compliance'!B44="","","Equals")</f>
        <v/>
      </c>
      <c r="N647" s="20" t="str">
        <f>IF('Step 13 - Compliance'!B44="","",'Step 13 - Compliance'!E44)</f>
        <v/>
      </c>
      <c r="O647" s="20" t="str">
        <f>IF('Step 13 - Compliance'!B44="","",IF('Step 13 - Compliance'!F44="","","Total"))</f>
        <v/>
      </c>
      <c r="P647" s="19" t="str">
        <f>IF('Step 13 - Compliance'!B44="","",IF('Step 13 - Compliance'!F44="","","&gt;="))</f>
        <v/>
      </c>
      <c r="Q647" s="20" t="str">
        <f>IF('Step 13 - Compliance'!B44="","",IF('Step 13 - Compliance'!F44="","",'Step 13 - Compliance'!F44))</f>
        <v/>
      </c>
      <c r="R647" s="20" t="str">
        <f>""</f>
        <v/>
      </c>
      <c r="S647" s="20" t="str">
        <f>""</f>
        <v/>
      </c>
      <c r="T647" s="20" t="str">
        <f>""</f>
        <v/>
      </c>
      <c r="U647" s="20" t="str">
        <f>IF('Step 13 - Compliance'!B44="","",'Step 13 - Compliance'!I44)</f>
        <v/>
      </c>
      <c r="V647" s="19" t="str">
        <f>IF('Step 13 - Compliance'!B44="","",'Step 13 - Compliance'!K44)</f>
        <v/>
      </c>
      <c r="W647" s="20" t="str">
        <f>IF('Step 13 - Compliance'!B44="","",'Step 13 - Compliance'!L44)</f>
        <v/>
      </c>
      <c r="X647" s="19" t="str">
        <f>IF('Step 13 - Compliance'!B44="","",'Step 13 - Compliance'!N44)</f>
        <v/>
      </c>
      <c r="Y647" s="20" t="str">
        <f>""</f>
        <v/>
      </c>
      <c r="Z647" s="20" t="str">
        <f>""</f>
        <v/>
      </c>
      <c r="AA647" s="20" t="str">
        <f>""</f>
        <v/>
      </c>
      <c r="AB647" s="20" t="str">
        <f>""</f>
        <v/>
      </c>
      <c r="AC647" s="20" t="str">
        <f>""</f>
        <v/>
      </c>
      <c r="AD647" s="20" t="str">
        <f>""</f>
        <v/>
      </c>
      <c r="AE647" s="20" t="str">
        <f>""</f>
        <v/>
      </c>
      <c r="AF647" s="20" t="str">
        <f>""</f>
        <v/>
      </c>
      <c r="AG647" s="20" t="str">
        <f>""</f>
        <v/>
      </c>
      <c r="AH647" s="20" t="str">
        <f>""</f>
        <v/>
      </c>
      <c r="AI647" s="20" t="str">
        <f>""</f>
        <v/>
      </c>
      <c r="AJ647" s="20" t="str">
        <f>""</f>
        <v/>
      </c>
      <c r="AK647" s="20" t="str">
        <f>""</f>
        <v/>
      </c>
      <c r="AL647" s="20" t="str">
        <f>""</f>
        <v/>
      </c>
      <c r="AM647" s="20" t="str">
        <f>""</f>
        <v/>
      </c>
    </row>
    <row r="648" spans="1:39" ht="15.75" customHeight="1" x14ac:dyDescent="0.25">
      <c r="A648" s="17" t="str">
        <f>IF('Step 13 - Compliance'!B45="","","Active")</f>
        <v/>
      </c>
      <c r="B648" s="18" t="str">
        <f>IF('Step 13 - Compliance'!B45="","",'Step 13 - Compliance'!B45)</f>
        <v/>
      </c>
      <c r="C648" s="18" t="str">
        <f>IF('Step 13 - Compliance'!B45="","",'Step 13 - Compliance'!B45)</f>
        <v/>
      </c>
      <c r="D648" s="17" t="str">
        <f>IF('Step 13 - Compliance'!B45="","",'Step 13 - Compliance'!G45)</f>
        <v/>
      </c>
      <c r="E648" s="17" t="str">
        <f>IF('Step 13 - Compliance'!B45="","",'Step 13 - Compliance'!H45)</f>
        <v/>
      </c>
      <c r="F648" s="18" t="str">
        <f>IF('Step 13 - Compliance'!B45="","",IF('Step 13 - Compliance'!C45="","","Fund Code"))</f>
        <v/>
      </c>
      <c r="G648" s="17" t="str">
        <f>IF('Step 13 - Compliance'!B45="","",IF('Step 13 - Compliance'!C45="","","Equals"))</f>
        <v/>
      </c>
      <c r="H648" s="18" t="str">
        <f>IF('Step 13 - Compliance'!B45="","",IF('Step 13 - Compliance'!C45="","",'Step 13 - Compliance'!C45))</f>
        <v/>
      </c>
      <c r="I648" s="18" t="str">
        <f>IF('Step 13 - Compliance'!B45="","","Organization Code")</f>
        <v/>
      </c>
      <c r="J648" s="17" t="str">
        <f>IF('Step 13 - Compliance'!B45="","","Equals")</f>
        <v/>
      </c>
      <c r="K648" s="18" t="str">
        <f>IF('Step 13 - Compliance'!B45="","",'Step 13 - Compliance'!D45)</f>
        <v/>
      </c>
      <c r="L648" s="18" t="str">
        <f>IF('Step 13 - Compliance'!B45="","","Other Criteria")</f>
        <v/>
      </c>
      <c r="M648" s="17" t="str">
        <f>IF('Step 13 - Compliance'!B45="","","Equals")</f>
        <v/>
      </c>
      <c r="N648" s="18" t="str">
        <f>IF('Step 13 - Compliance'!B45="","",'Step 13 - Compliance'!E45)</f>
        <v/>
      </c>
      <c r="O648" s="18" t="str">
        <f>IF('Step 13 - Compliance'!B45="","",IF('Step 13 - Compliance'!F45="","","Total"))</f>
        <v/>
      </c>
      <c r="P648" s="17" t="str">
        <f>IF('Step 13 - Compliance'!B45="","",IF('Step 13 - Compliance'!F45="","","&gt;="))</f>
        <v/>
      </c>
      <c r="Q648" s="18" t="str">
        <f>IF('Step 13 - Compliance'!B45="","",IF('Step 13 - Compliance'!F45="","",'Step 13 - Compliance'!F45))</f>
        <v/>
      </c>
      <c r="R648" s="18" t="str">
        <f>""</f>
        <v/>
      </c>
      <c r="S648" s="18" t="str">
        <f>""</f>
        <v/>
      </c>
      <c r="T648" s="18" t="str">
        <f>""</f>
        <v/>
      </c>
      <c r="U648" s="18" t="str">
        <f>IF('Step 13 - Compliance'!B45="","",'Step 13 - Compliance'!I45)</f>
        <v/>
      </c>
      <c r="V648" s="17" t="str">
        <f>IF('Step 13 - Compliance'!B45="","",'Step 13 - Compliance'!K45)</f>
        <v/>
      </c>
      <c r="W648" s="18" t="str">
        <f>IF('Step 13 - Compliance'!B45="","",'Step 13 - Compliance'!L45)</f>
        <v/>
      </c>
      <c r="X648" s="17" t="str">
        <f>IF('Step 13 - Compliance'!B45="","",'Step 13 - Compliance'!N45)</f>
        <v/>
      </c>
      <c r="Y648" s="18" t="str">
        <f>""</f>
        <v/>
      </c>
      <c r="Z648" s="18" t="str">
        <f>""</f>
        <v/>
      </c>
      <c r="AA648" s="18" t="str">
        <f>""</f>
        <v/>
      </c>
      <c r="AB648" s="18" t="str">
        <f>""</f>
        <v/>
      </c>
      <c r="AC648" s="18" t="str">
        <f>""</f>
        <v/>
      </c>
      <c r="AD648" s="18" t="str">
        <f>""</f>
        <v/>
      </c>
      <c r="AE648" s="18" t="str">
        <f>""</f>
        <v/>
      </c>
      <c r="AF648" s="18" t="str">
        <f>""</f>
        <v/>
      </c>
      <c r="AG648" s="18" t="str">
        <f>""</f>
        <v/>
      </c>
      <c r="AH648" s="18" t="str">
        <f>""</f>
        <v/>
      </c>
      <c r="AI648" s="18" t="str">
        <f>""</f>
        <v/>
      </c>
      <c r="AJ648" s="18" t="str">
        <f>""</f>
        <v/>
      </c>
      <c r="AK648" s="18" t="str">
        <f>""</f>
        <v/>
      </c>
      <c r="AL648" s="18" t="str">
        <f>""</f>
        <v/>
      </c>
      <c r="AM648" s="18" t="str">
        <f>""</f>
        <v/>
      </c>
    </row>
    <row r="649" spans="1:39" ht="15.75" customHeight="1" x14ac:dyDescent="0.25">
      <c r="A649" s="19" t="str">
        <f>IF('Step 13 - Compliance'!B46="","","Active")</f>
        <v/>
      </c>
      <c r="B649" s="20" t="str">
        <f>IF('Step 13 - Compliance'!B46="","",'Step 13 - Compliance'!B46)</f>
        <v/>
      </c>
      <c r="C649" s="20" t="str">
        <f>IF('Step 13 - Compliance'!B46="","",'Step 13 - Compliance'!B46)</f>
        <v/>
      </c>
      <c r="D649" s="19" t="str">
        <f>IF('Step 13 - Compliance'!B46="","",'Step 13 - Compliance'!G46)</f>
        <v/>
      </c>
      <c r="E649" s="19" t="str">
        <f>IF('Step 13 - Compliance'!B46="","",'Step 13 - Compliance'!H46)</f>
        <v/>
      </c>
      <c r="F649" s="20" t="str">
        <f>IF('Step 13 - Compliance'!B46="","",IF('Step 13 - Compliance'!C46="","","Fund Code"))</f>
        <v/>
      </c>
      <c r="G649" s="19" t="str">
        <f>IF('Step 13 - Compliance'!B46="","",IF('Step 13 - Compliance'!C46="","","Equals"))</f>
        <v/>
      </c>
      <c r="H649" s="20" t="str">
        <f>IF('Step 13 - Compliance'!B46="","",IF('Step 13 - Compliance'!C46="","",'Step 13 - Compliance'!C46))</f>
        <v/>
      </c>
      <c r="I649" s="20" t="str">
        <f>IF('Step 13 - Compliance'!B46="","","Organization Code")</f>
        <v/>
      </c>
      <c r="J649" s="19" t="str">
        <f>IF('Step 13 - Compliance'!B46="","","Equals")</f>
        <v/>
      </c>
      <c r="K649" s="20" t="str">
        <f>IF('Step 13 - Compliance'!B46="","",'Step 13 - Compliance'!D46)</f>
        <v/>
      </c>
      <c r="L649" s="20" t="str">
        <f>IF('Step 13 - Compliance'!B46="","","Other Criteria")</f>
        <v/>
      </c>
      <c r="M649" s="19" t="str">
        <f>IF('Step 13 - Compliance'!B46="","","Equals")</f>
        <v/>
      </c>
      <c r="N649" s="20" t="str">
        <f>IF('Step 13 - Compliance'!B46="","",'Step 13 - Compliance'!E46)</f>
        <v/>
      </c>
      <c r="O649" s="20" t="str">
        <f>IF('Step 13 - Compliance'!B46="","",IF('Step 13 - Compliance'!F46="","","Total"))</f>
        <v/>
      </c>
      <c r="P649" s="19" t="str">
        <f>IF('Step 13 - Compliance'!B46="","",IF('Step 13 - Compliance'!F46="","","&gt;="))</f>
        <v/>
      </c>
      <c r="Q649" s="20" t="str">
        <f>IF('Step 13 - Compliance'!B46="","",IF('Step 13 - Compliance'!F46="","",'Step 13 - Compliance'!F46))</f>
        <v/>
      </c>
      <c r="R649" s="20" t="str">
        <f>""</f>
        <v/>
      </c>
      <c r="S649" s="20" t="str">
        <f>""</f>
        <v/>
      </c>
      <c r="T649" s="20" t="str">
        <f>""</f>
        <v/>
      </c>
      <c r="U649" s="20" t="str">
        <f>IF('Step 13 - Compliance'!B46="","",'Step 13 - Compliance'!I46)</f>
        <v/>
      </c>
      <c r="V649" s="19" t="str">
        <f>IF('Step 13 - Compliance'!B46="","",'Step 13 - Compliance'!K46)</f>
        <v/>
      </c>
      <c r="W649" s="20" t="str">
        <f>IF('Step 13 - Compliance'!B46="","",'Step 13 - Compliance'!L46)</f>
        <v/>
      </c>
      <c r="X649" s="19" t="str">
        <f>IF('Step 13 - Compliance'!B46="","",'Step 13 - Compliance'!N46)</f>
        <v/>
      </c>
      <c r="Y649" s="20" t="str">
        <f>""</f>
        <v/>
      </c>
      <c r="Z649" s="20" t="str">
        <f>""</f>
        <v/>
      </c>
      <c r="AA649" s="20" t="str">
        <f>""</f>
        <v/>
      </c>
      <c r="AB649" s="20" t="str">
        <f>""</f>
        <v/>
      </c>
      <c r="AC649" s="20" t="str">
        <f>""</f>
        <v/>
      </c>
      <c r="AD649" s="20" t="str">
        <f>""</f>
        <v/>
      </c>
      <c r="AE649" s="20" t="str">
        <f>""</f>
        <v/>
      </c>
      <c r="AF649" s="20" t="str">
        <f>""</f>
        <v/>
      </c>
      <c r="AG649" s="20" t="str">
        <f>""</f>
        <v/>
      </c>
      <c r="AH649" s="20" t="str">
        <f>""</f>
        <v/>
      </c>
      <c r="AI649" s="20" t="str">
        <f>""</f>
        <v/>
      </c>
      <c r="AJ649" s="20" t="str">
        <f>""</f>
        <v/>
      </c>
      <c r="AK649" s="20" t="str">
        <f>""</f>
        <v/>
      </c>
      <c r="AL649" s="20" t="str">
        <f>""</f>
        <v/>
      </c>
      <c r="AM649" s="20" t="str">
        <f>""</f>
        <v/>
      </c>
    </row>
    <row r="650" spans="1:39" ht="15.75" customHeight="1" x14ac:dyDescent="0.25">
      <c r="A650" s="17" t="str">
        <f>IF('Step 13 - Compliance'!B47="","","Active")</f>
        <v/>
      </c>
      <c r="B650" s="18" t="str">
        <f>IF('Step 13 - Compliance'!B47="","",'Step 13 - Compliance'!B47)</f>
        <v/>
      </c>
      <c r="C650" s="18" t="str">
        <f>IF('Step 13 - Compliance'!B47="","",'Step 13 - Compliance'!B47)</f>
        <v/>
      </c>
      <c r="D650" s="17" t="str">
        <f>IF('Step 13 - Compliance'!B47="","",'Step 13 - Compliance'!G47)</f>
        <v/>
      </c>
      <c r="E650" s="17" t="str">
        <f>IF('Step 13 - Compliance'!B47="","",'Step 13 - Compliance'!H47)</f>
        <v/>
      </c>
      <c r="F650" s="18" t="str">
        <f>IF('Step 13 - Compliance'!B47="","",IF('Step 13 - Compliance'!C47="","","Fund Code"))</f>
        <v/>
      </c>
      <c r="G650" s="17" t="str">
        <f>IF('Step 13 - Compliance'!B47="","",IF('Step 13 - Compliance'!C47="","","Equals"))</f>
        <v/>
      </c>
      <c r="H650" s="18" t="str">
        <f>IF('Step 13 - Compliance'!B47="","",IF('Step 13 - Compliance'!C47="","",'Step 13 - Compliance'!C47))</f>
        <v/>
      </c>
      <c r="I650" s="18" t="str">
        <f>IF('Step 13 - Compliance'!B47="","","Organization Code")</f>
        <v/>
      </c>
      <c r="J650" s="17" t="str">
        <f>IF('Step 13 - Compliance'!B47="","","Equals")</f>
        <v/>
      </c>
      <c r="K650" s="18" t="str">
        <f>IF('Step 13 - Compliance'!B47="","",'Step 13 - Compliance'!D47)</f>
        <v/>
      </c>
      <c r="L650" s="18" t="str">
        <f>IF('Step 13 - Compliance'!B47="","","Other Criteria")</f>
        <v/>
      </c>
      <c r="M650" s="17" t="str">
        <f>IF('Step 13 - Compliance'!B47="","","Equals")</f>
        <v/>
      </c>
      <c r="N650" s="18" t="str">
        <f>IF('Step 13 - Compliance'!B47="","",'Step 13 - Compliance'!E47)</f>
        <v/>
      </c>
      <c r="O650" s="18" t="str">
        <f>IF('Step 13 - Compliance'!B47="","",IF('Step 13 - Compliance'!F47="","","Total"))</f>
        <v/>
      </c>
      <c r="P650" s="17" t="str">
        <f>IF('Step 13 - Compliance'!B47="","",IF('Step 13 - Compliance'!F47="","","&gt;="))</f>
        <v/>
      </c>
      <c r="Q650" s="18" t="str">
        <f>IF('Step 13 - Compliance'!B47="","",IF('Step 13 - Compliance'!F47="","",'Step 13 - Compliance'!F47))</f>
        <v/>
      </c>
      <c r="R650" s="18" t="str">
        <f>""</f>
        <v/>
      </c>
      <c r="S650" s="18" t="str">
        <f>""</f>
        <v/>
      </c>
      <c r="T650" s="18" t="str">
        <f>""</f>
        <v/>
      </c>
      <c r="U650" s="18" t="str">
        <f>IF('Step 13 - Compliance'!B47="","",'Step 13 - Compliance'!I47)</f>
        <v/>
      </c>
      <c r="V650" s="17" t="str">
        <f>IF('Step 13 - Compliance'!B47="","",'Step 13 - Compliance'!K47)</f>
        <v/>
      </c>
      <c r="W650" s="18" t="str">
        <f>IF('Step 13 - Compliance'!B47="","",'Step 13 - Compliance'!L47)</f>
        <v/>
      </c>
      <c r="X650" s="17" t="str">
        <f>IF('Step 13 - Compliance'!B47="","",'Step 13 - Compliance'!N47)</f>
        <v/>
      </c>
      <c r="Y650" s="18" t="str">
        <f>""</f>
        <v/>
      </c>
      <c r="Z650" s="18" t="str">
        <f>""</f>
        <v/>
      </c>
      <c r="AA650" s="18" t="str">
        <f>""</f>
        <v/>
      </c>
      <c r="AB650" s="18" t="str">
        <f>""</f>
        <v/>
      </c>
      <c r="AC650" s="18" t="str">
        <f>""</f>
        <v/>
      </c>
      <c r="AD650" s="18" t="str">
        <f>""</f>
        <v/>
      </c>
      <c r="AE650" s="18" t="str">
        <f>""</f>
        <v/>
      </c>
      <c r="AF650" s="18" t="str">
        <f>""</f>
        <v/>
      </c>
      <c r="AG650" s="18" t="str">
        <f>""</f>
        <v/>
      </c>
      <c r="AH650" s="18" t="str">
        <f>""</f>
        <v/>
      </c>
      <c r="AI650" s="18" t="str">
        <f>""</f>
        <v/>
      </c>
      <c r="AJ650" s="18" t="str">
        <f>""</f>
        <v/>
      </c>
      <c r="AK650" s="18" t="str">
        <f>""</f>
        <v/>
      </c>
      <c r="AL650" s="18" t="str">
        <f>""</f>
        <v/>
      </c>
      <c r="AM650" s="18" t="str">
        <f>""</f>
        <v/>
      </c>
    </row>
    <row r="651" spans="1:39" ht="15.75" customHeight="1" x14ac:dyDescent="0.25">
      <c r="A651" s="19" t="str">
        <f>IF('Step 13 - Compliance'!B48="","","Active")</f>
        <v/>
      </c>
      <c r="B651" s="20" t="str">
        <f>IF('Step 13 - Compliance'!B48="","",'Step 13 - Compliance'!B48)</f>
        <v/>
      </c>
      <c r="C651" s="20" t="str">
        <f>IF('Step 13 - Compliance'!B48="","",'Step 13 - Compliance'!B48)</f>
        <v/>
      </c>
      <c r="D651" s="19" t="str">
        <f>IF('Step 13 - Compliance'!B48="","",'Step 13 - Compliance'!G48)</f>
        <v/>
      </c>
      <c r="E651" s="19" t="str">
        <f>IF('Step 13 - Compliance'!B48="","",'Step 13 - Compliance'!H48)</f>
        <v/>
      </c>
      <c r="F651" s="20" t="str">
        <f>IF('Step 13 - Compliance'!B48="","",IF('Step 13 - Compliance'!C48="","","Fund Code"))</f>
        <v/>
      </c>
      <c r="G651" s="19" t="str">
        <f>IF('Step 13 - Compliance'!B48="","",IF('Step 13 - Compliance'!C48="","","Equals"))</f>
        <v/>
      </c>
      <c r="H651" s="20" t="str">
        <f>IF('Step 13 - Compliance'!B48="","",IF('Step 13 - Compliance'!C48="","",'Step 13 - Compliance'!C48))</f>
        <v/>
      </c>
      <c r="I651" s="20" t="str">
        <f>IF('Step 13 - Compliance'!B48="","","Organization Code")</f>
        <v/>
      </c>
      <c r="J651" s="19" t="str">
        <f>IF('Step 13 - Compliance'!B48="","","Equals")</f>
        <v/>
      </c>
      <c r="K651" s="20" t="str">
        <f>IF('Step 13 - Compliance'!B48="","",'Step 13 - Compliance'!D48)</f>
        <v/>
      </c>
      <c r="L651" s="20" t="str">
        <f>IF('Step 13 - Compliance'!B48="","","Other Criteria")</f>
        <v/>
      </c>
      <c r="M651" s="19" t="str">
        <f>IF('Step 13 - Compliance'!B48="","","Equals")</f>
        <v/>
      </c>
      <c r="N651" s="20" t="str">
        <f>IF('Step 13 - Compliance'!B48="","",'Step 13 - Compliance'!E48)</f>
        <v/>
      </c>
      <c r="O651" s="20" t="str">
        <f>IF('Step 13 - Compliance'!B48="","",IF('Step 13 - Compliance'!F48="","","Total"))</f>
        <v/>
      </c>
      <c r="P651" s="19" t="str">
        <f>IF('Step 13 - Compliance'!B48="","",IF('Step 13 - Compliance'!F48="","","&gt;="))</f>
        <v/>
      </c>
      <c r="Q651" s="20" t="str">
        <f>IF('Step 13 - Compliance'!B48="","",IF('Step 13 - Compliance'!F48="","",'Step 13 - Compliance'!F48))</f>
        <v/>
      </c>
      <c r="R651" s="20" t="str">
        <f>""</f>
        <v/>
      </c>
      <c r="S651" s="20" t="str">
        <f>""</f>
        <v/>
      </c>
      <c r="T651" s="20" t="str">
        <f>""</f>
        <v/>
      </c>
      <c r="U651" s="20" t="str">
        <f>IF('Step 13 - Compliance'!B48="","",'Step 13 - Compliance'!I48)</f>
        <v/>
      </c>
      <c r="V651" s="19" t="str">
        <f>IF('Step 13 - Compliance'!B48="","",'Step 13 - Compliance'!K48)</f>
        <v/>
      </c>
      <c r="W651" s="20" t="str">
        <f>IF('Step 13 - Compliance'!B48="","",'Step 13 - Compliance'!L48)</f>
        <v/>
      </c>
      <c r="X651" s="19" t="str">
        <f>IF('Step 13 - Compliance'!B48="","",'Step 13 - Compliance'!N48)</f>
        <v/>
      </c>
      <c r="Y651" s="20" t="str">
        <f>""</f>
        <v/>
      </c>
      <c r="Z651" s="20" t="str">
        <f>""</f>
        <v/>
      </c>
      <c r="AA651" s="20" t="str">
        <f>""</f>
        <v/>
      </c>
      <c r="AB651" s="20" t="str">
        <f>""</f>
        <v/>
      </c>
      <c r="AC651" s="20" t="str">
        <f>""</f>
        <v/>
      </c>
      <c r="AD651" s="20" t="str">
        <f>""</f>
        <v/>
      </c>
      <c r="AE651" s="20" t="str">
        <f>""</f>
        <v/>
      </c>
      <c r="AF651" s="20" t="str">
        <f>""</f>
        <v/>
      </c>
      <c r="AG651" s="20" t="str">
        <f>""</f>
        <v/>
      </c>
      <c r="AH651" s="20" t="str">
        <f>""</f>
        <v/>
      </c>
      <c r="AI651" s="20" t="str">
        <f>""</f>
        <v/>
      </c>
      <c r="AJ651" s="20" t="str">
        <f>""</f>
        <v/>
      </c>
      <c r="AK651" s="20" t="str">
        <f>""</f>
        <v/>
      </c>
      <c r="AL651" s="20" t="str">
        <f>""</f>
        <v/>
      </c>
      <c r="AM651" s="20" t="str">
        <f>""</f>
        <v/>
      </c>
    </row>
    <row r="652" spans="1:39" ht="15.75" customHeight="1" x14ac:dyDescent="0.25">
      <c r="A652" s="17" t="str">
        <f>IF('Step 13 - Compliance'!B49="","","Active")</f>
        <v/>
      </c>
      <c r="B652" s="18" t="str">
        <f>IF('Step 13 - Compliance'!B49="","",'Step 13 - Compliance'!B49)</f>
        <v/>
      </c>
      <c r="C652" s="18" t="str">
        <f>IF('Step 13 - Compliance'!B49="","",'Step 13 - Compliance'!B49)</f>
        <v/>
      </c>
      <c r="D652" s="17" t="str">
        <f>IF('Step 13 - Compliance'!B49="","",'Step 13 - Compliance'!G49)</f>
        <v/>
      </c>
      <c r="E652" s="17" t="str">
        <f>IF('Step 13 - Compliance'!B49="","",'Step 13 - Compliance'!H49)</f>
        <v/>
      </c>
      <c r="F652" s="18" t="str">
        <f>IF('Step 13 - Compliance'!B49="","",IF('Step 13 - Compliance'!C49="","","Fund Code"))</f>
        <v/>
      </c>
      <c r="G652" s="17" t="str">
        <f>IF('Step 13 - Compliance'!B49="","",IF('Step 13 - Compliance'!C49="","","Equals"))</f>
        <v/>
      </c>
      <c r="H652" s="18" t="str">
        <f>IF('Step 13 - Compliance'!B49="","",IF('Step 13 - Compliance'!C49="","",'Step 13 - Compliance'!C49))</f>
        <v/>
      </c>
      <c r="I652" s="18" t="str">
        <f>IF('Step 13 - Compliance'!B49="","","Organization Code")</f>
        <v/>
      </c>
      <c r="J652" s="17" t="str">
        <f>IF('Step 13 - Compliance'!B49="","","Equals")</f>
        <v/>
      </c>
      <c r="K652" s="18" t="str">
        <f>IF('Step 13 - Compliance'!B49="","",'Step 13 - Compliance'!D49)</f>
        <v/>
      </c>
      <c r="L652" s="18" t="str">
        <f>IF('Step 13 - Compliance'!B49="","","Other Criteria")</f>
        <v/>
      </c>
      <c r="M652" s="17" t="str">
        <f>IF('Step 13 - Compliance'!B49="","","Equals")</f>
        <v/>
      </c>
      <c r="N652" s="18" t="str">
        <f>IF('Step 13 - Compliance'!B49="","",'Step 13 - Compliance'!E49)</f>
        <v/>
      </c>
      <c r="O652" s="18" t="str">
        <f>IF('Step 13 - Compliance'!B49="","",IF('Step 13 - Compliance'!F49="","","Total"))</f>
        <v/>
      </c>
      <c r="P652" s="17" t="str">
        <f>IF('Step 13 - Compliance'!B49="","",IF('Step 13 - Compliance'!F49="","","&gt;="))</f>
        <v/>
      </c>
      <c r="Q652" s="18" t="str">
        <f>IF('Step 13 - Compliance'!B49="","",IF('Step 13 - Compliance'!F49="","",'Step 13 - Compliance'!F49))</f>
        <v/>
      </c>
      <c r="R652" s="18" t="str">
        <f>""</f>
        <v/>
      </c>
      <c r="S652" s="18" t="str">
        <f>""</f>
        <v/>
      </c>
      <c r="T652" s="18" t="str">
        <f>""</f>
        <v/>
      </c>
      <c r="U652" s="18" t="str">
        <f>IF('Step 13 - Compliance'!B49="","",'Step 13 - Compliance'!I49)</f>
        <v/>
      </c>
      <c r="V652" s="17" t="str">
        <f>IF('Step 13 - Compliance'!B49="","",'Step 13 - Compliance'!K49)</f>
        <v/>
      </c>
      <c r="W652" s="18" t="str">
        <f>IF('Step 13 - Compliance'!B49="","",'Step 13 - Compliance'!L49)</f>
        <v/>
      </c>
      <c r="X652" s="17" t="str">
        <f>IF('Step 13 - Compliance'!B49="","",'Step 13 - Compliance'!N49)</f>
        <v/>
      </c>
      <c r="Y652" s="18" t="str">
        <f>""</f>
        <v/>
      </c>
      <c r="Z652" s="18" t="str">
        <f>""</f>
        <v/>
      </c>
      <c r="AA652" s="18" t="str">
        <f>""</f>
        <v/>
      </c>
      <c r="AB652" s="18" t="str">
        <f>""</f>
        <v/>
      </c>
      <c r="AC652" s="18" t="str">
        <f>""</f>
        <v/>
      </c>
      <c r="AD652" s="18" t="str">
        <f>""</f>
        <v/>
      </c>
      <c r="AE652" s="18" t="str">
        <f>""</f>
        <v/>
      </c>
      <c r="AF652" s="18" t="str">
        <f>""</f>
        <v/>
      </c>
      <c r="AG652" s="18" t="str">
        <f>""</f>
        <v/>
      </c>
      <c r="AH652" s="18" t="str">
        <f>""</f>
        <v/>
      </c>
      <c r="AI652" s="18" t="str">
        <f>""</f>
        <v/>
      </c>
      <c r="AJ652" s="18" t="str">
        <f>""</f>
        <v/>
      </c>
      <c r="AK652" s="18" t="str">
        <f>""</f>
        <v/>
      </c>
      <c r="AL652" s="18" t="str">
        <f>""</f>
        <v/>
      </c>
      <c r="AM652" s="18" t="str">
        <f>""</f>
        <v/>
      </c>
    </row>
    <row r="653" spans="1:39" ht="15.75" customHeight="1" x14ac:dyDescent="0.25">
      <c r="A653" s="19" t="str">
        <f>IF('Step 13 - Compliance'!B50="","","Active")</f>
        <v/>
      </c>
      <c r="B653" s="20" t="str">
        <f>IF('Step 13 - Compliance'!B50="","",'Step 13 - Compliance'!B50)</f>
        <v/>
      </c>
      <c r="C653" s="20" t="str">
        <f>IF('Step 13 - Compliance'!B50="","",'Step 13 - Compliance'!B50)</f>
        <v/>
      </c>
      <c r="D653" s="19" t="str">
        <f>IF('Step 13 - Compliance'!B50="","",'Step 13 - Compliance'!G50)</f>
        <v/>
      </c>
      <c r="E653" s="19" t="str">
        <f>IF('Step 13 - Compliance'!B50="","",'Step 13 - Compliance'!H50)</f>
        <v/>
      </c>
      <c r="F653" s="20" t="str">
        <f>IF('Step 13 - Compliance'!B50="","",IF('Step 13 - Compliance'!C50="","","Fund Code"))</f>
        <v/>
      </c>
      <c r="G653" s="19" t="str">
        <f>IF('Step 13 - Compliance'!B50="","",IF('Step 13 - Compliance'!C50="","","Equals"))</f>
        <v/>
      </c>
      <c r="H653" s="20" t="str">
        <f>IF('Step 13 - Compliance'!B50="","",IF('Step 13 - Compliance'!C50="","",'Step 13 - Compliance'!C50))</f>
        <v/>
      </c>
      <c r="I653" s="20" t="str">
        <f>IF('Step 13 - Compliance'!B50="","","Organization Code")</f>
        <v/>
      </c>
      <c r="J653" s="19" t="str">
        <f>IF('Step 13 - Compliance'!B50="","","Equals")</f>
        <v/>
      </c>
      <c r="K653" s="20" t="str">
        <f>IF('Step 13 - Compliance'!B50="","",'Step 13 - Compliance'!D50)</f>
        <v/>
      </c>
      <c r="L653" s="20" t="str">
        <f>IF('Step 13 - Compliance'!B50="","","Other Criteria")</f>
        <v/>
      </c>
      <c r="M653" s="19" t="str">
        <f>IF('Step 13 - Compliance'!B50="","","Equals")</f>
        <v/>
      </c>
      <c r="N653" s="20" t="str">
        <f>IF('Step 13 - Compliance'!B50="","",'Step 13 - Compliance'!E50)</f>
        <v/>
      </c>
      <c r="O653" s="20" t="str">
        <f>IF('Step 13 - Compliance'!B50="","",IF('Step 13 - Compliance'!F50="","","Total"))</f>
        <v/>
      </c>
      <c r="P653" s="19" t="str">
        <f>IF('Step 13 - Compliance'!B50="","",IF('Step 13 - Compliance'!F50="","","&gt;="))</f>
        <v/>
      </c>
      <c r="Q653" s="20" t="str">
        <f>IF('Step 13 - Compliance'!B50="","",IF('Step 13 - Compliance'!F50="","",'Step 13 - Compliance'!F50))</f>
        <v/>
      </c>
      <c r="R653" s="20" t="str">
        <f>""</f>
        <v/>
      </c>
      <c r="S653" s="20" t="str">
        <f>""</f>
        <v/>
      </c>
      <c r="T653" s="20" t="str">
        <f>""</f>
        <v/>
      </c>
      <c r="U653" s="20" t="str">
        <f>IF('Step 13 - Compliance'!B50="","",'Step 13 - Compliance'!I50)</f>
        <v/>
      </c>
      <c r="V653" s="19" t="str">
        <f>IF('Step 13 - Compliance'!B50="","",'Step 13 - Compliance'!K50)</f>
        <v/>
      </c>
      <c r="W653" s="20" t="str">
        <f>IF('Step 13 - Compliance'!B50="","",'Step 13 - Compliance'!L50)</f>
        <v/>
      </c>
      <c r="X653" s="19" t="str">
        <f>IF('Step 13 - Compliance'!B50="","",'Step 13 - Compliance'!N50)</f>
        <v/>
      </c>
      <c r="Y653" s="20" t="str">
        <f>""</f>
        <v/>
      </c>
      <c r="Z653" s="20" t="str">
        <f>""</f>
        <v/>
      </c>
      <c r="AA653" s="20" t="str">
        <f>""</f>
        <v/>
      </c>
      <c r="AB653" s="20" t="str">
        <f>""</f>
        <v/>
      </c>
      <c r="AC653" s="20" t="str">
        <f>""</f>
        <v/>
      </c>
      <c r="AD653" s="20" t="str">
        <f>""</f>
        <v/>
      </c>
      <c r="AE653" s="20" t="str">
        <f>""</f>
        <v/>
      </c>
      <c r="AF653" s="20" t="str">
        <f>""</f>
        <v/>
      </c>
      <c r="AG653" s="20" t="str">
        <f>""</f>
        <v/>
      </c>
      <c r="AH653" s="20" t="str">
        <f>""</f>
        <v/>
      </c>
      <c r="AI653" s="20" t="str">
        <f>""</f>
        <v/>
      </c>
      <c r="AJ653" s="20" t="str">
        <f>""</f>
        <v/>
      </c>
      <c r="AK653" s="20" t="str">
        <f>""</f>
        <v/>
      </c>
      <c r="AL653" s="20" t="str">
        <f>""</f>
        <v/>
      </c>
      <c r="AM653" s="20" t="str">
        <f>""</f>
        <v/>
      </c>
    </row>
    <row r="654" spans="1:39" ht="15.75" customHeight="1" x14ac:dyDescent="0.25">
      <c r="A654" s="17" t="str">
        <f>IF('Step 13 - Compliance'!B51="","","Active")</f>
        <v/>
      </c>
      <c r="B654" s="18" t="str">
        <f>IF('Step 13 - Compliance'!B51="","",'Step 13 - Compliance'!B51)</f>
        <v/>
      </c>
      <c r="C654" s="18" t="str">
        <f>IF('Step 13 - Compliance'!B51="","",'Step 13 - Compliance'!B51)</f>
        <v/>
      </c>
      <c r="D654" s="17" t="str">
        <f>IF('Step 13 - Compliance'!B51="","",'Step 13 - Compliance'!G51)</f>
        <v/>
      </c>
      <c r="E654" s="17" t="str">
        <f>IF('Step 13 - Compliance'!B51="","",'Step 13 - Compliance'!H51)</f>
        <v/>
      </c>
      <c r="F654" s="18" t="str">
        <f>IF('Step 13 - Compliance'!B51="","",IF('Step 13 - Compliance'!C51="","","Fund Code"))</f>
        <v/>
      </c>
      <c r="G654" s="17" t="str">
        <f>IF('Step 13 - Compliance'!B51="","",IF('Step 13 - Compliance'!C51="","","Equals"))</f>
        <v/>
      </c>
      <c r="H654" s="18" t="str">
        <f>IF('Step 13 - Compliance'!B51="","",IF('Step 13 - Compliance'!C51="","",'Step 13 - Compliance'!C51))</f>
        <v/>
      </c>
      <c r="I654" s="18" t="str">
        <f>IF('Step 13 - Compliance'!B51="","","Organization Code")</f>
        <v/>
      </c>
      <c r="J654" s="17" t="str">
        <f>IF('Step 13 - Compliance'!B51="","","Equals")</f>
        <v/>
      </c>
      <c r="K654" s="18" t="str">
        <f>IF('Step 13 - Compliance'!B51="","",'Step 13 - Compliance'!D51)</f>
        <v/>
      </c>
      <c r="L654" s="18" t="str">
        <f>IF('Step 13 - Compliance'!B51="","","Other Criteria")</f>
        <v/>
      </c>
      <c r="M654" s="17" t="str">
        <f>IF('Step 13 - Compliance'!B51="","","Equals")</f>
        <v/>
      </c>
      <c r="N654" s="18" t="str">
        <f>IF('Step 13 - Compliance'!B51="","",'Step 13 - Compliance'!E51)</f>
        <v/>
      </c>
      <c r="O654" s="18" t="str">
        <f>IF('Step 13 - Compliance'!B51="","",IF('Step 13 - Compliance'!F51="","","Total"))</f>
        <v/>
      </c>
      <c r="P654" s="17" t="str">
        <f>IF('Step 13 - Compliance'!B51="","",IF('Step 13 - Compliance'!F51="","","&gt;="))</f>
        <v/>
      </c>
      <c r="Q654" s="18" t="str">
        <f>IF('Step 13 - Compliance'!B51="","",IF('Step 13 - Compliance'!F51="","",'Step 13 - Compliance'!F51))</f>
        <v/>
      </c>
      <c r="R654" s="18" t="str">
        <f>""</f>
        <v/>
      </c>
      <c r="S654" s="18" t="str">
        <f>""</f>
        <v/>
      </c>
      <c r="T654" s="18" t="str">
        <f>""</f>
        <v/>
      </c>
      <c r="U654" s="18" t="str">
        <f>IF('Step 13 - Compliance'!B51="","",'Step 13 - Compliance'!I51)</f>
        <v/>
      </c>
      <c r="V654" s="17" t="str">
        <f>IF('Step 13 - Compliance'!B51="","",'Step 13 - Compliance'!K51)</f>
        <v/>
      </c>
      <c r="W654" s="18" t="str">
        <f>IF('Step 13 - Compliance'!B51="","",'Step 13 - Compliance'!L51)</f>
        <v/>
      </c>
      <c r="X654" s="17" t="str">
        <f>IF('Step 13 - Compliance'!B51="","",'Step 13 - Compliance'!N51)</f>
        <v/>
      </c>
      <c r="Y654" s="18" t="str">
        <f>""</f>
        <v/>
      </c>
      <c r="Z654" s="18" t="str">
        <f>""</f>
        <v/>
      </c>
      <c r="AA654" s="18" t="str">
        <f>""</f>
        <v/>
      </c>
      <c r="AB654" s="18" t="str">
        <f>""</f>
        <v/>
      </c>
      <c r="AC654" s="18" t="str">
        <f>""</f>
        <v/>
      </c>
      <c r="AD654" s="18" t="str">
        <f>""</f>
        <v/>
      </c>
      <c r="AE654" s="18" t="str">
        <f>""</f>
        <v/>
      </c>
      <c r="AF654" s="18" t="str">
        <f>""</f>
        <v/>
      </c>
      <c r="AG654" s="18" t="str">
        <f>""</f>
        <v/>
      </c>
      <c r="AH654" s="18" t="str">
        <f>""</f>
        <v/>
      </c>
      <c r="AI654" s="18" t="str">
        <f>""</f>
        <v/>
      </c>
      <c r="AJ654" s="18" t="str">
        <f>""</f>
        <v/>
      </c>
      <c r="AK654" s="18" t="str">
        <f>""</f>
        <v/>
      </c>
      <c r="AL654" s="18" t="str">
        <f>""</f>
        <v/>
      </c>
      <c r="AM654" s="18" t="str">
        <f>""</f>
        <v/>
      </c>
    </row>
    <row r="655" spans="1:39" ht="15.75" customHeight="1" x14ac:dyDescent="0.25">
      <c r="A655" s="19" t="str">
        <f>IF('Step 13 - Compliance'!B52="","","Active")</f>
        <v/>
      </c>
      <c r="B655" s="20" t="str">
        <f>IF('Step 13 - Compliance'!B52="","",'Step 13 - Compliance'!B52)</f>
        <v/>
      </c>
      <c r="C655" s="20" t="str">
        <f>IF('Step 13 - Compliance'!B52="","",'Step 13 - Compliance'!B52)</f>
        <v/>
      </c>
      <c r="D655" s="19" t="str">
        <f>IF('Step 13 - Compliance'!B52="","",'Step 13 - Compliance'!G52)</f>
        <v/>
      </c>
      <c r="E655" s="19" t="str">
        <f>IF('Step 13 - Compliance'!B52="","",'Step 13 - Compliance'!H52)</f>
        <v/>
      </c>
      <c r="F655" s="20" t="str">
        <f>IF('Step 13 - Compliance'!B52="","",IF('Step 13 - Compliance'!C52="","","Fund Code"))</f>
        <v/>
      </c>
      <c r="G655" s="19" t="str">
        <f>IF('Step 13 - Compliance'!B52="","",IF('Step 13 - Compliance'!C52="","","Equals"))</f>
        <v/>
      </c>
      <c r="H655" s="20" t="str">
        <f>IF('Step 13 - Compliance'!B52="","",IF('Step 13 - Compliance'!C52="","",'Step 13 - Compliance'!C52))</f>
        <v/>
      </c>
      <c r="I655" s="20" t="str">
        <f>IF('Step 13 - Compliance'!B52="","","Organization Code")</f>
        <v/>
      </c>
      <c r="J655" s="19" t="str">
        <f>IF('Step 13 - Compliance'!B52="","","Equals")</f>
        <v/>
      </c>
      <c r="K655" s="20" t="str">
        <f>IF('Step 13 - Compliance'!B52="","",'Step 13 - Compliance'!D52)</f>
        <v/>
      </c>
      <c r="L655" s="20" t="str">
        <f>IF('Step 13 - Compliance'!B52="","","Other Criteria")</f>
        <v/>
      </c>
      <c r="M655" s="19" t="str">
        <f>IF('Step 13 - Compliance'!B52="","","Equals")</f>
        <v/>
      </c>
      <c r="N655" s="20" t="str">
        <f>IF('Step 13 - Compliance'!B52="","",'Step 13 - Compliance'!E52)</f>
        <v/>
      </c>
      <c r="O655" s="20" t="str">
        <f>IF('Step 13 - Compliance'!B52="","",IF('Step 13 - Compliance'!F52="","","Total"))</f>
        <v/>
      </c>
      <c r="P655" s="19" t="str">
        <f>IF('Step 13 - Compliance'!B52="","",IF('Step 13 - Compliance'!F52="","","&gt;="))</f>
        <v/>
      </c>
      <c r="Q655" s="20" t="str">
        <f>IF('Step 13 - Compliance'!B52="","",IF('Step 13 - Compliance'!F52="","",'Step 13 - Compliance'!F52))</f>
        <v/>
      </c>
      <c r="R655" s="20" t="str">
        <f>""</f>
        <v/>
      </c>
      <c r="S655" s="20" t="str">
        <f>""</f>
        <v/>
      </c>
      <c r="T655" s="20" t="str">
        <f>""</f>
        <v/>
      </c>
      <c r="U655" s="20" t="str">
        <f>IF('Step 13 - Compliance'!B52="","",'Step 13 - Compliance'!I52)</f>
        <v/>
      </c>
      <c r="V655" s="19" t="str">
        <f>IF('Step 13 - Compliance'!B52="","",'Step 13 - Compliance'!K52)</f>
        <v/>
      </c>
      <c r="W655" s="20" t="str">
        <f>IF('Step 13 - Compliance'!B52="","",'Step 13 - Compliance'!L52)</f>
        <v/>
      </c>
      <c r="X655" s="19" t="str">
        <f>IF('Step 13 - Compliance'!B52="","",'Step 13 - Compliance'!N52)</f>
        <v/>
      </c>
      <c r="Y655" s="20" t="str">
        <f>""</f>
        <v/>
      </c>
      <c r="Z655" s="20" t="str">
        <f>""</f>
        <v/>
      </c>
      <c r="AA655" s="20" t="str">
        <f>""</f>
        <v/>
      </c>
      <c r="AB655" s="20" t="str">
        <f>""</f>
        <v/>
      </c>
      <c r="AC655" s="20" t="str">
        <f>""</f>
        <v/>
      </c>
      <c r="AD655" s="20" t="str">
        <f>""</f>
        <v/>
      </c>
      <c r="AE655" s="20" t="str">
        <f>""</f>
        <v/>
      </c>
      <c r="AF655" s="20" t="str">
        <f>""</f>
        <v/>
      </c>
      <c r="AG655" s="20" t="str">
        <f>""</f>
        <v/>
      </c>
      <c r="AH655" s="20" t="str">
        <f>""</f>
        <v/>
      </c>
      <c r="AI655" s="20" t="str">
        <f>""</f>
        <v/>
      </c>
      <c r="AJ655" s="20" t="str">
        <f>""</f>
        <v/>
      </c>
      <c r="AK655" s="20" t="str">
        <f>""</f>
        <v/>
      </c>
      <c r="AL655" s="20" t="str">
        <f>""</f>
        <v/>
      </c>
      <c r="AM655" s="20" t="str">
        <f>""</f>
        <v/>
      </c>
    </row>
    <row r="656" spans="1:39" ht="15.75" customHeight="1" x14ac:dyDescent="0.25">
      <c r="A656" s="17" t="str">
        <f>IF('Step 13 - Compliance'!B53="","","Active")</f>
        <v/>
      </c>
      <c r="B656" s="18" t="str">
        <f>IF('Step 13 - Compliance'!B53="","",'Step 13 - Compliance'!B53)</f>
        <v/>
      </c>
      <c r="C656" s="18" t="str">
        <f>IF('Step 13 - Compliance'!B53="","",'Step 13 - Compliance'!B53)</f>
        <v/>
      </c>
      <c r="D656" s="17" t="str">
        <f>IF('Step 13 - Compliance'!B53="","",'Step 13 - Compliance'!G53)</f>
        <v/>
      </c>
      <c r="E656" s="17" t="str">
        <f>IF('Step 13 - Compliance'!B53="","",'Step 13 - Compliance'!H53)</f>
        <v/>
      </c>
      <c r="F656" s="18" t="str">
        <f>IF('Step 13 - Compliance'!B53="","",IF('Step 13 - Compliance'!C53="","","Fund Code"))</f>
        <v/>
      </c>
      <c r="G656" s="17" t="str">
        <f>IF('Step 13 - Compliance'!B53="","",IF('Step 13 - Compliance'!C53="","","Equals"))</f>
        <v/>
      </c>
      <c r="H656" s="18" t="str">
        <f>IF('Step 13 - Compliance'!B53="","",IF('Step 13 - Compliance'!C53="","",'Step 13 - Compliance'!C53))</f>
        <v/>
      </c>
      <c r="I656" s="18" t="str">
        <f>IF('Step 13 - Compliance'!B53="","","Organization Code")</f>
        <v/>
      </c>
      <c r="J656" s="17" t="str">
        <f>IF('Step 13 - Compliance'!B53="","","Equals")</f>
        <v/>
      </c>
      <c r="K656" s="18" t="str">
        <f>IF('Step 13 - Compliance'!B53="","",'Step 13 - Compliance'!D53)</f>
        <v/>
      </c>
      <c r="L656" s="18" t="str">
        <f>IF('Step 13 - Compliance'!B53="","","Other Criteria")</f>
        <v/>
      </c>
      <c r="M656" s="17" t="str">
        <f>IF('Step 13 - Compliance'!B53="","","Equals")</f>
        <v/>
      </c>
      <c r="N656" s="18" t="str">
        <f>IF('Step 13 - Compliance'!B53="","",'Step 13 - Compliance'!E53)</f>
        <v/>
      </c>
      <c r="O656" s="18" t="str">
        <f>IF('Step 13 - Compliance'!B53="","",IF('Step 13 - Compliance'!F53="","","Total"))</f>
        <v/>
      </c>
      <c r="P656" s="17" t="str">
        <f>IF('Step 13 - Compliance'!B53="","",IF('Step 13 - Compliance'!F53="","","&gt;="))</f>
        <v/>
      </c>
      <c r="Q656" s="18" t="str">
        <f>IF('Step 13 - Compliance'!B53="","",IF('Step 13 - Compliance'!F53="","",'Step 13 - Compliance'!F53))</f>
        <v/>
      </c>
      <c r="R656" s="18" t="str">
        <f>""</f>
        <v/>
      </c>
      <c r="S656" s="18" t="str">
        <f>""</f>
        <v/>
      </c>
      <c r="T656" s="18" t="str">
        <f>""</f>
        <v/>
      </c>
      <c r="U656" s="18" t="str">
        <f>IF('Step 13 - Compliance'!B53="","",'Step 13 - Compliance'!I53)</f>
        <v/>
      </c>
      <c r="V656" s="17" t="str">
        <f>IF('Step 13 - Compliance'!B53="","",'Step 13 - Compliance'!K53)</f>
        <v/>
      </c>
      <c r="W656" s="18" t="str">
        <f>IF('Step 13 - Compliance'!B53="","",'Step 13 - Compliance'!L53)</f>
        <v/>
      </c>
      <c r="X656" s="17" t="str">
        <f>IF('Step 13 - Compliance'!B53="","",'Step 13 - Compliance'!N53)</f>
        <v/>
      </c>
      <c r="Y656" s="18" t="str">
        <f>""</f>
        <v/>
      </c>
      <c r="Z656" s="18" t="str">
        <f>""</f>
        <v/>
      </c>
      <c r="AA656" s="18" t="str">
        <f>""</f>
        <v/>
      </c>
      <c r="AB656" s="18" t="str">
        <f>""</f>
        <v/>
      </c>
      <c r="AC656" s="18" t="str">
        <f>""</f>
        <v/>
      </c>
      <c r="AD656" s="18" t="str">
        <f>""</f>
        <v/>
      </c>
      <c r="AE656" s="18" t="str">
        <f>""</f>
        <v/>
      </c>
      <c r="AF656" s="18" t="str">
        <f>""</f>
        <v/>
      </c>
      <c r="AG656" s="18" t="str">
        <f>""</f>
        <v/>
      </c>
      <c r="AH656" s="18" t="str">
        <f>""</f>
        <v/>
      </c>
      <c r="AI656" s="18" t="str">
        <f>""</f>
        <v/>
      </c>
      <c r="AJ656" s="18" t="str">
        <f>""</f>
        <v/>
      </c>
      <c r="AK656" s="18" t="str">
        <f>""</f>
        <v/>
      </c>
      <c r="AL656" s="18" t="str">
        <f>""</f>
        <v/>
      </c>
      <c r="AM656" s="18" t="str">
        <f>""</f>
        <v/>
      </c>
    </row>
    <row r="657" spans="1:39" ht="13.5" customHeight="1" x14ac:dyDescent="0.25">
      <c r="A657" s="29" t="s">
        <v>200</v>
      </c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</row>
    <row r="658" spans="1:39" ht="15.75" customHeight="1" x14ac:dyDescent="0.25">
      <c r="A658" s="17" t="str">
        <f>IF('Step 14 - IT Review'!B5="","","Active")</f>
        <v/>
      </c>
      <c r="B658" s="18" t="str">
        <f>IF('Step 14 - IT Review'!B5="","",'Step 14 - IT Review'!B5)</f>
        <v/>
      </c>
      <c r="C658" s="18" t="str">
        <f>IF('Step 14 - IT Review'!B5="","",'Step 14 - IT Review'!B5)</f>
        <v/>
      </c>
      <c r="D658" s="17" t="str">
        <f>IF('Step 14 - IT Review'!B5="","",'Step 14 - IT Review'!G5)</f>
        <v/>
      </c>
      <c r="E658" s="17" t="str">
        <f>IF('Step 14 - IT Review'!B5="","",'Step 14 - IT Review'!H5)</f>
        <v/>
      </c>
      <c r="F658" s="18" t="str">
        <f>IF('Step 14 - IT Review'!B5="","",IF('Step 14 - IT Review'!C5="","","Fund Code"))</f>
        <v/>
      </c>
      <c r="G658" s="17" t="str">
        <f>IF('Step 14 - IT Review'!B5="","",IF('Step 14 - IT Review'!C5="","","Equals"))</f>
        <v/>
      </c>
      <c r="H658" s="18" t="str">
        <f>IF('Step 14 - IT Review'!B5="","",IF('Step 14 - IT Review'!C5="","",'Step 14 - IT Review'!C5))</f>
        <v/>
      </c>
      <c r="I658" s="18" t="str">
        <f>IF('Step 14 - IT Review'!B5="","","Organization Code")</f>
        <v/>
      </c>
      <c r="J658" s="17" t="str">
        <f>IF('Step 14 - IT Review'!B5="","","Equals")</f>
        <v/>
      </c>
      <c r="K658" s="18" t="str">
        <f>IF('Step 14 - IT Review'!B5="","",'Step 14 - IT Review'!D5)</f>
        <v/>
      </c>
      <c r="L658" s="18" t="str">
        <f>IF('Step 14 - IT Review'!B5="","","Other Criteria")</f>
        <v/>
      </c>
      <c r="M658" s="17" t="str">
        <f>IF('Step 14 - IT Review'!B5="","","Equals")</f>
        <v/>
      </c>
      <c r="N658" s="18" t="str">
        <f>IF('Step 14 - IT Review'!B5="","",'Step 14 - IT Review'!E5)</f>
        <v/>
      </c>
      <c r="O658" s="18" t="str">
        <f>IF('Step 14 - IT Review'!B5="","",IF('Step 14 - IT Review'!F5="","","Total"))</f>
        <v/>
      </c>
      <c r="P658" s="17" t="str">
        <f>IF('Step 14 - IT Review'!B5="","",IF('Step 14 - IT Review'!F5="","","&gt;="))</f>
        <v/>
      </c>
      <c r="Q658" s="18" t="str">
        <f>IF('Step 14 - IT Review'!B5="","",IF('Step 14 - IT Review'!F5="","",'Step 14 - IT Review'!F5))</f>
        <v/>
      </c>
      <c r="R658" s="18" t="str">
        <f>""</f>
        <v/>
      </c>
      <c r="S658" s="18" t="str">
        <f>""</f>
        <v/>
      </c>
      <c r="T658" s="18" t="str">
        <f>""</f>
        <v/>
      </c>
      <c r="U658" s="18" t="str">
        <f>IF('Step 14 - IT Review'!B5="","",'Step 14 - IT Review'!I5)</f>
        <v/>
      </c>
      <c r="V658" s="17" t="str">
        <f>IF('Step 14 - IT Review'!B5="","",'Step 14 - IT Review'!K5)</f>
        <v/>
      </c>
      <c r="W658" s="18" t="str">
        <f>IF('Step 14 - IT Review'!B5="","",'Step 14 - IT Review'!L5)</f>
        <v/>
      </c>
      <c r="X658" s="17" t="str">
        <f>IF('Step 14 - IT Review'!B5="","",'Step 14 - IT Review'!N5)</f>
        <v/>
      </c>
      <c r="Y658" s="18" t="str">
        <f>""</f>
        <v/>
      </c>
      <c r="Z658" s="18" t="str">
        <f>""</f>
        <v/>
      </c>
      <c r="AA658" s="18" t="str">
        <f>""</f>
        <v/>
      </c>
      <c r="AB658" s="18" t="str">
        <f>""</f>
        <v/>
      </c>
      <c r="AC658" s="18" t="str">
        <f>""</f>
        <v/>
      </c>
      <c r="AD658" s="18" t="str">
        <f>""</f>
        <v/>
      </c>
      <c r="AE658" s="18" t="str">
        <f>""</f>
        <v/>
      </c>
      <c r="AF658" s="18" t="str">
        <f>""</f>
        <v/>
      </c>
      <c r="AG658" s="18" t="str">
        <f>""</f>
        <v/>
      </c>
      <c r="AH658" s="18" t="str">
        <f>""</f>
        <v/>
      </c>
      <c r="AI658" s="18" t="str">
        <f>""</f>
        <v/>
      </c>
      <c r="AJ658" s="18" t="str">
        <f>""</f>
        <v/>
      </c>
      <c r="AK658" s="18" t="str">
        <f>""</f>
        <v/>
      </c>
      <c r="AL658" s="18" t="str">
        <f>""</f>
        <v/>
      </c>
      <c r="AM658" s="18" t="str">
        <f>""</f>
        <v/>
      </c>
    </row>
    <row r="659" spans="1:39" ht="15.75" customHeight="1" x14ac:dyDescent="0.25">
      <c r="A659" s="19" t="str">
        <f>IF('Step 14 - IT Review'!B6="","","Active")</f>
        <v/>
      </c>
      <c r="B659" s="20" t="str">
        <f>IF('Step 14 - IT Review'!B6="","",'Step 14 - IT Review'!B6)</f>
        <v/>
      </c>
      <c r="C659" s="20" t="str">
        <f>IF('Step 14 - IT Review'!B6="","",'Step 14 - IT Review'!B6)</f>
        <v/>
      </c>
      <c r="D659" s="19" t="str">
        <f>IF('Step 14 - IT Review'!B6="","",'Step 14 - IT Review'!G6)</f>
        <v/>
      </c>
      <c r="E659" s="19" t="str">
        <f>IF('Step 14 - IT Review'!B6="","",'Step 14 - IT Review'!H6)</f>
        <v/>
      </c>
      <c r="F659" s="20" t="str">
        <f>IF('Step 14 - IT Review'!B6="","",IF('Step 14 - IT Review'!C6="","","Fund Code"))</f>
        <v/>
      </c>
      <c r="G659" s="19" t="str">
        <f>IF('Step 14 - IT Review'!B6="","",IF('Step 14 - IT Review'!C6="","","Equals"))</f>
        <v/>
      </c>
      <c r="H659" s="20" t="str">
        <f>IF('Step 14 - IT Review'!B6="","",IF('Step 14 - IT Review'!C6="","",'Step 14 - IT Review'!C6))</f>
        <v/>
      </c>
      <c r="I659" s="20" t="str">
        <f>IF('Step 14 - IT Review'!B6="","","Organization Code")</f>
        <v/>
      </c>
      <c r="J659" s="19" t="str">
        <f>IF('Step 14 - IT Review'!B6="","","Equals")</f>
        <v/>
      </c>
      <c r="K659" s="20" t="str">
        <f>IF('Step 14 - IT Review'!B6="","",'Step 14 - IT Review'!D6)</f>
        <v/>
      </c>
      <c r="L659" s="20" t="str">
        <f>IF('Step 14 - IT Review'!B6="","","Other Criteria")</f>
        <v/>
      </c>
      <c r="M659" s="19" t="str">
        <f>IF('Step 14 - IT Review'!B6="","","Equals")</f>
        <v/>
      </c>
      <c r="N659" s="20" t="str">
        <f>IF('Step 14 - IT Review'!B6="","",'Step 14 - IT Review'!E6)</f>
        <v/>
      </c>
      <c r="O659" s="20" t="str">
        <f>IF('Step 14 - IT Review'!B6="","",IF('Step 14 - IT Review'!F6="","","Total"))</f>
        <v/>
      </c>
      <c r="P659" s="19" t="str">
        <f>IF('Step 14 - IT Review'!B6="","",IF('Step 14 - IT Review'!F6="","","&gt;="))</f>
        <v/>
      </c>
      <c r="Q659" s="20" t="str">
        <f>IF('Step 14 - IT Review'!B6="","",IF('Step 14 - IT Review'!F6="","",'Step 14 - IT Review'!F6))</f>
        <v/>
      </c>
      <c r="R659" s="20" t="str">
        <f>""</f>
        <v/>
      </c>
      <c r="S659" s="20" t="str">
        <f>""</f>
        <v/>
      </c>
      <c r="T659" s="20" t="str">
        <f>""</f>
        <v/>
      </c>
      <c r="U659" s="20" t="str">
        <f>IF('Step 14 - IT Review'!B6="","",'Step 14 - IT Review'!I6)</f>
        <v/>
      </c>
      <c r="V659" s="19" t="str">
        <f>IF('Step 14 - IT Review'!B6="","",'Step 14 - IT Review'!K6)</f>
        <v/>
      </c>
      <c r="W659" s="20" t="str">
        <f>IF('Step 14 - IT Review'!B6="","",'Step 14 - IT Review'!L6)</f>
        <v/>
      </c>
      <c r="X659" s="19" t="str">
        <f>IF('Step 14 - IT Review'!B6="","",'Step 14 - IT Review'!N6)</f>
        <v/>
      </c>
      <c r="Y659" s="20" t="str">
        <f>""</f>
        <v/>
      </c>
      <c r="Z659" s="20" t="str">
        <f>""</f>
        <v/>
      </c>
      <c r="AA659" s="20" t="str">
        <f>""</f>
        <v/>
      </c>
      <c r="AB659" s="20" t="str">
        <f>""</f>
        <v/>
      </c>
      <c r="AC659" s="20" t="str">
        <f>""</f>
        <v/>
      </c>
      <c r="AD659" s="20" t="str">
        <f>""</f>
        <v/>
      </c>
      <c r="AE659" s="20" t="str">
        <f>""</f>
        <v/>
      </c>
      <c r="AF659" s="20" t="str">
        <f>""</f>
        <v/>
      </c>
      <c r="AG659" s="20" t="str">
        <f>""</f>
        <v/>
      </c>
      <c r="AH659" s="20" t="str">
        <f>""</f>
        <v/>
      </c>
      <c r="AI659" s="20" t="str">
        <f>""</f>
        <v/>
      </c>
      <c r="AJ659" s="20" t="str">
        <f>""</f>
        <v/>
      </c>
      <c r="AK659" s="20" t="str">
        <f>""</f>
        <v/>
      </c>
      <c r="AL659" s="20" t="str">
        <f>""</f>
        <v/>
      </c>
      <c r="AM659" s="20" t="str">
        <f>""</f>
        <v/>
      </c>
    </row>
    <row r="660" spans="1:39" ht="15.75" customHeight="1" x14ac:dyDescent="0.25">
      <c r="A660" s="17" t="str">
        <f>IF('Step 14 - IT Review'!B7="","","Active")</f>
        <v/>
      </c>
      <c r="B660" s="18" t="str">
        <f>IF('Step 14 - IT Review'!B7="","",'Step 14 - IT Review'!B7)</f>
        <v/>
      </c>
      <c r="C660" s="18" t="str">
        <f>IF('Step 14 - IT Review'!B7="","",'Step 14 - IT Review'!B7)</f>
        <v/>
      </c>
      <c r="D660" s="17" t="str">
        <f>IF('Step 14 - IT Review'!B7="","",'Step 14 - IT Review'!G7)</f>
        <v/>
      </c>
      <c r="E660" s="17" t="str">
        <f>IF('Step 14 - IT Review'!B7="","",'Step 14 - IT Review'!H7)</f>
        <v/>
      </c>
      <c r="F660" s="18" t="str">
        <f>IF('Step 14 - IT Review'!B7="","",IF('Step 14 - IT Review'!C7="","","Fund Code"))</f>
        <v/>
      </c>
      <c r="G660" s="17" t="str">
        <f>IF('Step 14 - IT Review'!B7="","",IF('Step 14 - IT Review'!C7="","","Equals"))</f>
        <v/>
      </c>
      <c r="H660" s="18" t="str">
        <f>IF('Step 14 - IT Review'!B7="","",IF('Step 14 - IT Review'!C7="","",'Step 14 - IT Review'!C7))</f>
        <v/>
      </c>
      <c r="I660" s="18" t="str">
        <f>IF('Step 14 - IT Review'!B7="","","Organization Code")</f>
        <v/>
      </c>
      <c r="J660" s="17" t="str">
        <f>IF('Step 14 - IT Review'!B7="","","Equals")</f>
        <v/>
      </c>
      <c r="K660" s="18" t="str">
        <f>IF('Step 14 - IT Review'!B7="","",'Step 14 - IT Review'!D7)</f>
        <v/>
      </c>
      <c r="L660" s="18" t="str">
        <f>IF('Step 14 - IT Review'!B7="","","Other Criteria")</f>
        <v/>
      </c>
      <c r="M660" s="17" t="str">
        <f>IF('Step 14 - IT Review'!B7="","","Equals")</f>
        <v/>
      </c>
      <c r="N660" s="18" t="str">
        <f>IF('Step 14 - IT Review'!B7="","",'Step 14 - IT Review'!E7)</f>
        <v/>
      </c>
      <c r="O660" s="18" t="str">
        <f>IF('Step 14 - IT Review'!B7="","",IF('Step 14 - IT Review'!F7="","","Total"))</f>
        <v/>
      </c>
      <c r="P660" s="17" t="str">
        <f>IF('Step 14 - IT Review'!B7="","",IF('Step 14 - IT Review'!F7="","","&gt;="))</f>
        <v/>
      </c>
      <c r="Q660" s="18" t="str">
        <f>IF('Step 14 - IT Review'!B7="","",IF('Step 14 - IT Review'!F7="","",'Step 14 - IT Review'!F7))</f>
        <v/>
      </c>
      <c r="R660" s="18" t="str">
        <f>""</f>
        <v/>
      </c>
      <c r="S660" s="18" t="str">
        <f>""</f>
        <v/>
      </c>
      <c r="T660" s="18" t="str">
        <f>""</f>
        <v/>
      </c>
      <c r="U660" s="18" t="str">
        <f>IF('Step 14 - IT Review'!B7="","",'Step 14 - IT Review'!I7)</f>
        <v/>
      </c>
      <c r="V660" s="17" t="str">
        <f>IF('Step 14 - IT Review'!B7="","",'Step 14 - IT Review'!K7)</f>
        <v/>
      </c>
      <c r="W660" s="18" t="str">
        <f>IF('Step 14 - IT Review'!B7="","",'Step 14 - IT Review'!L7)</f>
        <v/>
      </c>
      <c r="X660" s="17" t="str">
        <f>IF('Step 14 - IT Review'!B7="","",'Step 14 - IT Review'!N7)</f>
        <v/>
      </c>
      <c r="Y660" s="18" t="str">
        <f>""</f>
        <v/>
      </c>
      <c r="Z660" s="18" t="str">
        <f>""</f>
        <v/>
      </c>
      <c r="AA660" s="18" t="str">
        <f>""</f>
        <v/>
      </c>
      <c r="AB660" s="18" t="str">
        <f>""</f>
        <v/>
      </c>
      <c r="AC660" s="18" t="str">
        <f>""</f>
        <v/>
      </c>
      <c r="AD660" s="18" t="str">
        <f>""</f>
        <v/>
      </c>
      <c r="AE660" s="18" t="str">
        <f>""</f>
        <v/>
      </c>
      <c r="AF660" s="18" t="str">
        <f>""</f>
        <v/>
      </c>
      <c r="AG660" s="18" t="str">
        <f>""</f>
        <v/>
      </c>
      <c r="AH660" s="18" t="str">
        <f>""</f>
        <v/>
      </c>
      <c r="AI660" s="18" t="str">
        <f>""</f>
        <v/>
      </c>
      <c r="AJ660" s="18" t="str">
        <f>""</f>
        <v/>
      </c>
      <c r="AK660" s="18" t="str">
        <f>""</f>
        <v/>
      </c>
      <c r="AL660" s="18" t="str">
        <f>""</f>
        <v/>
      </c>
      <c r="AM660" s="18" t="str">
        <f>""</f>
        <v/>
      </c>
    </row>
    <row r="661" spans="1:39" ht="15.75" customHeight="1" x14ac:dyDescent="0.25">
      <c r="A661" s="19" t="str">
        <f>IF('Step 14 - IT Review'!B8="","","Active")</f>
        <v/>
      </c>
      <c r="B661" s="20" t="str">
        <f>IF('Step 14 - IT Review'!B8="","",'Step 14 - IT Review'!B8)</f>
        <v/>
      </c>
      <c r="C661" s="20" t="str">
        <f>IF('Step 14 - IT Review'!B8="","",'Step 14 - IT Review'!B8)</f>
        <v/>
      </c>
      <c r="D661" s="19" t="str">
        <f>IF('Step 14 - IT Review'!B8="","",'Step 14 - IT Review'!G8)</f>
        <v/>
      </c>
      <c r="E661" s="19" t="str">
        <f>IF('Step 14 - IT Review'!B8="","",'Step 14 - IT Review'!H8)</f>
        <v/>
      </c>
      <c r="F661" s="20" t="str">
        <f>IF('Step 14 - IT Review'!B8="","",IF('Step 14 - IT Review'!C8="","","Fund Code"))</f>
        <v/>
      </c>
      <c r="G661" s="19" t="str">
        <f>IF('Step 14 - IT Review'!B8="","",IF('Step 14 - IT Review'!C8="","","Equals"))</f>
        <v/>
      </c>
      <c r="H661" s="20" t="str">
        <f>IF('Step 14 - IT Review'!B8="","",IF('Step 14 - IT Review'!C8="","",'Step 14 - IT Review'!C8))</f>
        <v/>
      </c>
      <c r="I661" s="20" t="str">
        <f>IF('Step 14 - IT Review'!B8="","","Organization Code")</f>
        <v/>
      </c>
      <c r="J661" s="19" t="str">
        <f>IF('Step 14 - IT Review'!B8="","","Equals")</f>
        <v/>
      </c>
      <c r="K661" s="20" t="str">
        <f>IF('Step 14 - IT Review'!B8="","",'Step 14 - IT Review'!D8)</f>
        <v/>
      </c>
      <c r="L661" s="20" t="str">
        <f>IF('Step 14 - IT Review'!B8="","","Other Criteria")</f>
        <v/>
      </c>
      <c r="M661" s="19" t="str">
        <f>IF('Step 14 - IT Review'!B8="","","Equals")</f>
        <v/>
      </c>
      <c r="N661" s="20" t="str">
        <f>IF('Step 14 - IT Review'!B8="","",'Step 14 - IT Review'!E8)</f>
        <v/>
      </c>
      <c r="O661" s="20" t="str">
        <f>IF('Step 14 - IT Review'!B8="","",IF('Step 14 - IT Review'!F8="","","Total"))</f>
        <v/>
      </c>
      <c r="P661" s="19" t="str">
        <f>IF('Step 14 - IT Review'!B8="","",IF('Step 14 - IT Review'!F8="","","&gt;="))</f>
        <v/>
      </c>
      <c r="Q661" s="20" t="str">
        <f>IF('Step 14 - IT Review'!B8="","",IF('Step 14 - IT Review'!F8="","",'Step 14 - IT Review'!F8))</f>
        <v/>
      </c>
      <c r="R661" s="20" t="str">
        <f>""</f>
        <v/>
      </c>
      <c r="S661" s="20" t="str">
        <f>""</f>
        <v/>
      </c>
      <c r="T661" s="20" t="str">
        <f>""</f>
        <v/>
      </c>
      <c r="U661" s="20" t="str">
        <f>IF('Step 14 - IT Review'!B8="","",'Step 14 - IT Review'!I8)</f>
        <v/>
      </c>
      <c r="V661" s="19" t="str">
        <f>IF('Step 14 - IT Review'!B8="","",'Step 14 - IT Review'!K8)</f>
        <v/>
      </c>
      <c r="W661" s="20" t="str">
        <f>IF('Step 14 - IT Review'!B8="","",'Step 14 - IT Review'!L8)</f>
        <v/>
      </c>
      <c r="X661" s="19" t="str">
        <f>IF('Step 14 - IT Review'!B8="","",'Step 14 - IT Review'!N8)</f>
        <v/>
      </c>
      <c r="Y661" s="20" t="str">
        <f>""</f>
        <v/>
      </c>
      <c r="Z661" s="20" t="str">
        <f>""</f>
        <v/>
      </c>
      <c r="AA661" s="20" t="str">
        <f>""</f>
        <v/>
      </c>
      <c r="AB661" s="20" t="str">
        <f>""</f>
        <v/>
      </c>
      <c r="AC661" s="20" t="str">
        <f>""</f>
        <v/>
      </c>
      <c r="AD661" s="20" t="str">
        <f>""</f>
        <v/>
      </c>
      <c r="AE661" s="20" t="str">
        <f>""</f>
        <v/>
      </c>
      <c r="AF661" s="20" t="str">
        <f>""</f>
        <v/>
      </c>
      <c r="AG661" s="20" t="str">
        <f>""</f>
        <v/>
      </c>
      <c r="AH661" s="20" t="str">
        <f>""</f>
        <v/>
      </c>
      <c r="AI661" s="20" t="str">
        <f>""</f>
        <v/>
      </c>
      <c r="AJ661" s="20" t="str">
        <f>""</f>
        <v/>
      </c>
      <c r="AK661" s="20" t="str">
        <f>""</f>
        <v/>
      </c>
      <c r="AL661" s="20" t="str">
        <f>""</f>
        <v/>
      </c>
      <c r="AM661" s="20" t="str">
        <f>""</f>
        <v/>
      </c>
    </row>
    <row r="662" spans="1:39" ht="15.75" customHeight="1" x14ac:dyDescent="0.25">
      <c r="A662" s="17" t="str">
        <f>IF('Step 14 - IT Review'!B9="","","Active")</f>
        <v/>
      </c>
      <c r="B662" s="18" t="str">
        <f>IF('Step 14 - IT Review'!B9="","",'Step 14 - IT Review'!B9)</f>
        <v/>
      </c>
      <c r="C662" s="18" t="str">
        <f>IF('Step 14 - IT Review'!B9="","",'Step 14 - IT Review'!B9)</f>
        <v/>
      </c>
      <c r="D662" s="17" t="str">
        <f>IF('Step 14 - IT Review'!B9="","",'Step 14 - IT Review'!G9)</f>
        <v/>
      </c>
      <c r="E662" s="17" t="str">
        <f>IF('Step 14 - IT Review'!B9="","",'Step 14 - IT Review'!H9)</f>
        <v/>
      </c>
      <c r="F662" s="18" t="str">
        <f>IF('Step 14 - IT Review'!B9="","",IF('Step 14 - IT Review'!C9="","","Fund Code"))</f>
        <v/>
      </c>
      <c r="G662" s="17" t="str">
        <f>IF('Step 14 - IT Review'!B9="","",IF('Step 14 - IT Review'!C9="","","Equals"))</f>
        <v/>
      </c>
      <c r="H662" s="18" t="str">
        <f>IF('Step 14 - IT Review'!B9="","",IF('Step 14 - IT Review'!C9="","",'Step 14 - IT Review'!C9))</f>
        <v/>
      </c>
      <c r="I662" s="18" t="str">
        <f>IF('Step 14 - IT Review'!B9="","","Organization Code")</f>
        <v/>
      </c>
      <c r="J662" s="17" t="str">
        <f>IF('Step 14 - IT Review'!B9="","","Equals")</f>
        <v/>
      </c>
      <c r="K662" s="18" t="str">
        <f>IF('Step 14 - IT Review'!B9="","",'Step 14 - IT Review'!D9)</f>
        <v/>
      </c>
      <c r="L662" s="18" t="str">
        <f>IF('Step 14 - IT Review'!B9="","","Other Criteria")</f>
        <v/>
      </c>
      <c r="M662" s="17" t="str">
        <f>IF('Step 14 - IT Review'!B9="","","Equals")</f>
        <v/>
      </c>
      <c r="N662" s="18" t="str">
        <f>IF('Step 14 - IT Review'!B9="","",'Step 14 - IT Review'!E9)</f>
        <v/>
      </c>
      <c r="O662" s="18" t="str">
        <f>IF('Step 14 - IT Review'!B9="","",IF('Step 14 - IT Review'!F9="","","Total"))</f>
        <v/>
      </c>
      <c r="P662" s="17" t="str">
        <f>IF('Step 14 - IT Review'!B9="","",IF('Step 14 - IT Review'!F9="","","&gt;="))</f>
        <v/>
      </c>
      <c r="Q662" s="18" t="str">
        <f>IF('Step 14 - IT Review'!B9="","",IF('Step 14 - IT Review'!F9="","",'Step 14 - IT Review'!F9))</f>
        <v/>
      </c>
      <c r="R662" s="18" t="str">
        <f>""</f>
        <v/>
      </c>
      <c r="S662" s="18" t="str">
        <f>""</f>
        <v/>
      </c>
      <c r="T662" s="18" t="str">
        <f>""</f>
        <v/>
      </c>
      <c r="U662" s="18" t="str">
        <f>IF('Step 14 - IT Review'!B9="","",'Step 14 - IT Review'!I9)</f>
        <v/>
      </c>
      <c r="V662" s="17" t="str">
        <f>IF('Step 14 - IT Review'!B9="","",'Step 14 - IT Review'!K9)</f>
        <v/>
      </c>
      <c r="W662" s="18" t="str">
        <f>IF('Step 14 - IT Review'!B9="","",'Step 14 - IT Review'!L9)</f>
        <v/>
      </c>
      <c r="X662" s="17" t="str">
        <f>IF('Step 14 - IT Review'!B9="","",'Step 14 - IT Review'!N9)</f>
        <v/>
      </c>
      <c r="Y662" s="18" t="str">
        <f>""</f>
        <v/>
      </c>
      <c r="Z662" s="18" t="str">
        <f>""</f>
        <v/>
      </c>
      <c r="AA662" s="18" t="str">
        <f>""</f>
        <v/>
      </c>
      <c r="AB662" s="18" t="str">
        <f>""</f>
        <v/>
      </c>
      <c r="AC662" s="18" t="str">
        <f>""</f>
        <v/>
      </c>
      <c r="AD662" s="18" t="str">
        <f>""</f>
        <v/>
      </c>
      <c r="AE662" s="18" t="str">
        <f>""</f>
        <v/>
      </c>
      <c r="AF662" s="18" t="str">
        <f>""</f>
        <v/>
      </c>
      <c r="AG662" s="18" t="str">
        <f>""</f>
        <v/>
      </c>
      <c r="AH662" s="18" t="str">
        <f>""</f>
        <v/>
      </c>
      <c r="AI662" s="18" t="str">
        <f>""</f>
        <v/>
      </c>
      <c r="AJ662" s="18" t="str">
        <f>""</f>
        <v/>
      </c>
      <c r="AK662" s="18" t="str">
        <f>""</f>
        <v/>
      </c>
      <c r="AL662" s="18" t="str">
        <f>""</f>
        <v/>
      </c>
      <c r="AM662" s="18" t="str">
        <f>""</f>
        <v/>
      </c>
    </row>
    <row r="663" spans="1:39" ht="15.75" customHeight="1" x14ac:dyDescent="0.25">
      <c r="A663" s="19" t="str">
        <f>IF('Step 14 - IT Review'!B10="","","Active")</f>
        <v/>
      </c>
      <c r="B663" s="20" t="str">
        <f>IF('Step 14 - IT Review'!B10="","",'Step 14 - IT Review'!B10)</f>
        <v/>
      </c>
      <c r="C663" s="20" t="str">
        <f>IF('Step 14 - IT Review'!B10="","",'Step 14 - IT Review'!B10)</f>
        <v/>
      </c>
      <c r="D663" s="19" t="str">
        <f>IF('Step 14 - IT Review'!B10="","",'Step 14 - IT Review'!G10)</f>
        <v/>
      </c>
      <c r="E663" s="19" t="str">
        <f>IF('Step 14 - IT Review'!B10="","",'Step 14 - IT Review'!H10)</f>
        <v/>
      </c>
      <c r="F663" s="20" t="str">
        <f>IF('Step 14 - IT Review'!B10="","",IF('Step 14 - IT Review'!C10="","","Fund Code"))</f>
        <v/>
      </c>
      <c r="G663" s="19" t="str">
        <f>IF('Step 14 - IT Review'!B10="","",IF('Step 14 - IT Review'!C10="","","Equals"))</f>
        <v/>
      </c>
      <c r="H663" s="20" t="str">
        <f>IF('Step 14 - IT Review'!B10="","",IF('Step 14 - IT Review'!C10="","",'Step 14 - IT Review'!C10))</f>
        <v/>
      </c>
      <c r="I663" s="20" t="str">
        <f>IF('Step 14 - IT Review'!B10="","","Organization Code")</f>
        <v/>
      </c>
      <c r="J663" s="19" t="str">
        <f>IF('Step 14 - IT Review'!B10="","","Equals")</f>
        <v/>
      </c>
      <c r="K663" s="20" t="str">
        <f>IF('Step 14 - IT Review'!B10="","",'Step 14 - IT Review'!D10)</f>
        <v/>
      </c>
      <c r="L663" s="20" t="str">
        <f>IF('Step 14 - IT Review'!B10="","","Other Criteria")</f>
        <v/>
      </c>
      <c r="M663" s="19" t="str">
        <f>IF('Step 14 - IT Review'!B10="","","Equals")</f>
        <v/>
      </c>
      <c r="N663" s="20" t="str">
        <f>IF('Step 14 - IT Review'!B10="","",'Step 14 - IT Review'!E10)</f>
        <v/>
      </c>
      <c r="O663" s="20" t="str">
        <f>IF('Step 14 - IT Review'!B10="","",IF('Step 14 - IT Review'!F10="","","Total"))</f>
        <v/>
      </c>
      <c r="P663" s="19" t="str">
        <f>IF('Step 14 - IT Review'!B10="","",IF('Step 14 - IT Review'!F10="","","&gt;="))</f>
        <v/>
      </c>
      <c r="Q663" s="20" t="str">
        <f>IF('Step 14 - IT Review'!B10="","",IF('Step 14 - IT Review'!F10="","",'Step 14 - IT Review'!F10))</f>
        <v/>
      </c>
      <c r="R663" s="20" t="str">
        <f>""</f>
        <v/>
      </c>
      <c r="S663" s="20" t="str">
        <f>""</f>
        <v/>
      </c>
      <c r="T663" s="20" t="str">
        <f>""</f>
        <v/>
      </c>
      <c r="U663" s="20" t="str">
        <f>IF('Step 14 - IT Review'!B10="","",'Step 14 - IT Review'!I10)</f>
        <v/>
      </c>
      <c r="V663" s="19" t="str">
        <f>IF('Step 14 - IT Review'!B10="","",'Step 14 - IT Review'!K10)</f>
        <v/>
      </c>
      <c r="W663" s="20" t="str">
        <f>IF('Step 14 - IT Review'!B10="","",'Step 14 - IT Review'!L10)</f>
        <v/>
      </c>
      <c r="X663" s="19" t="str">
        <f>IF('Step 14 - IT Review'!B10="","",'Step 14 - IT Review'!N10)</f>
        <v/>
      </c>
      <c r="Y663" s="20" t="str">
        <f>""</f>
        <v/>
      </c>
      <c r="Z663" s="20" t="str">
        <f>""</f>
        <v/>
      </c>
      <c r="AA663" s="20" t="str">
        <f>""</f>
        <v/>
      </c>
      <c r="AB663" s="20" t="str">
        <f>""</f>
        <v/>
      </c>
      <c r="AC663" s="20" t="str">
        <f>""</f>
        <v/>
      </c>
      <c r="AD663" s="20" t="str">
        <f>""</f>
        <v/>
      </c>
      <c r="AE663" s="20" t="str">
        <f>""</f>
        <v/>
      </c>
      <c r="AF663" s="20" t="str">
        <f>""</f>
        <v/>
      </c>
      <c r="AG663" s="20" t="str">
        <f>""</f>
        <v/>
      </c>
      <c r="AH663" s="20" t="str">
        <f>""</f>
        <v/>
      </c>
      <c r="AI663" s="20" t="str">
        <f>""</f>
        <v/>
      </c>
      <c r="AJ663" s="20" t="str">
        <f>""</f>
        <v/>
      </c>
      <c r="AK663" s="20" t="str">
        <f>""</f>
        <v/>
      </c>
      <c r="AL663" s="20" t="str">
        <f>""</f>
        <v/>
      </c>
      <c r="AM663" s="20" t="str">
        <f>""</f>
        <v/>
      </c>
    </row>
    <row r="664" spans="1:39" ht="15.75" customHeight="1" x14ac:dyDescent="0.25">
      <c r="A664" s="17" t="str">
        <f>IF('Step 14 - IT Review'!B11="","","Active")</f>
        <v/>
      </c>
      <c r="B664" s="18" t="str">
        <f>IF('Step 14 - IT Review'!B11="","",'Step 14 - IT Review'!B11)</f>
        <v/>
      </c>
      <c r="C664" s="18" t="str">
        <f>IF('Step 14 - IT Review'!B11="","",'Step 14 - IT Review'!B11)</f>
        <v/>
      </c>
      <c r="D664" s="17" t="str">
        <f>IF('Step 14 - IT Review'!B11="","",'Step 14 - IT Review'!G11)</f>
        <v/>
      </c>
      <c r="E664" s="17" t="str">
        <f>IF('Step 14 - IT Review'!B11="","",'Step 14 - IT Review'!H11)</f>
        <v/>
      </c>
      <c r="F664" s="18" t="str">
        <f>IF('Step 14 - IT Review'!B11="","",IF('Step 14 - IT Review'!C11="","","Fund Code"))</f>
        <v/>
      </c>
      <c r="G664" s="17" t="str">
        <f>IF('Step 14 - IT Review'!B11="","",IF('Step 14 - IT Review'!C11="","","Equals"))</f>
        <v/>
      </c>
      <c r="H664" s="18" t="str">
        <f>IF('Step 14 - IT Review'!B11="","",IF('Step 14 - IT Review'!C11="","",'Step 14 - IT Review'!C11))</f>
        <v/>
      </c>
      <c r="I664" s="18" t="str">
        <f>IF('Step 14 - IT Review'!B11="","","Organization Code")</f>
        <v/>
      </c>
      <c r="J664" s="17" t="str">
        <f>IF('Step 14 - IT Review'!B11="","","Equals")</f>
        <v/>
      </c>
      <c r="K664" s="18" t="str">
        <f>IF('Step 14 - IT Review'!B11="","",'Step 14 - IT Review'!D11)</f>
        <v/>
      </c>
      <c r="L664" s="18" t="str">
        <f>IF('Step 14 - IT Review'!B11="","","Other Criteria")</f>
        <v/>
      </c>
      <c r="M664" s="17" t="str">
        <f>IF('Step 14 - IT Review'!B11="","","Equals")</f>
        <v/>
      </c>
      <c r="N664" s="18" t="str">
        <f>IF('Step 14 - IT Review'!B11="","",'Step 14 - IT Review'!E11)</f>
        <v/>
      </c>
      <c r="O664" s="18" t="str">
        <f>IF('Step 14 - IT Review'!B11="","",IF('Step 14 - IT Review'!F11="","","Total"))</f>
        <v/>
      </c>
      <c r="P664" s="17" t="str">
        <f>IF('Step 14 - IT Review'!B11="","",IF('Step 14 - IT Review'!F11="","","&gt;="))</f>
        <v/>
      </c>
      <c r="Q664" s="18" t="str">
        <f>IF('Step 14 - IT Review'!B11="","",IF('Step 14 - IT Review'!F11="","",'Step 14 - IT Review'!F11))</f>
        <v/>
      </c>
      <c r="R664" s="18" t="str">
        <f>""</f>
        <v/>
      </c>
      <c r="S664" s="18" t="str">
        <f>""</f>
        <v/>
      </c>
      <c r="T664" s="18" t="str">
        <f>""</f>
        <v/>
      </c>
      <c r="U664" s="18" t="str">
        <f>IF('Step 14 - IT Review'!B11="","",'Step 14 - IT Review'!I11)</f>
        <v/>
      </c>
      <c r="V664" s="17" t="str">
        <f>IF('Step 14 - IT Review'!B11="","",'Step 14 - IT Review'!K11)</f>
        <v/>
      </c>
      <c r="W664" s="18" t="str">
        <f>IF('Step 14 - IT Review'!B11="","",'Step 14 - IT Review'!L11)</f>
        <v/>
      </c>
      <c r="X664" s="17" t="str">
        <f>IF('Step 14 - IT Review'!B11="","",'Step 14 - IT Review'!N11)</f>
        <v/>
      </c>
      <c r="Y664" s="18" t="str">
        <f>""</f>
        <v/>
      </c>
      <c r="Z664" s="18" t="str">
        <f>""</f>
        <v/>
      </c>
      <c r="AA664" s="18" t="str">
        <f>""</f>
        <v/>
      </c>
      <c r="AB664" s="18" t="str">
        <f>""</f>
        <v/>
      </c>
      <c r="AC664" s="18" t="str">
        <f>""</f>
        <v/>
      </c>
      <c r="AD664" s="18" t="str">
        <f>""</f>
        <v/>
      </c>
      <c r="AE664" s="18" t="str">
        <f>""</f>
        <v/>
      </c>
      <c r="AF664" s="18" t="str">
        <f>""</f>
        <v/>
      </c>
      <c r="AG664" s="18" t="str">
        <f>""</f>
        <v/>
      </c>
      <c r="AH664" s="18" t="str">
        <f>""</f>
        <v/>
      </c>
      <c r="AI664" s="18" t="str">
        <f>""</f>
        <v/>
      </c>
      <c r="AJ664" s="18" t="str">
        <f>""</f>
        <v/>
      </c>
      <c r="AK664" s="18" t="str">
        <f>""</f>
        <v/>
      </c>
      <c r="AL664" s="18" t="str">
        <f>""</f>
        <v/>
      </c>
      <c r="AM664" s="18" t="str">
        <f>""</f>
        <v/>
      </c>
    </row>
    <row r="665" spans="1:39" ht="15.75" customHeight="1" x14ac:dyDescent="0.25">
      <c r="A665" s="19" t="str">
        <f>IF('Step 14 - IT Review'!B12="","","Active")</f>
        <v/>
      </c>
      <c r="B665" s="20" t="str">
        <f>IF('Step 14 - IT Review'!B12="","",'Step 14 - IT Review'!B12)</f>
        <v/>
      </c>
      <c r="C665" s="20" t="str">
        <f>IF('Step 14 - IT Review'!B12="","",'Step 14 - IT Review'!B12)</f>
        <v/>
      </c>
      <c r="D665" s="19" t="str">
        <f>IF('Step 14 - IT Review'!B12="","",'Step 14 - IT Review'!G12)</f>
        <v/>
      </c>
      <c r="E665" s="19" t="str">
        <f>IF('Step 14 - IT Review'!B12="","",'Step 14 - IT Review'!H12)</f>
        <v/>
      </c>
      <c r="F665" s="20" t="str">
        <f>IF('Step 14 - IT Review'!B12="","",IF('Step 14 - IT Review'!C12="","","Fund Code"))</f>
        <v/>
      </c>
      <c r="G665" s="19" t="str">
        <f>IF('Step 14 - IT Review'!B12="","",IF('Step 14 - IT Review'!C12="","","Equals"))</f>
        <v/>
      </c>
      <c r="H665" s="20" t="str">
        <f>IF('Step 14 - IT Review'!B12="","",IF('Step 14 - IT Review'!C12="","",'Step 14 - IT Review'!C12))</f>
        <v/>
      </c>
      <c r="I665" s="20" t="str">
        <f>IF('Step 14 - IT Review'!B12="","","Organization Code")</f>
        <v/>
      </c>
      <c r="J665" s="19" t="str">
        <f>IF('Step 14 - IT Review'!B12="","","Equals")</f>
        <v/>
      </c>
      <c r="K665" s="20" t="str">
        <f>IF('Step 14 - IT Review'!B12="","",'Step 14 - IT Review'!D12)</f>
        <v/>
      </c>
      <c r="L665" s="20" t="str">
        <f>IF('Step 14 - IT Review'!B12="","","Other Criteria")</f>
        <v/>
      </c>
      <c r="M665" s="19" t="str">
        <f>IF('Step 14 - IT Review'!B12="","","Equals")</f>
        <v/>
      </c>
      <c r="N665" s="20" t="str">
        <f>IF('Step 14 - IT Review'!B12="","",'Step 14 - IT Review'!E12)</f>
        <v/>
      </c>
      <c r="O665" s="20" t="str">
        <f>IF('Step 14 - IT Review'!B12="","",IF('Step 14 - IT Review'!F12="","","Total"))</f>
        <v/>
      </c>
      <c r="P665" s="19" t="str">
        <f>IF('Step 14 - IT Review'!B12="","",IF('Step 14 - IT Review'!F12="","","&gt;="))</f>
        <v/>
      </c>
      <c r="Q665" s="20" t="str">
        <f>IF('Step 14 - IT Review'!B12="","",IF('Step 14 - IT Review'!F12="","",'Step 14 - IT Review'!F12))</f>
        <v/>
      </c>
      <c r="R665" s="20" t="str">
        <f>""</f>
        <v/>
      </c>
      <c r="S665" s="20" t="str">
        <f>""</f>
        <v/>
      </c>
      <c r="T665" s="20" t="str">
        <f>""</f>
        <v/>
      </c>
      <c r="U665" s="20" t="str">
        <f>IF('Step 14 - IT Review'!B12="","",'Step 14 - IT Review'!I12)</f>
        <v/>
      </c>
      <c r="V665" s="19" t="str">
        <f>IF('Step 14 - IT Review'!B12="","",'Step 14 - IT Review'!K12)</f>
        <v/>
      </c>
      <c r="W665" s="20" t="str">
        <f>IF('Step 14 - IT Review'!B12="","",'Step 14 - IT Review'!L12)</f>
        <v/>
      </c>
      <c r="X665" s="19" t="str">
        <f>IF('Step 14 - IT Review'!B12="","",'Step 14 - IT Review'!N12)</f>
        <v/>
      </c>
      <c r="Y665" s="20" t="str">
        <f>""</f>
        <v/>
      </c>
      <c r="Z665" s="20" t="str">
        <f>""</f>
        <v/>
      </c>
      <c r="AA665" s="20" t="str">
        <f>""</f>
        <v/>
      </c>
      <c r="AB665" s="20" t="str">
        <f>""</f>
        <v/>
      </c>
      <c r="AC665" s="20" t="str">
        <f>""</f>
        <v/>
      </c>
      <c r="AD665" s="20" t="str">
        <f>""</f>
        <v/>
      </c>
      <c r="AE665" s="20" t="str">
        <f>""</f>
        <v/>
      </c>
      <c r="AF665" s="20" t="str">
        <f>""</f>
        <v/>
      </c>
      <c r="AG665" s="20" t="str">
        <f>""</f>
        <v/>
      </c>
      <c r="AH665" s="20" t="str">
        <f>""</f>
        <v/>
      </c>
      <c r="AI665" s="20" t="str">
        <f>""</f>
        <v/>
      </c>
      <c r="AJ665" s="20" t="str">
        <f>""</f>
        <v/>
      </c>
      <c r="AK665" s="20" t="str">
        <f>""</f>
        <v/>
      </c>
      <c r="AL665" s="20" t="str">
        <f>""</f>
        <v/>
      </c>
      <c r="AM665" s="20" t="str">
        <f>""</f>
        <v/>
      </c>
    </row>
    <row r="666" spans="1:39" ht="15.75" customHeight="1" x14ac:dyDescent="0.25">
      <c r="A666" s="17" t="str">
        <f>IF('Step 14 - IT Review'!B13="","","Active")</f>
        <v/>
      </c>
      <c r="B666" s="18" t="str">
        <f>IF('Step 14 - IT Review'!B13="","",'Step 14 - IT Review'!B13)</f>
        <v/>
      </c>
      <c r="C666" s="18" t="str">
        <f>IF('Step 14 - IT Review'!B13="","",'Step 14 - IT Review'!B13)</f>
        <v/>
      </c>
      <c r="D666" s="17" t="str">
        <f>IF('Step 14 - IT Review'!B13="","",'Step 14 - IT Review'!G13)</f>
        <v/>
      </c>
      <c r="E666" s="17" t="str">
        <f>IF('Step 14 - IT Review'!B13="","",'Step 14 - IT Review'!H13)</f>
        <v/>
      </c>
      <c r="F666" s="18" t="str">
        <f>IF('Step 14 - IT Review'!B13="","",IF('Step 14 - IT Review'!C13="","","Fund Code"))</f>
        <v/>
      </c>
      <c r="G666" s="17" t="str">
        <f>IF('Step 14 - IT Review'!B13="","",IF('Step 14 - IT Review'!C13="","","Equals"))</f>
        <v/>
      </c>
      <c r="H666" s="18" t="str">
        <f>IF('Step 14 - IT Review'!B13="","",IF('Step 14 - IT Review'!C13="","",'Step 14 - IT Review'!C13))</f>
        <v/>
      </c>
      <c r="I666" s="18" t="str">
        <f>IF('Step 14 - IT Review'!B13="","","Organization Code")</f>
        <v/>
      </c>
      <c r="J666" s="17" t="str">
        <f>IF('Step 14 - IT Review'!B13="","","Equals")</f>
        <v/>
      </c>
      <c r="K666" s="18" t="str">
        <f>IF('Step 14 - IT Review'!B13="","",'Step 14 - IT Review'!D13)</f>
        <v/>
      </c>
      <c r="L666" s="18" t="str">
        <f>IF('Step 14 - IT Review'!B13="","","Other Criteria")</f>
        <v/>
      </c>
      <c r="M666" s="17" t="str">
        <f>IF('Step 14 - IT Review'!B13="","","Equals")</f>
        <v/>
      </c>
      <c r="N666" s="18" t="str">
        <f>IF('Step 14 - IT Review'!B13="","",'Step 14 - IT Review'!E13)</f>
        <v/>
      </c>
      <c r="O666" s="18" t="str">
        <f>IF('Step 14 - IT Review'!B13="","",IF('Step 14 - IT Review'!F13="","","Total"))</f>
        <v/>
      </c>
      <c r="P666" s="17" t="str">
        <f>IF('Step 14 - IT Review'!B13="","",IF('Step 14 - IT Review'!F13="","","&gt;="))</f>
        <v/>
      </c>
      <c r="Q666" s="18" t="str">
        <f>IF('Step 14 - IT Review'!B13="","",IF('Step 14 - IT Review'!F13="","",'Step 14 - IT Review'!F13))</f>
        <v/>
      </c>
      <c r="R666" s="18" t="str">
        <f>""</f>
        <v/>
      </c>
      <c r="S666" s="18" t="str">
        <f>""</f>
        <v/>
      </c>
      <c r="T666" s="18" t="str">
        <f>""</f>
        <v/>
      </c>
      <c r="U666" s="18" t="str">
        <f>IF('Step 14 - IT Review'!B13="","",'Step 14 - IT Review'!I13)</f>
        <v/>
      </c>
      <c r="V666" s="17" t="str">
        <f>IF('Step 14 - IT Review'!B13="","",'Step 14 - IT Review'!K13)</f>
        <v/>
      </c>
      <c r="W666" s="18" t="str">
        <f>IF('Step 14 - IT Review'!B13="","",'Step 14 - IT Review'!L13)</f>
        <v/>
      </c>
      <c r="X666" s="17" t="str">
        <f>IF('Step 14 - IT Review'!B13="","",'Step 14 - IT Review'!N13)</f>
        <v/>
      </c>
      <c r="Y666" s="18" t="str">
        <f>""</f>
        <v/>
      </c>
      <c r="Z666" s="18" t="str">
        <f>""</f>
        <v/>
      </c>
      <c r="AA666" s="18" t="str">
        <f>""</f>
        <v/>
      </c>
      <c r="AB666" s="18" t="str">
        <f>""</f>
        <v/>
      </c>
      <c r="AC666" s="18" t="str">
        <f>""</f>
        <v/>
      </c>
      <c r="AD666" s="18" t="str">
        <f>""</f>
        <v/>
      </c>
      <c r="AE666" s="18" t="str">
        <f>""</f>
        <v/>
      </c>
      <c r="AF666" s="18" t="str">
        <f>""</f>
        <v/>
      </c>
      <c r="AG666" s="18" t="str">
        <f>""</f>
        <v/>
      </c>
      <c r="AH666" s="18" t="str">
        <f>""</f>
        <v/>
      </c>
      <c r="AI666" s="18" t="str">
        <f>""</f>
        <v/>
      </c>
      <c r="AJ666" s="18" t="str">
        <f>""</f>
        <v/>
      </c>
      <c r="AK666" s="18" t="str">
        <f>""</f>
        <v/>
      </c>
      <c r="AL666" s="18" t="str">
        <f>""</f>
        <v/>
      </c>
      <c r="AM666" s="18" t="str">
        <f>""</f>
        <v/>
      </c>
    </row>
    <row r="667" spans="1:39" ht="15.75" customHeight="1" x14ac:dyDescent="0.25">
      <c r="A667" s="19" t="str">
        <f>IF('Step 14 - IT Review'!B14="","","Active")</f>
        <v/>
      </c>
      <c r="B667" s="20" t="str">
        <f>IF('Step 14 - IT Review'!B14="","",'Step 14 - IT Review'!B14)</f>
        <v/>
      </c>
      <c r="C667" s="20" t="str">
        <f>IF('Step 14 - IT Review'!B14="","",'Step 14 - IT Review'!B14)</f>
        <v/>
      </c>
      <c r="D667" s="19" t="str">
        <f>IF('Step 14 - IT Review'!B14="","",'Step 14 - IT Review'!G14)</f>
        <v/>
      </c>
      <c r="E667" s="19" t="str">
        <f>IF('Step 14 - IT Review'!B14="","",'Step 14 - IT Review'!H14)</f>
        <v/>
      </c>
      <c r="F667" s="20" t="str">
        <f>IF('Step 14 - IT Review'!B14="","",IF('Step 14 - IT Review'!C14="","","Fund Code"))</f>
        <v/>
      </c>
      <c r="G667" s="19" t="str">
        <f>IF('Step 14 - IT Review'!B14="","",IF('Step 14 - IT Review'!C14="","","Equals"))</f>
        <v/>
      </c>
      <c r="H667" s="20" t="str">
        <f>IF('Step 14 - IT Review'!B14="","",IF('Step 14 - IT Review'!C14="","",'Step 14 - IT Review'!C14))</f>
        <v/>
      </c>
      <c r="I667" s="20" t="str">
        <f>IF('Step 14 - IT Review'!B14="","","Organization Code")</f>
        <v/>
      </c>
      <c r="J667" s="19" t="str">
        <f>IF('Step 14 - IT Review'!B14="","","Equals")</f>
        <v/>
      </c>
      <c r="K667" s="20" t="str">
        <f>IF('Step 14 - IT Review'!B14="","",'Step 14 - IT Review'!D14)</f>
        <v/>
      </c>
      <c r="L667" s="20" t="str">
        <f>IF('Step 14 - IT Review'!B14="","","Other Criteria")</f>
        <v/>
      </c>
      <c r="M667" s="19" t="str">
        <f>IF('Step 14 - IT Review'!B14="","","Equals")</f>
        <v/>
      </c>
      <c r="N667" s="20" t="str">
        <f>IF('Step 14 - IT Review'!B14="","",'Step 14 - IT Review'!E14)</f>
        <v/>
      </c>
      <c r="O667" s="20" t="str">
        <f>IF('Step 14 - IT Review'!B14="","",IF('Step 14 - IT Review'!F14="","","Total"))</f>
        <v/>
      </c>
      <c r="P667" s="19" t="str">
        <f>IF('Step 14 - IT Review'!B14="","",IF('Step 14 - IT Review'!F14="","","&gt;="))</f>
        <v/>
      </c>
      <c r="Q667" s="20" t="str">
        <f>IF('Step 14 - IT Review'!B14="","",IF('Step 14 - IT Review'!F14="","",'Step 14 - IT Review'!F14))</f>
        <v/>
      </c>
      <c r="R667" s="20" t="str">
        <f>""</f>
        <v/>
      </c>
      <c r="S667" s="20" t="str">
        <f>""</f>
        <v/>
      </c>
      <c r="T667" s="20" t="str">
        <f>""</f>
        <v/>
      </c>
      <c r="U667" s="20" t="str">
        <f>IF('Step 14 - IT Review'!B14="","",'Step 14 - IT Review'!I14)</f>
        <v/>
      </c>
      <c r="V667" s="19" t="str">
        <f>IF('Step 14 - IT Review'!B14="","",'Step 14 - IT Review'!K14)</f>
        <v/>
      </c>
      <c r="W667" s="20" t="str">
        <f>IF('Step 14 - IT Review'!B14="","",'Step 14 - IT Review'!L14)</f>
        <v/>
      </c>
      <c r="X667" s="19" t="str">
        <f>IF('Step 14 - IT Review'!B14="","",'Step 14 - IT Review'!N14)</f>
        <v/>
      </c>
      <c r="Y667" s="20" t="str">
        <f>""</f>
        <v/>
      </c>
      <c r="Z667" s="20" t="str">
        <f>""</f>
        <v/>
      </c>
      <c r="AA667" s="20" t="str">
        <f>""</f>
        <v/>
      </c>
      <c r="AB667" s="20" t="str">
        <f>""</f>
        <v/>
      </c>
      <c r="AC667" s="20" t="str">
        <f>""</f>
        <v/>
      </c>
      <c r="AD667" s="20" t="str">
        <f>""</f>
        <v/>
      </c>
      <c r="AE667" s="20" t="str">
        <f>""</f>
        <v/>
      </c>
      <c r="AF667" s="20" t="str">
        <f>""</f>
        <v/>
      </c>
      <c r="AG667" s="20" t="str">
        <f>""</f>
        <v/>
      </c>
      <c r="AH667" s="20" t="str">
        <f>""</f>
        <v/>
      </c>
      <c r="AI667" s="20" t="str">
        <f>""</f>
        <v/>
      </c>
      <c r="AJ667" s="20" t="str">
        <f>""</f>
        <v/>
      </c>
      <c r="AK667" s="20" t="str">
        <f>""</f>
        <v/>
      </c>
      <c r="AL667" s="20" t="str">
        <f>""</f>
        <v/>
      </c>
      <c r="AM667" s="20" t="str">
        <f>""</f>
        <v/>
      </c>
    </row>
    <row r="668" spans="1:39" ht="15.75" customHeight="1" x14ac:dyDescent="0.25">
      <c r="A668" s="17" t="str">
        <f>IF('Step 14 - IT Review'!B15="","","Active")</f>
        <v/>
      </c>
      <c r="B668" s="18" t="str">
        <f>IF('Step 14 - IT Review'!B15="","",'Step 14 - IT Review'!B15)</f>
        <v/>
      </c>
      <c r="C668" s="18" t="str">
        <f>IF('Step 14 - IT Review'!B15="","",'Step 14 - IT Review'!B15)</f>
        <v/>
      </c>
      <c r="D668" s="17" t="str">
        <f>IF('Step 14 - IT Review'!B15="","",'Step 14 - IT Review'!G15)</f>
        <v/>
      </c>
      <c r="E668" s="17" t="str">
        <f>IF('Step 14 - IT Review'!B15="","",'Step 14 - IT Review'!H15)</f>
        <v/>
      </c>
      <c r="F668" s="18" t="str">
        <f>IF('Step 14 - IT Review'!B15="","",IF('Step 14 - IT Review'!C15="","","Fund Code"))</f>
        <v/>
      </c>
      <c r="G668" s="17" t="str">
        <f>IF('Step 14 - IT Review'!B15="","",IF('Step 14 - IT Review'!C15="","","Equals"))</f>
        <v/>
      </c>
      <c r="H668" s="18" t="str">
        <f>IF('Step 14 - IT Review'!B15="","",IF('Step 14 - IT Review'!C15="","",'Step 14 - IT Review'!C15))</f>
        <v/>
      </c>
      <c r="I668" s="18" t="str">
        <f>IF('Step 14 - IT Review'!B15="","","Organization Code")</f>
        <v/>
      </c>
      <c r="J668" s="17" t="str">
        <f>IF('Step 14 - IT Review'!B15="","","Equals")</f>
        <v/>
      </c>
      <c r="K668" s="18" t="str">
        <f>IF('Step 14 - IT Review'!B15="","",'Step 14 - IT Review'!D15)</f>
        <v/>
      </c>
      <c r="L668" s="18" t="str">
        <f>IF('Step 14 - IT Review'!B15="","","Other Criteria")</f>
        <v/>
      </c>
      <c r="M668" s="17" t="str">
        <f>IF('Step 14 - IT Review'!B15="","","Equals")</f>
        <v/>
      </c>
      <c r="N668" s="18" t="str">
        <f>IF('Step 14 - IT Review'!B15="","",'Step 14 - IT Review'!E15)</f>
        <v/>
      </c>
      <c r="O668" s="18" t="str">
        <f>IF('Step 14 - IT Review'!B15="","",IF('Step 14 - IT Review'!F15="","","Total"))</f>
        <v/>
      </c>
      <c r="P668" s="17" t="str">
        <f>IF('Step 14 - IT Review'!B15="","",IF('Step 14 - IT Review'!F15="","","&gt;="))</f>
        <v/>
      </c>
      <c r="Q668" s="18" t="str">
        <f>IF('Step 14 - IT Review'!B15="","",IF('Step 14 - IT Review'!F15="","",'Step 14 - IT Review'!F15))</f>
        <v/>
      </c>
      <c r="R668" s="18" t="str">
        <f>""</f>
        <v/>
      </c>
      <c r="S668" s="18" t="str">
        <f>""</f>
        <v/>
      </c>
      <c r="T668" s="18" t="str">
        <f>""</f>
        <v/>
      </c>
      <c r="U668" s="18" t="str">
        <f>IF('Step 14 - IT Review'!B15="","",'Step 14 - IT Review'!I15)</f>
        <v/>
      </c>
      <c r="V668" s="17" t="str">
        <f>IF('Step 14 - IT Review'!B15="","",'Step 14 - IT Review'!K15)</f>
        <v/>
      </c>
      <c r="W668" s="18" t="str">
        <f>IF('Step 14 - IT Review'!B15="","",'Step 14 - IT Review'!L15)</f>
        <v/>
      </c>
      <c r="X668" s="17" t="str">
        <f>IF('Step 14 - IT Review'!B15="","",'Step 14 - IT Review'!N15)</f>
        <v/>
      </c>
      <c r="Y668" s="18" t="str">
        <f>""</f>
        <v/>
      </c>
      <c r="Z668" s="18" t="str">
        <f>""</f>
        <v/>
      </c>
      <c r="AA668" s="18" t="str">
        <f>""</f>
        <v/>
      </c>
      <c r="AB668" s="18" t="str">
        <f>""</f>
        <v/>
      </c>
      <c r="AC668" s="18" t="str">
        <f>""</f>
        <v/>
      </c>
      <c r="AD668" s="18" t="str">
        <f>""</f>
        <v/>
      </c>
      <c r="AE668" s="18" t="str">
        <f>""</f>
        <v/>
      </c>
      <c r="AF668" s="18" t="str">
        <f>""</f>
        <v/>
      </c>
      <c r="AG668" s="18" t="str">
        <f>""</f>
        <v/>
      </c>
      <c r="AH668" s="18" t="str">
        <f>""</f>
        <v/>
      </c>
      <c r="AI668" s="18" t="str">
        <f>""</f>
        <v/>
      </c>
      <c r="AJ668" s="18" t="str">
        <f>""</f>
        <v/>
      </c>
      <c r="AK668" s="18" t="str">
        <f>""</f>
        <v/>
      </c>
      <c r="AL668" s="18" t="str">
        <f>""</f>
        <v/>
      </c>
      <c r="AM668" s="18" t="str">
        <f>""</f>
        <v/>
      </c>
    </row>
    <row r="669" spans="1:39" ht="15.75" customHeight="1" x14ac:dyDescent="0.25">
      <c r="A669" s="19" t="str">
        <f>IF('Step 14 - IT Review'!B16="","","Active")</f>
        <v/>
      </c>
      <c r="B669" s="20" t="str">
        <f>IF('Step 14 - IT Review'!B16="","",'Step 14 - IT Review'!B16)</f>
        <v/>
      </c>
      <c r="C669" s="20" t="str">
        <f>IF('Step 14 - IT Review'!B16="","",'Step 14 - IT Review'!B16)</f>
        <v/>
      </c>
      <c r="D669" s="19" t="str">
        <f>IF('Step 14 - IT Review'!B16="","",'Step 14 - IT Review'!G16)</f>
        <v/>
      </c>
      <c r="E669" s="19" t="str">
        <f>IF('Step 14 - IT Review'!B16="","",'Step 14 - IT Review'!H16)</f>
        <v/>
      </c>
      <c r="F669" s="20" t="str">
        <f>IF('Step 14 - IT Review'!B16="","",IF('Step 14 - IT Review'!C16="","","Fund Code"))</f>
        <v/>
      </c>
      <c r="G669" s="19" t="str">
        <f>IF('Step 14 - IT Review'!B16="","",IF('Step 14 - IT Review'!C16="","","Equals"))</f>
        <v/>
      </c>
      <c r="H669" s="20" t="str">
        <f>IF('Step 14 - IT Review'!B16="","",IF('Step 14 - IT Review'!C16="","",'Step 14 - IT Review'!C16))</f>
        <v/>
      </c>
      <c r="I669" s="20" t="str">
        <f>IF('Step 14 - IT Review'!B16="","","Organization Code")</f>
        <v/>
      </c>
      <c r="J669" s="19" t="str">
        <f>IF('Step 14 - IT Review'!B16="","","Equals")</f>
        <v/>
      </c>
      <c r="K669" s="20" t="str">
        <f>IF('Step 14 - IT Review'!B16="","",'Step 14 - IT Review'!D16)</f>
        <v/>
      </c>
      <c r="L669" s="20" t="str">
        <f>IF('Step 14 - IT Review'!B16="","","Other Criteria")</f>
        <v/>
      </c>
      <c r="M669" s="19" t="str">
        <f>IF('Step 14 - IT Review'!B16="","","Equals")</f>
        <v/>
      </c>
      <c r="N669" s="20" t="str">
        <f>IF('Step 14 - IT Review'!B16="","",'Step 14 - IT Review'!E16)</f>
        <v/>
      </c>
      <c r="O669" s="20" t="str">
        <f>IF('Step 14 - IT Review'!B16="","",IF('Step 14 - IT Review'!F16="","","Total"))</f>
        <v/>
      </c>
      <c r="P669" s="19" t="str">
        <f>IF('Step 14 - IT Review'!B16="","",IF('Step 14 - IT Review'!F16="","","&gt;="))</f>
        <v/>
      </c>
      <c r="Q669" s="20" t="str">
        <f>IF('Step 14 - IT Review'!B16="","",IF('Step 14 - IT Review'!F16="","",'Step 14 - IT Review'!F16))</f>
        <v/>
      </c>
      <c r="R669" s="20" t="str">
        <f>""</f>
        <v/>
      </c>
      <c r="S669" s="20" t="str">
        <f>""</f>
        <v/>
      </c>
      <c r="T669" s="20" t="str">
        <f>""</f>
        <v/>
      </c>
      <c r="U669" s="20" t="str">
        <f>IF('Step 14 - IT Review'!B16="","",'Step 14 - IT Review'!I16)</f>
        <v/>
      </c>
      <c r="V669" s="19" t="str">
        <f>IF('Step 14 - IT Review'!B16="","",'Step 14 - IT Review'!K16)</f>
        <v/>
      </c>
      <c r="W669" s="20" t="str">
        <f>IF('Step 14 - IT Review'!B16="","",'Step 14 - IT Review'!L16)</f>
        <v/>
      </c>
      <c r="X669" s="19" t="str">
        <f>IF('Step 14 - IT Review'!B16="","",'Step 14 - IT Review'!N16)</f>
        <v/>
      </c>
      <c r="Y669" s="20" t="str">
        <f>""</f>
        <v/>
      </c>
      <c r="Z669" s="20" t="str">
        <f>""</f>
        <v/>
      </c>
      <c r="AA669" s="20" t="str">
        <f>""</f>
        <v/>
      </c>
      <c r="AB669" s="20" t="str">
        <f>""</f>
        <v/>
      </c>
      <c r="AC669" s="20" t="str">
        <f>""</f>
        <v/>
      </c>
      <c r="AD669" s="20" t="str">
        <f>""</f>
        <v/>
      </c>
      <c r="AE669" s="20" t="str">
        <f>""</f>
        <v/>
      </c>
      <c r="AF669" s="20" t="str">
        <f>""</f>
        <v/>
      </c>
      <c r="AG669" s="20" t="str">
        <f>""</f>
        <v/>
      </c>
      <c r="AH669" s="20" t="str">
        <f>""</f>
        <v/>
      </c>
      <c r="AI669" s="20" t="str">
        <f>""</f>
        <v/>
      </c>
      <c r="AJ669" s="20" t="str">
        <f>""</f>
        <v/>
      </c>
      <c r="AK669" s="20" t="str">
        <f>""</f>
        <v/>
      </c>
      <c r="AL669" s="20" t="str">
        <f>""</f>
        <v/>
      </c>
      <c r="AM669" s="20" t="str">
        <f>""</f>
        <v/>
      </c>
    </row>
    <row r="670" spans="1:39" ht="15.75" customHeight="1" x14ac:dyDescent="0.25">
      <c r="A670" s="17" t="str">
        <f>IF('Step 14 - IT Review'!B17="","","Active")</f>
        <v/>
      </c>
      <c r="B670" s="18" t="str">
        <f>IF('Step 14 - IT Review'!B17="","",'Step 14 - IT Review'!B17)</f>
        <v/>
      </c>
      <c r="C670" s="18" t="str">
        <f>IF('Step 14 - IT Review'!B17="","",'Step 14 - IT Review'!B17)</f>
        <v/>
      </c>
      <c r="D670" s="17" t="str">
        <f>IF('Step 14 - IT Review'!B17="","",'Step 14 - IT Review'!G17)</f>
        <v/>
      </c>
      <c r="E670" s="17" t="str">
        <f>IF('Step 14 - IT Review'!B17="","",'Step 14 - IT Review'!H17)</f>
        <v/>
      </c>
      <c r="F670" s="18" t="str">
        <f>IF('Step 14 - IT Review'!B17="","",IF('Step 14 - IT Review'!C17="","","Fund Code"))</f>
        <v/>
      </c>
      <c r="G670" s="17" t="str">
        <f>IF('Step 14 - IT Review'!B17="","",IF('Step 14 - IT Review'!C17="","","Equals"))</f>
        <v/>
      </c>
      <c r="H670" s="18" t="str">
        <f>IF('Step 14 - IT Review'!B17="","",IF('Step 14 - IT Review'!C17="","",'Step 14 - IT Review'!C17))</f>
        <v/>
      </c>
      <c r="I670" s="18" t="str">
        <f>IF('Step 14 - IT Review'!B17="","","Organization Code")</f>
        <v/>
      </c>
      <c r="J670" s="17" t="str">
        <f>IF('Step 14 - IT Review'!B17="","","Equals")</f>
        <v/>
      </c>
      <c r="K670" s="18" t="str">
        <f>IF('Step 14 - IT Review'!B17="","",'Step 14 - IT Review'!D17)</f>
        <v/>
      </c>
      <c r="L670" s="18" t="str">
        <f>IF('Step 14 - IT Review'!B17="","","Other Criteria")</f>
        <v/>
      </c>
      <c r="M670" s="17" t="str">
        <f>IF('Step 14 - IT Review'!B17="","","Equals")</f>
        <v/>
      </c>
      <c r="N670" s="18" t="str">
        <f>IF('Step 14 - IT Review'!B17="","",'Step 14 - IT Review'!E17)</f>
        <v/>
      </c>
      <c r="O670" s="18" t="str">
        <f>IF('Step 14 - IT Review'!B17="","",IF('Step 14 - IT Review'!F17="","","Total"))</f>
        <v/>
      </c>
      <c r="P670" s="17" t="str">
        <f>IF('Step 14 - IT Review'!B17="","",IF('Step 14 - IT Review'!F17="","","&gt;="))</f>
        <v/>
      </c>
      <c r="Q670" s="18" t="str">
        <f>IF('Step 14 - IT Review'!B17="","",IF('Step 14 - IT Review'!F17="","",'Step 14 - IT Review'!F17))</f>
        <v/>
      </c>
      <c r="R670" s="18" t="str">
        <f>""</f>
        <v/>
      </c>
      <c r="S670" s="18" t="str">
        <f>""</f>
        <v/>
      </c>
      <c r="T670" s="18" t="str">
        <f>""</f>
        <v/>
      </c>
      <c r="U670" s="18" t="str">
        <f>IF('Step 14 - IT Review'!B17="","",'Step 14 - IT Review'!I17)</f>
        <v/>
      </c>
      <c r="V670" s="17" t="str">
        <f>IF('Step 14 - IT Review'!B17="","",'Step 14 - IT Review'!K17)</f>
        <v/>
      </c>
      <c r="W670" s="18" t="str">
        <f>IF('Step 14 - IT Review'!B17="","",'Step 14 - IT Review'!L17)</f>
        <v/>
      </c>
      <c r="X670" s="17" t="str">
        <f>IF('Step 14 - IT Review'!B17="","",'Step 14 - IT Review'!N17)</f>
        <v/>
      </c>
      <c r="Y670" s="18" t="str">
        <f>""</f>
        <v/>
      </c>
      <c r="Z670" s="18" t="str">
        <f>""</f>
        <v/>
      </c>
      <c r="AA670" s="18" t="str">
        <f>""</f>
        <v/>
      </c>
      <c r="AB670" s="18" t="str">
        <f>""</f>
        <v/>
      </c>
      <c r="AC670" s="18" t="str">
        <f>""</f>
        <v/>
      </c>
      <c r="AD670" s="18" t="str">
        <f>""</f>
        <v/>
      </c>
      <c r="AE670" s="18" t="str">
        <f>""</f>
        <v/>
      </c>
      <c r="AF670" s="18" t="str">
        <f>""</f>
        <v/>
      </c>
      <c r="AG670" s="18" t="str">
        <f>""</f>
        <v/>
      </c>
      <c r="AH670" s="18" t="str">
        <f>""</f>
        <v/>
      </c>
      <c r="AI670" s="18" t="str">
        <f>""</f>
        <v/>
      </c>
      <c r="AJ670" s="18" t="str">
        <f>""</f>
        <v/>
      </c>
      <c r="AK670" s="18" t="str">
        <f>""</f>
        <v/>
      </c>
      <c r="AL670" s="18" t="str">
        <f>""</f>
        <v/>
      </c>
      <c r="AM670" s="18" t="str">
        <f>""</f>
        <v/>
      </c>
    </row>
    <row r="671" spans="1:39" ht="15.75" customHeight="1" x14ac:dyDescent="0.25">
      <c r="A671" s="19" t="str">
        <f>IF('Step 14 - IT Review'!B18="","","Active")</f>
        <v/>
      </c>
      <c r="B671" s="20" t="str">
        <f>IF('Step 14 - IT Review'!B18="","",'Step 14 - IT Review'!B18)</f>
        <v/>
      </c>
      <c r="C671" s="20" t="str">
        <f>IF('Step 14 - IT Review'!B18="","",'Step 14 - IT Review'!B18)</f>
        <v/>
      </c>
      <c r="D671" s="19" t="str">
        <f>IF('Step 14 - IT Review'!B18="","",'Step 14 - IT Review'!G18)</f>
        <v/>
      </c>
      <c r="E671" s="19" t="str">
        <f>IF('Step 14 - IT Review'!B18="","",'Step 14 - IT Review'!H18)</f>
        <v/>
      </c>
      <c r="F671" s="20" t="str">
        <f>IF('Step 14 - IT Review'!B18="","",IF('Step 14 - IT Review'!C18="","","Fund Code"))</f>
        <v/>
      </c>
      <c r="G671" s="19" t="str">
        <f>IF('Step 14 - IT Review'!B18="","",IF('Step 14 - IT Review'!C18="","","Equals"))</f>
        <v/>
      </c>
      <c r="H671" s="20" t="str">
        <f>IF('Step 14 - IT Review'!B18="","",IF('Step 14 - IT Review'!C18="","",'Step 14 - IT Review'!C18))</f>
        <v/>
      </c>
      <c r="I671" s="20" t="str">
        <f>IF('Step 14 - IT Review'!B18="","","Organization Code")</f>
        <v/>
      </c>
      <c r="J671" s="19" t="str">
        <f>IF('Step 14 - IT Review'!B18="","","Equals")</f>
        <v/>
      </c>
      <c r="K671" s="20" t="str">
        <f>IF('Step 14 - IT Review'!B18="","",'Step 14 - IT Review'!D18)</f>
        <v/>
      </c>
      <c r="L671" s="20" t="str">
        <f>IF('Step 14 - IT Review'!B18="","","Other Criteria")</f>
        <v/>
      </c>
      <c r="M671" s="19" t="str">
        <f>IF('Step 14 - IT Review'!B18="","","Equals")</f>
        <v/>
      </c>
      <c r="N671" s="20" t="str">
        <f>IF('Step 14 - IT Review'!B18="","",'Step 14 - IT Review'!E18)</f>
        <v/>
      </c>
      <c r="O671" s="20" t="str">
        <f>IF('Step 14 - IT Review'!B18="","",IF('Step 14 - IT Review'!F18="","","Total"))</f>
        <v/>
      </c>
      <c r="P671" s="19" t="str">
        <f>IF('Step 14 - IT Review'!B18="","",IF('Step 14 - IT Review'!F18="","","&gt;="))</f>
        <v/>
      </c>
      <c r="Q671" s="20" t="str">
        <f>IF('Step 14 - IT Review'!B18="","",IF('Step 14 - IT Review'!F18="","",'Step 14 - IT Review'!F18))</f>
        <v/>
      </c>
      <c r="R671" s="20" t="str">
        <f>""</f>
        <v/>
      </c>
      <c r="S671" s="20" t="str">
        <f>""</f>
        <v/>
      </c>
      <c r="T671" s="20" t="str">
        <f>""</f>
        <v/>
      </c>
      <c r="U671" s="20" t="str">
        <f>IF('Step 14 - IT Review'!B18="","",'Step 14 - IT Review'!I18)</f>
        <v/>
      </c>
      <c r="V671" s="19" t="str">
        <f>IF('Step 14 - IT Review'!B18="","",'Step 14 - IT Review'!K18)</f>
        <v/>
      </c>
      <c r="W671" s="20" t="str">
        <f>IF('Step 14 - IT Review'!B18="","",'Step 14 - IT Review'!L18)</f>
        <v/>
      </c>
      <c r="X671" s="19" t="str">
        <f>IF('Step 14 - IT Review'!B18="","",'Step 14 - IT Review'!N18)</f>
        <v/>
      </c>
      <c r="Y671" s="20" t="str">
        <f>""</f>
        <v/>
      </c>
      <c r="Z671" s="20" t="str">
        <f>""</f>
        <v/>
      </c>
      <c r="AA671" s="20" t="str">
        <f>""</f>
        <v/>
      </c>
      <c r="AB671" s="20" t="str">
        <f>""</f>
        <v/>
      </c>
      <c r="AC671" s="20" t="str">
        <f>""</f>
        <v/>
      </c>
      <c r="AD671" s="20" t="str">
        <f>""</f>
        <v/>
      </c>
      <c r="AE671" s="20" t="str">
        <f>""</f>
        <v/>
      </c>
      <c r="AF671" s="20" t="str">
        <f>""</f>
        <v/>
      </c>
      <c r="AG671" s="20" t="str">
        <f>""</f>
        <v/>
      </c>
      <c r="AH671" s="20" t="str">
        <f>""</f>
        <v/>
      </c>
      <c r="AI671" s="20" t="str">
        <f>""</f>
        <v/>
      </c>
      <c r="AJ671" s="20" t="str">
        <f>""</f>
        <v/>
      </c>
      <c r="AK671" s="20" t="str">
        <f>""</f>
        <v/>
      </c>
      <c r="AL671" s="20" t="str">
        <f>""</f>
        <v/>
      </c>
      <c r="AM671" s="20" t="str">
        <f>""</f>
        <v/>
      </c>
    </row>
    <row r="672" spans="1:39" ht="15.75" customHeight="1" x14ac:dyDescent="0.25">
      <c r="A672" s="17" t="str">
        <f>IF('Step 14 - IT Review'!B19="","","Active")</f>
        <v/>
      </c>
      <c r="B672" s="18" t="str">
        <f>IF('Step 14 - IT Review'!B19="","",'Step 14 - IT Review'!B19)</f>
        <v/>
      </c>
      <c r="C672" s="18" t="str">
        <f>IF('Step 14 - IT Review'!B19="","",'Step 14 - IT Review'!B19)</f>
        <v/>
      </c>
      <c r="D672" s="17" t="str">
        <f>IF('Step 14 - IT Review'!B19="","",'Step 14 - IT Review'!G19)</f>
        <v/>
      </c>
      <c r="E672" s="17" t="str">
        <f>IF('Step 14 - IT Review'!B19="","",'Step 14 - IT Review'!H19)</f>
        <v/>
      </c>
      <c r="F672" s="18" t="str">
        <f>IF('Step 14 - IT Review'!B19="","",IF('Step 14 - IT Review'!C19="","","Fund Code"))</f>
        <v/>
      </c>
      <c r="G672" s="17" t="str">
        <f>IF('Step 14 - IT Review'!B19="","",IF('Step 14 - IT Review'!C19="","","Equals"))</f>
        <v/>
      </c>
      <c r="H672" s="18" t="str">
        <f>IF('Step 14 - IT Review'!B19="","",IF('Step 14 - IT Review'!C19="","",'Step 14 - IT Review'!C19))</f>
        <v/>
      </c>
      <c r="I672" s="18" t="str">
        <f>IF('Step 14 - IT Review'!B19="","","Organization Code")</f>
        <v/>
      </c>
      <c r="J672" s="17" t="str">
        <f>IF('Step 14 - IT Review'!B19="","","Equals")</f>
        <v/>
      </c>
      <c r="K672" s="18" t="str">
        <f>IF('Step 14 - IT Review'!B19="","",'Step 14 - IT Review'!D19)</f>
        <v/>
      </c>
      <c r="L672" s="18" t="str">
        <f>IF('Step 14 - IT Review'!B19="","","Other Criteria")</f>
        <v/>
      </c>
      <c r="M672" s="17" t="str">
        <f>IF('Step 14 - IT Review'!B19="","","Equals")</f>
        <v/>
      </c>
      <c r="N672" s="18" t="str">
        <f>IF('Step 14 - IT Review'!B19="","",'Step 14 - IT Review'!E19)</f>
        <v/>
      </c>
      <c r="O672" s="18" t="str">
        <f>IF('Step 14 - IT Review'!B19="","",IF('Step 14 - IT Review'!F19="","","Total"))</f>
        <v/>
      </c>
      <c r="P672" s="17" t="str">
        <f>IF('Step 14 - IT Review'!B19="","",IF('Step 14 - IT Review'!F19="","","&gt;="))</f>
        <v/>
      </c>
      <c r="Q672" s="18" t="str">
        <f>IF('Step 14 - IT Review'!B19="","",IF('Step 14 - IT Review'!F19="","",'Step 14 - IT Review'!F19))</f>
        <v/>
      </c>
      <c r="R672" s="18" t="str">
        <f>""</f>
        <v/>
      </c>
      <c r="S672" s="18" t="str">
        <f>""</f>
        <v/>
      </c>
      <c r="T672" s="18" t="str">
        <f>""</f>
        <v/>
      </c>
      <c r="U672" s="18" t="str">
        <f>IF('Step 14 - IT Review'!B19="","",'Step 14 - IT Review'!I19)</f>
        <v/>
      </c>
      <c r="V672" s="17" t="str">
        <f>IF('Step 14 - IT Review'!B19="","",'Step 14 - IT Review'!K19)</f>
        <v/>
      </c>
      <c r="W672" s="18" t="str">
        <f>IF('Step 14 - IT Review'!B19="","",'Step 14 - IT Review'!L19)</f>
        <v/>
      </c>
      <c r="X672" s="17" t="str">
        <f>IF('Step 14 - IT Review'!B19="","",'Step 14 - IT Review'!N19)</f>
        <v/>
      </c>
      <c r="Y672" s="18" t="str">
        <f>""</f>
        <v/>
      </c>
      <c r="Z672" s="18" t="str">
        <f>""</f>
        <v/>
      </c>
      <c r="AA672" s="18" t="str">
        <f>""</f>
        <v/>
      </c>
      <c r="AB672" s="18" t="str">
        <f>""</f>
        <v/>
      </c>
      <c r="AC672" s="18" t="str">
        <f>""</f>
        <v/>
      </c>
      <c r="AD672" s="18" t="str">
        <f>""</f>
        <v/>
      </c>
      <c r="AE672" s="18" t="str">
        <f>""</f>
        <v/>
      </c>
      <c r="AF672" s="18" t="str">
        <f>""</f>
        <v/>
      </c>
      <c r="AG672" s="18" t="str">
        <f>""</f>
        <v/>
      </c>
      <c r="AH672" s="18" t="str">
        <f>""</f>
        <v/>
      </c>
      <c r="AI672" s="18" t="str">
        <f>""</f>
        <v/>
      </c>
      <c r="AJ672" s="18" t="str">
        <f>""</f>
        <v/>
      </c>
      <c r="AK672" s="18" t="str">
        <f>""</f>
        <v/>
      </c>
      <c r="AL672" s="18" t="str">
        <f>""</f>
        <v/>
      </c>
      <c r="AM672" s="18" t="str">
        <f>""</f>
        <v/>
      </c>
    </row>
    <row r="673" spans="1:39" ht="15.75" customHeight="1" x14ac:dyDescent="0.25">
      <c r="A673" s="19" t="str">
        <f>IF('Step 14 - IT Review'!B20="","","Active")</f>
        <v/>
      </c>
      <c r="B673" s="20" t="str">
        <f>IF('Step 14 - IT Review'!B20="","",'Step 14 - IT Review'!B20)</f>
        <v/>
      </c>
      <c r="C673" s="20" t="str">
        <f>IF('Step 14 - IT Review'!B20="","",'Step 14 - IT Review'!B20)</f>
        <v/>
      </c>
      <c r="D673" s="19" t="str">
        <f>IF('Step 14 - IT Review'!B20="","",'Step 14 - IT Review'!G20)</f>
        <v/>
      </c>
      <c r="E673" s="19" t="str">
        <f>IF('Step 14 - IT Review'!B20="","",'Step 14 - IT Review'!H20)</f>
        <v/>
      </c>
      <c r="F673" s="20" t="str">
        <f>IF('Step 14 - IT Review'!B20="","",IF('Step 14 - IT Review'!C20="","","Fund Code"))</f>
        <v/>
      </c>
      <c r="G673" s="19" t="str">
        <f>IF('Step 14 - IT Review'!B20="","",IF('Step 14 - IT Review'!C20="","","Equals"))</f>
        <v/>
      </c>
      <c r="H673" s="20" t="str">
        <f>IF('Step 14 - IT Review'!B20="","",IF('Step 14 - IT Review'!C20="","",'Step 14 - IT Review'!C20))</f>
        <v/>
      </c>
      <c r="I673" s="20" t="str">
        <f>IF('Step 14 - IT Review'!B20="","","Organization Code")</f>
        <v/>
      </c>
      <c r="J673" s="19" t="str">
        <f>IF('Step 14 - IT Review'!B20="","","Equals")</f>
        <v/>
      </c>
      <c r="K673" s="20" t="str">
        <f>IF('Step 14 - IT Review'!B20="","",'Step 14 - IT Review'!D20)</f>
        <v/>
      </c>
      <c r="L673" s="20" t="str">
        <f>IF('Step 14 - IT Review'!B20="","","Other Criteria")</f>
        <v/>
      </c>
      <c r="M673" s="19" t="str">
        <f>IF('Step 14 - IT Review'!B20="","","Equals")</f>
        <v/>
      </c>
      <c r="N673" s="20" t="str">
        <f>IF('Step 14 - IT Review'!B20="","",'Step 14 - IT Review'!E20)</f>
        <v/>
      </c>
      <c r="O673" s="20" t="str">
        <f>IF('Step 14 - IT Review'!B20="","",IF('Step 14 - IT Review'!F20="","","Total"))</f>
        <v/>
      </c>
      <c r="P673" s="19" t="str">
        <f>IF('Step 14 - IT Review'!B20="","",IF('Step 14 - IT Review'!F20="","","&gt;="))</f>
        <v/>
      </c>
      <c r="Q673" s="20" t="str">
        <f>IF('Step 14 - IT Review'!B20="","",IF('Step 14 - IT Review'!F20="","",'Step 14 - IT Review'!F20))</f>
        <v/>
      </c>
      <c r="R673" s="20" t="str">
        <f>""</f>
        <v/>
      </c>
      <c r="S673" s="20" t="str">
        <f>""</f>
        <v/>
      </c>
      <c r="T673" s="20" t="str">
        <f>""</f>
        <v/>
      </c>
      <c r="U673" s="20" t="str">
        <f>IF('Step 14 - IT Review'!B20="","",'Step 14 - IT Review'!I20)</f>
        <v/>
      </c>
      <c r="V673" s="19" t="str">
        <f>IF('Step 14 - IT Review'!B20="","",'Step 14 - IT Review'!K20)</f>
        <v/>
      </c>
      <c r="W673" s="20" t="str">
        <f>IF('Step 14 - IT Review'!B20="","",'Step 14 - IT Review'!L20)</f>
        <v/>
      </c>
      <c r="X673" s="19" t="str">
        <f>IF('Step 14 - IT Review'!B20="","",'Step 14 - IT Review'!N20)</f>
        <v/>
      </c>
      <c r="Y673" s="20" t="str">
        <f>""</f>
        <v/>
      </c>
      <c r="Z673" s="20" t="str">
        <f>""</f>
        <v/>
      </c>
      <c r="AA673" s="20" t="str">
        <f>""</f>
        <v/>
      </c>
      <c r="AB673" s="20" t="str">
        <f>""</f>
        <v/>
      </c>
      <c r="AC673" s="20" t="str">
        <f>""</f>
        <v/>
      </c>
      <c r="AD673" s="20" t="str">
        <f>""</f>
        <v/>
      </c>
      <c r="AE673" s="20" t="str">
        <f>""</f>
        <v/>
      </c>
      <c r="AF673" s="20" t="str">
        <f>""</f>
        <v/>
      </c>
      <c r="AG673" s="20" t="str">
        <f>""</f>
        <v/>
      </c>
      <c r="AH673" s="20" t="str">
        <f>""</f>
        <v/>
      </c>
      <c r="AI673" s="20" t="str">
        <f>""</f>
        <v/>
      </c>
      <c r="AJ673" s="20" t="str">
        <f>""</f>
        <v/>
      </c>
      <c r="AK673" s="20" t="str">
        <f>""</f>
        <v/>
      </c>
      <c r="AL673" s="20" t="str">
        <f>""</f>
        <v/>
      </c>
      <c r="AM673" s="20" t="str">
        <f>""</f>
        <v/>
      </c>
    </row>
    <row r="674" spans="1:39" ht="15.75" customHeight="1" x14ac:dyDescent="0.25">
      <c r="A674" s="17" t="str">
        <f>IF('Step 14 - IT Review'!B21="","","Active")</f>
        <v/>
      </c>
      <c r="B674" s="18" t="str">
        <f>IF('Step 14 - IT Review'!B21="","",'Step 14 - IT Review'!B21)</f>
        <v/>
      </c>
      <c r="C674" s="18" t="str">
        <f>IF('Step 14 - IT Review'!B21="","",'Step 14 - IT Review'!B21)</f>
        <v/>
      </c>
      <c r="D674" s="17" t="str">
        <f>IF('Step 14 - IT Review'!B21="","",'Step 14 - IT Review'!G21)</f>
        <v/>
      </c>
      <c r="E674" s="17" t="str">
        <f>IF('Step 14 - IT Review'!B21="","",'Step 14 - IT Review'!H21)</f>
        <v/>
      </c>
      <c r="F674" s="18" t="str">
        <f>IF('Step 14 - IT Review'!B21="","",IF('Step 14 - IT Review'!C21="","","Fund Code"))</f>
        <v/>
      </c>
      <c r="G674" s="17" t="str">
        <f>IF('Step 14 - IT Review'!B21="","",IF('Step 14 - IT Review'!C21="","","Equals"))</f>
        <v/>
      </c>
      <c r="H674" s="18" t="str">
        <f>IF('Step 14 - IT Review'!B21="","",IF('Step 14 - IT Review'!C21="","",'Step 14 - IT Review'!C21))</f>
        <v/>
      </c>
      <c r="I674" s="18" t="str">
        <f>IF('Step 14 - IT Review'!B21="","","Organization Code")</f>
        <v/>
      </c>
      <c r="J674" s="17" t="str">
        <f>IF('Step 14 - IT Review'!B21="","","Equals")</f>
        <v/>
      </c>
      <c r="K674" s="18" t="str">
        <f>IF('Step 14 - IT Review'!B21="","",'Step 14 - IT Review'!D21)</f>
        <v/>
      </c>
      <c r="L674" s="18" t="str">
        <f>IF('Step 14 - IT Review'!B21="","","Other Criteria")</f>
        <v/>
      </c>
      <c r="M674" s="17" t="str">
        <f>IF('Step 14 - IT Review'!B21="","","Equals")</f>
        <v/>
      </c>
      <c r="N674" s="18" t="str">
        <f>IF('Step 14 - IT Review'!B21="","",'Step 14 - IT Review'!E21)</f>
        <v/>
      </c>
      <c r="O674" s="18" t="str">
        <f>IF('Step 14 - IT Review'!B21="","",IF('Step 14 - IT Review'!F21="","","Total"))</f>
        <v/>
      </c>
      <c r="P674" s="17" t="str">
        <f>IF('Step 14 - IT Review'!B21="","",IF('Step 14 - IT Review'!F21="","","&gt;="))</f>
        <v/>
      </c>
      <c r="Q674" s="18" t="str">
        <f>IF('Step 14 - IT Review'!B21="","",IF('Step 14 - IT Review'!F21="","",'Step 14 - IT Review'!F21))</f>
        <v/>
      </c>
      <c r="R674" s="18" t="str">
        <f>""</f>
        <v/>
      </c>
      <c r="S674" s="18" t="str">
        <f>""</f>
        <v/>
      </c>
      <c r="T674" s="18" t="str">
        <f>""</f>
        <v/>
      </c>
      <c r="U674" s="18" t="str">
        <f>IF('Step 14 - IT Review'!B21="","",'Step 14 - IT Review'!I21)</f>
        <v/>
      </c>
      <c r="V674" s="17" t="str">
        <f>IF('Step 14 - IT Review'!B21="","",'Step 14 - IT Review'!K21)</f>
        <v/>
      </c>
      <c r="W674" s="18" t="str">
        <f>IF('Step 14 - IT Review'!B21="","",'Step 14 - IT Review'!L21)</f>
        <v/>
      </c>
      <c r="X674" s="17" t="str">
        <f>IF('Step 14 - IT Review'!B21="","",'Step 14 - IT Review'!N21)</f>
        <v/>
      </c>
      <c r="Y674" s="18" t="str">
        <f>""</f>
        <v/>
      </c>
      <c r="Z674" s="18" t="str">
        <f>""</f>
        <v/>
      </c>
      <c r="AA674" s="18" t="str">
        <f>""</f>
        <v/>
      </c>
      <c r="AB674" s="18" t="str">
        <f>""</f>
        <v/>
      </c>
      <c r="AC674" s="18" t="str">
        <f>""</f>
        <v/>
      </c>
      <c r="AD674" s="18" t="str">
        <f>""</f>
        <v/>
      </c>
      <c r="AE674" s="18" t="str">
        <f>""</f>
        <v/>
      </c>
      <c r="AF674" s="18" t="str">
        <f>""</f>
        <v/>
      </c>
      <c r="AG674" s="18" t="str">
        <f>""</f>
        <v/>
      </c>
      <c r="AH674" s="18" t="str">
        <f>""</f>
        <v/>
      </c>
      <c r="AI674" s="18" t="str">
        <f>""</f>
        <v/>
      </c>
      <c r="AJ674" s="18" t="str">
        <f>""</f>
        <v/>
      </c>
      <c r="AK674" s="18" t="str">
        <f>""</f>
        <v/>
      </c>
      <c r="AL674" s="18" t="str">
        <f>""</f>
        <v/>
      </c>
      <c r="AM674" s="18" t="str">
        <f>""</f>
        <v/>
      </c>
    </row>
    <row r="675" spans="1:39" ht="15.75" customHeight="1" x14ac:dyDescent="0.25">
      <c r="A675" s="19" t="str">
        <f>IF('Step 14 - IT Review'!B22="","","Active")</f>
        <v/>
      </c>
      <c r="B675" s="20" t="str">
        <f>IF('Step 14 - IT Review'!B22="","",'Step 14 - IT Review'!B22)</f>
        <v/>
      </c>
      <c r="C675" s="20" t="str">
        <f>IF('Step 14 - IT Review'!B22="","",'Step 14 - IT Review'!B22)</f>
        <v/>
      </c>
      <c r="D675" s="19" t="str">
        <f>IF('Step 14 - IT Review'!B22="","",'Step 14 - IT Review'!G22)</f>
        <v/>
      </c>
      <c r="E675" s="19" t="str">
        <f>IF('Step 14 - IT Review'!B22="","",'Step 14 - IT Review'!H22)</f>
        <v/>
      </c>
      <c r="F675" s="20" t="str">
        <f>IF('Step 14 - IT Review'!B22="","",IF('Step 14 - IT Review'!C22="","","Fund Code"))</f>
        <v/>
      </c>
      <c r="G675" s="19" t="str">
        <f>IF('Step 14 - IT Review'!B22="","",IF('Step 14 - IT Review'!C22="","","Equals"))</f>
        <v/>
      </c>
      <c r="H675" s="20" t="str">
        <f>IF('Step 14 - IT Review'!B22="","",IF('Step 14 - IT Review'!C22="","",'Step 14 - IT Review'!C22))</f>
        <v/>
      </c>
      <c r="I675" s="20" t="str">
        <f>IF('Step 14 - IT Review'!B22="","","Organization Code")</f>
        <v/>
      </c>
      <c r="J675" s="19" t="str">
        <f>IF('Step 14 - IT Review'!B22="","","Equals")</f>
        <v/>
      </c>
      <c r="K675" s="20" t="str">
        <f>IF('Step 14 - IT Review'!B22="","",'Step 14 - IT Review'!D22)</f>
        <v/>
      </c>
      <c r="L675" s="20" t="str">
        <f>IF('Step 14 - IT Review'!B22="","","Other Criteria")</f>
        <v/>
      </c>
      <c r="M675" s="19" t="str">
        <f>IF('Step 14 - IT Review'!B22="","","Equals")</f>
        <v/>
      </c>
      <c r="N675" s="20" t="str">
        <f>IF('Step 14 - IT Review'!B22="","",'Step 14 - IT Review'!E22)</f>
        <v/>
      </c>
      <c r="O675" s="20" t="str">
        <f>IF('Step 14 - IT Review'!B22="","",IF('Step 14 - IT Review'!F22="","","Total"))</f>
        <v/>
      </c>
      <c r="P675" s="19" t="str">
        <f>IF('Step 14 - IT Review'!B22="","",IF('Step 14 - IT Review'!F22="","","&gt;="))</f>
        <v/>
      </c>
      <c r="Q675" s="20" t="str">
        <f>IF('Step 14 - IT Review'!B22="","",IF('Step 14 - IT Review'!F22="","",'Step 14 - IT Review'!F22))</f>
        <v/>
      </c>
      <c r="R675" s="20" t="str">
        <f>""</f>
        <v/>
      </c>
      <c r="S675" s="20" t="str">
        <f>""</f>
        <v/>
      </c>
      <c r="T675" s="20" t="str">
        <f>""</f>
        <v/>
      </c>
      <c r="U675" s="20" t="str">
        <f>IF('Step 14 - IT Review'!B22="","",'Step 14 - IT Review'!I22)</f>
        <v/>
      </c>
      <c r="V675" s="19" t="str">
        <f>IF('Step 14 - IT Review'!B22="","",'Step 14 - IT Review'!K22)</f>
        <v/>
      </c>
      <c r="W675" s="20" t="str">
        <f>IF('Step 14 - IT Review'!B22="","",'Step 14 - IT Review'!L22)</f>
        <v/>
      </c>
      <c r="X675" s="19" t="str">
        <f>IF('Step 14 - IT Review'!B22="","",'Step 14 - IT Review'!N22)</f>
        <v/>
      </c>
      <c r="Y675" s="20" t="str">
        <f>""</f>
        <v/>
      </c>
      <c r="Z675" s="20" t="str">
        <f>""</f>
        <v/>
      </c>
      <c r="AA675" s="20" t="str">
        <f>""</f>
        <v/>
      </c>
      <c r="AB675" s="20" t="str">
        <f>""</f>
        <v/>
      </c>
      <c r="AC675" s="20" t="str">
        <f>""</f>
        <v/>
      </c>
      <c r="AD675" s="20" t="str">
        <f>""</f>
        <v/>
      </c>
      <c r="AE675" s="20" t="str">
        <f>""</f>
        <v/>
      </c>
      <c r="AF675" s="20" t="str">
        <f>""</f>
        <v/>
      </c>
      <c r="AG675" s="20" t="str">
        <f>""</f>
        <v/>
      </c>
      <c r="AH675" s="20" t="str">
        <f>""</f>
        <v/>
      </c>
      <c r="AI675" s="20" t="str">
        <f>""</f>
        <v/>
      </c>
      <c r="AJ675" s="20" t="str">
        <f>""</f>
        <v/>
      </c>
      <c r="AK675" s="20" t="str">
        <f>""</f>
        <v/>
      </c>
      <c r="AL675" s="20" t="str">
        <f>""</f>
        <v/>
      </c>
      <c r="AM675" s="20" t="str">
        <f>""</f>
        <v/>
      </c>
    </row>
    <row r="676" spans="1:39" ht="15.75" customHeight="1" x14ac:dyDescent="0.25">
      <c r="A676" s="17" t="str">
        <f>IF('Step 14 - IT Review'!B23="","","Active")</f>
        <v/>
      </c>
      <c r="B676" s="18" t="str">
        <f>IF('Step 14 - IT Review'!B23="","",'Step 14 - IT Review'!B23)</f>
        <v/>
      </c>
      <c r="C676" s="18" t="str">
        <f>IF('Step 14 - IT Review'!B23="","",'Step 14 - IT Review'!B23)</f>
        <v/>
      </c>
      <c r="D676" s="17" t="str">
        <f>IF('Step 14 - IT Review'!B23="","",'Step 14 - IT Review'!G23)</f>
        <v/>
      </c>
      <c r="E676" s="17" t="str">
        <f>IF('Step 14 - IT Review'!B23="","",'Step 14 - IT Review'!H23)</f>
        <v/>
      </c>
      <c r="F676" s="18" t="str">
        <f>IF('Step 14 - IT Review'!B23="","",IF('Step 14 - IT Review'!C23="","","Fund Code"))</f>
        <v/>
      </c>
      <c r="G676" s="17" t="str">
        <f>IF('Step 14 - IT Review'!B23="","",IF('Step 14 - IT Review'!C23="","","Equals"))</f>
        <v/>
      </c>
      <c r="H676" s="18" t="str">
        <f>IF('Step 14 - IT Review'!B23="","",IF('Step 14 - IT Review'!C23="","",'Step 14 - IT Review'!C23))</f>
        <v/>
      </c>
      <c r="I676" s="18" t="str">
        <f>IF('Step 14 - IT Review'!B23="","","Organization Code")</f>
        <v/>
      </c>
      <c r="J676" s="17" t="str">
        <f>IF('Step 14 - IT Review'!B23="","","Equals")</f>
        <v/>
      </c>
      <c r="K676" s="18" t="str">
        <f>IF('Step 14 - IT Review'!B23="","",'Step 14 - IT Review'!D23)</f>
        <v/>
      </c>
      <c r="L676" s="18" t="str">
        <f>IF('Step 14 - IT Review'!B23="","","Other Criteria")</f>
        <v/>
      </c>
      <c r="M676" s="17" t="str">
        <f>IF('Step 14 - IT Review'!B23="","","Equals")</f>
        <v/>
      </c>
      <c r="N676" s="18" t="str">
        <f>IF('Step 14 - IT Review'!B23="","",'Step 14 - IT Review'!E23)</f>
        <v/>
      </c>
      <c r="O676" s="18" t="str">
        <f>IF('Step 14 - IT Review'!B23="","",IF('Step 14 - IT Review'!F23="","","Total"))</f>
        <v/>
      </c>
      <c r="P676" s="17" t="str">
        <f>IF('Step 14 - IT Review'!B23="","",IF('Step 14 - IT Review'!F23="","","&gt;="))</f>
        <v/>
      </c>
      <c r="Q676" s="18" t="str">
        <f>IF('Step 14 - IT Review'!B23="","",IF('Step 14 - IT Review'!F23="","",'Step 14 - IT Review'!F23))</f>
        <v/>
      </c>
      <c r="R676" s="18" t="str">
        <f>""</f>
        <v/>
      </c>
      <c r="S676" s="18" t="str">
        <f>""</f>
        <v/>
      </c>
      <c r="T676" s="18" t="str">
        <f>""</f>
        <v/>
      </c>
      <c r="U676" s="18" t="str">
        <f>IF('Step 14 - IT Review'!B23="","",'Step 14 - IT Review'!I23)</f>
        <v/>
      </c>
      <c r="V676" s="17" t="str">
        <f>IF('Step 14 - IT Review'!B23="","",'Step 14 - IT Review'!K23)</f>
        <v/>
      </c>
      <c r="W676" s="18" t="str">
        <f>IF('Step 14 - IT Review'!B23="","",'Step 14 - IT Review'!L23)</f>
        <v/>
      </c>
      <c r="X676" s="17" t="str">
        <f>IF('Step 14 - IT Review'!B23="","",'Step 14 - IT Review'!N23)</f>
        <v/>
      </c>
      <c r="Y676" s="18" t="str">
        <f>""</f>
        <v/>
      </c>
      <c r="Z676" s="18" t="str">
        <f>""</f>
        <v/>
      </c>
      <c r="AA676" s="18" t="str">
        <f>""</f>
        <v/>
      </c>
      <c r="AB676" s="18" t="str">
        <f>""</f>
        <v/>
      </c>
      <c r="AC676" s="18" t="str">
        <f>""</f>
        <v/>
      </c>
      <c r="AD676" s="18" t="str">
        <f>""</f>
        <v/>
      </c>
      <c r="AE676" s="18" t="str">
        <f>""</f>
        <v/>
      </c>
      <c r="AF676" s="18" t="str">
        <f>""</f>
        <v/>
      </c>
      <c r="AG676" s="18" t="str">
        <f>""</f>
        <v/>
      </c>
      <c r="AH676" s="18" t="str">
        <f>""</f>
        <v/>
      </c>
      <c r="AI676" s="18" t="str">
        <f>""</f>
        <v/>
      </c>
      <c r="AJ676" s="18" t="str">
        <f>""</f>
        <v/>
      </c>
      <c r="AK676" s="18" t="str">
        <f>""</f>
        <v/>
      </c>
      <c r="AL676" s="18" t="str">
        <f>""</f>
        <v/>
      </c>
      <c r="AM676" s="18" t="str">
        <f>""</f>
        <v/>
      </c>
    </row>
    <row r="677" spans="1:39" ht="15.75" customHeight="1" x14ac:dyDescent="0.25">
      <c r="A677" s="19" t="str">
        <f>IF('Step 14 - IT Review'!B24="","","Active")</f>
        <v/>
      </c>
      <c r="B677" s="20" t="str">
        <f>IF('Step 14 - IT Review'!B24="","",'Step 14 - IT Review'!B24)</f>
        <v/>
      </c>
      <c r="C677" s="20" t="str">
        <f>IF('Step 14 - IT Review'!B24="","",'Step 14 - IT Review'!B24)</f>
        <v/>
      </c>
      <c r="D677" s="19" t="str">
        <f>IF('Step 14 - IT Review'!B24="","",'Step 14 - IT Review'!G24)</f>
        <v/>
      </c>
      <c r="E677" s="19" t="str">
        <f>IF('Step 14 - IT Review'!B24="","",'Step 14 - IT Review'!H24)</f>
        <v/>
      </c>
      <c r="F677" s="20" t="str">
        <f>IF('Step 14 - IT Review'!B24="","",IF('Step 14 - IT Review'!C24="","","Fund Code"))</f>
        <v/>
      </c>
      <c r="G677" s="19" t="str">
        <f>IF('Step 14 - IT Review'!B24="","",IF('Step 14 - IT Review'!C24="","","Equals"))</f>
        <v/>
      </c>
      <c r="H677" s="20" t="str">
        <f>IF('Step 14 - IT Review'!B24="","",IF('Step 14 - IT Review'!C24="","",'Step 14 - IT Review'!C24))</f>
        <v/>
      </c>
      <c r="I677" s="20" t="str">
        <f>IF('Step 14 - IT Review'!B24="","","Organization Code")</f>
        <v/>
      </c>
      <c r="J677" s="19" t="str">
        <f>IF('Step 14 - IT Review'!B24="","","Equals")</f>
        <v/>
      </c>
      <c r="K677" s="20" t="str">
        <f>IF('Step 14 - IT Review'!B24="","",'Step 14 - IT Review'!D24)</f>
        <v/>
      </c>
      <c r="L677" s="20" t="str">
        <f>IF('Step 14 - IT Review'!B24="","","Other Criteria")</f>
        <v/>
      </c>
      <c r="M677" s="19" t="str">
        <f>IF('Step 14 - IT Review'!B24="","","Equals")</f>
        <v/>
      </c>
      <c r="N677" s="20" t="str">
        <f>IF('Step 14 - IT Review'!B24="","",'Step 14 - IT Review'!E24)</f>
        <v/>
      </c>
      <c r="O677" s="20" t="str">
        <f>IF('Step 14 - IT Review'!B24="","",IF('Step 14 - IT Review'!F24="","","Total"))</f>
        <v/>
      </c>
      <c r="P677" s="19" t="str">
        <f>IF('Step 14 - IT Review'!B24="","",IF('Step 14 - IT Review'!F24="","","&gt;="))</f>
        <v/>
      </c>
      <c r="Q677" s="20" t="str">
        <f>IF('Step 14 - IT Review'!B24="","",IF('Step 14 - IT Review'!F24="","",'Step 14 - IT Review'!F24))</f>
        <v/>
      </c>
      <c r="R677" s="20" t="str">
        <f>""</f>
        <v/>
      </c>
      <c r="S677" s="20" t="str">
        <f>""</f>
        <v/>
      </c>
      <c r="T677" s="20" t="str">
        <f>""</f>
        <v/>
      </c>
      <c r="U677" s="20" t="str">
        <f>IF('Step 14 - IT Review'!B24="","",'Step 14 - IT Review'!I24)</f>
        <v/>
      </c>
      <c r="V677" s="19" t="str">
        <f>IF('Step 14 - IT Review'!B24="","",'Step 14 - IT Review'!K24)</f>
        <v/>
      </c>
      <c r="W677" s="20" t="str">
        <f>IF('Step 14 - IT Review'!B24="","",'Step 14 - IT Review'!L24)</f>
        <v/>
      </c>
      <c r="X677" s="19" t="str">
        <f>IF('Step 14 - IT Review'!B24="","",'Step 14 - IT Review'!N24)</f>
        <v/>
      </c>
      <c r="Y677" s="20" t="str">
        <f>""</f>
        <v/>
      </c>
      <c r="Z677" s="20" t="str">
        <f>""</f>
        <v/>
      </c>
      <c r="AA677" s="20" t="str">
        <f>""</f>
        <v/>
      </c>
      <c r="AB677" s="20" t="str">
        <f>""</f>
        <v/>
      </c>
      <c r="AC677" s="20" t="str">
        <f>""</f>
        <v/>
      </c>
      <c r="AD677" s="20" t="str">
        <f>""</f>
        <v/>
      </c>
      <c r="AE677" s="20" t="str">
        <f>""</f>
        <v/>
      </c>
      <c r="AF677" s="20" t="str">
        <f>""</f>
        <v/>
      </c>
      <c r="AG677" s="20" t="str">
        <f>""</f>
        <v/>
      </c>
      <c r="AH677" s="20" t="str">
        <f>""</f>
        <v/>
      </c>
      <c r="AI677" s="20" t="str">
        <f>""</f>
        <v/>
      </c>
      <c r="AJ677" s="20" t="str">
        <f>""</f>
        <v/>
      </c>
      <c r="AK677" s="20" t="str">
        <f>""</f>
        <v/>
      </c>
      <c r="AL677" s="20" t="str">
        <f>""</f>
        <v/>
      </c>
      <c r="AM677" s="20" t="str">
        <f>""</f>
        <v/>
      </c>
    </row>
    <row r="678" spans="1:39" ht="15.75" customHeight="1" x14ac:dyDescent="0.25">
      <c r="A678" s="17" t="str">
        <f>IF('Step 14 - IT Review'!B25="","","Active")</f>
        <v/>
      </c>
      <c r="B678" s="18" t="str">
        <f>IF('Step 14 - IT Review'!B25="","",'Step 14 - IT Review'!B25)</f>
        <v/>
      </c>
      <c r="C678" s="18" t="str">
        <f>IF('Step 14 - IT Review'!B25="","",'Step 14 - IT Review'!B25)</f>
        <v/>
      </c>
      <c r="D678" s="17" t="str">
        <f>IF('Step 14 - IT Review'!B25="","",'Step 14 - IT Review'!G25)</f>
        <v/>
      </c>
      <c r="E678" s="17" t="str">
        <f>IF('Step 14 - IT Review'!B25="","",'Step 14 - IT Review'!H25)</f>
        <v/>
      </c>
      <c r="F678" s="18" t="str">
        <f>IF('Step 14 - IT Review'!B25="","",IF('Step 14 - IT Review'!C25="","","Fund Code"))</f>
        <v/>
      </c>
      <c r="G678" s="17" t="str">
        <f>IF('Step 14 - IT Review'!B25="","",IF('Step 14 - IT Review'!C25="","","Equals"))</f>
        <v/>
      </c>
      <c r="H678" s="18" t="str">
        <f>IF('Step 14 - IT Review'!B25="","",IF('Step 14 - IT Review'!C25="","",'Step 14 - IT Review'!C25))</f>
        <v/>
      </c>
      <c r="I678" s="18" t="str">
        <f>IF('Step 14 - IT Review'!B25="","","Organization Code")</f>
        <v/>
      </c>
      <c r="J678" s="17" t="str">
        <f>IF('Step 14 - IT Review'!B25="","","Equals")</f>
        <v/>
      </c>
      <c r="K678" s="18" t="str">
        <f>IF('Step 14 - IT Review'!B25="","",'Step 14 - IT Review'!D25)</f>
        <v/>
      </c>
      <c r="L678" s="18" t="str">
        <f>IF('Step 14 - IT Review'!B25="","","Other Criteria")</f>
        <v/>
      </c>
      <c r="M678" s="17" t="str">
        <f>IF('Step 14 - IT Review'!B25="","","Equals")</f>
        <v/>
      </c>
      <c r="N678" s="18" t="str">
        <f>IF('Step 14 - IT Review'!B25="","",'Step 14 - IT Review'!E25)</f>
        <v/>
      </c>
      <c r="O678" s="18" t="str">
        <f>IF('Step 14 - IT Review'!B25="","",IF('Step 14 - IT Review'!F25="","","Total"))</f>
        <v/>
      </c>
      <c r="P678" s="17" t="str">
        <f>IF('Step 14 - IT Review'!B25="","",IF('Step 14 - IT Review'!F25="","","&gt;="))</f>
        <v/>
      </c>
      <c r="Q678" s="18" t="str">
        <f>IF('Step 14 - IT Review'!B25="","",IF('Step 14 - IT Review'!F25="","",'Step 14 - IT Review'!F25))</f>
        <v/>
      </c>
      <c r="R678" s="18" t="str">
        <f>""</f>
        <v/>
      </c>
      <c r="S678" s="18" t="str">
        <f>""</f>
        <v/>
      </c>
      <c r="T678" s="18" t="str">
        <f>""</f>
        <v/>
      </c>
      <c r="U678" s="18" t="str">
        <f>IF('Step 14 - IT Review'!B25="","",'Step 14 - IT Review'!I25)</f>
        <v/>
      </c>
      <c r="V678" s="17" t="str">
        <f>IF('Step 14 - IT Review'!B25="","",'Step 14 - IT Review'!K25)</f>
        <v/>
      </c>
      <c r="W678" s="18" t="str">
        <f>IF('Step 14 - IT Review'!B25="","",'Step 14 - IT Review'!L25)</f>
        <v/>
      </c>
      <c r="X678" s="17" t="str">
        <f>IF('Step 14 - IT Review'!B25="","",'Step 14 - IT Review'!N25)</f>
        <v/>
      </c>
      <c r="Y678" s="18" t="str">
        <f>""</f>
        <v/>
      </c>
      <c r="Z678" s="18" t="str">
        <f>""</f>
        <v/>
      </c>
      <c r="AA678" s="18" t="str">
        <f>""</f>
        <v/>
      </c>
      <c r="AB678" s="18" t="str">
        <f>""</f>
        <v/>
      </c>
      <c r="AC678" s="18" t="str">
        <f>""</f>
        <v/>
      </c>
      <c r="AD678" s="18" t="str">
        <f>""</f>
        <v/>
      </c>
      <c r="AE678" s="18" t="str">
        <f>""</f>
        <v/>
      </c>
      <c r="AF678" s="18" t="str">
        <f>""</f>
        <v/>
      </c>
      <c r="AG678" s="18" t="str">
        <f>""</f>
        <v/>
      </c>
      <c r="AH678" s="18" t="str">
        <f>""</f>
        <v/>
      </c>
      <c r="AI678" s="18" t="str">
        <f>""</f>
        <v/>
      </c>
      <c r="AJ678" s="18" t="str">
        <f>""</f>
        <v/>
      </c>
      <c r="AK678" s="18" t="str">
        <f>""</f>
        <v/>
      </c>
      <c r="AL678" s="18" t="str">
        <f>""</f>
        <v/>
      </c>
      <c r="AM678" s="18" t="str">
        <f>""</f>
        <v/>
      </c>
    </row>
    <row r="679" spans="1:39" ht="15.75" customHeight="1" x14ac:dyDescent="0.25">
      <c r="A679" s="19" t="str">
        <f>IF('Step 14 - IT Review'!B26="","","Active")</f>
        <v/>
      </c>
      <c r="B679" s="20" t="str">
        <f>IF('Step 14 - IT Review'!B26="","",'Step 14 - IT Review'!B26)</f>
        <v/>
      </c>
      <c r="C679" s="20" t="str">
        <f>IF('Step 14 - IT Review'!B26="","",'Step 14 - IT Review'!B26)</f>
        <v/>
      </c>
      <c r="D679" s="19" t="str">
        <f>IF('Step 14 - IT Review'!B26="","",'Step 14 - IT Review'!G26)</f>
        <v/>
      </c>
      <c r="E679" s="19" t="str">
        <f>IF('Step 14 - IT Review'!B26="","",'Step 14 - IT Review'!H26)</f>
        <v/>
      </c>
      <c r="F679" s="20" t="str">
        <f>IF('Step 14 - IT Review'!B26="","",IF('Step 14 - IT Review'!C26="","","Fund Code"))</f>
        <v/>
      </c>
      <c r="G679" s="19" t="str">
        <f>IF('Step 14 - IT Review'!B26="","",IF('Step 14 - IT Review'!C26="","","Equals"))</f>
        <v/>
      </c>
      <c r="H679" s="20" t="str">
        <f>IF('Step 14 - IT Review'!B26="","",IF('Step 14 - IT Review'!C26="","",'Step 14 - IT Review'!C26))</f>
        <v/>
      </c>
      <c r="I679" s="20" t="str">
        <f>IF('Step 14 - IT Review'!B26="","","Organization Code")</f>
        <v/>
      </c>
      <c r="J679" s="19" t="str">
        <f>IF('Step 14 - IT Review'!B26="","","Equals")</f>
        <v/>
      </c>
      <c r="K679" s="20" t="str">
        <f>IF('Step 14 - IT Review'!B26="","",'Step 14 - IT Review'!D26)</f>
        <v/>
      </c>
      <c r="L679" s="20" t="str">
        <f>IF('Step 14 - IT Review'!B26="","","Other Criteria")</f>
        <v/>
      </c>
      <c r="M679" s="19" t="str">
        <f>IF('Step 14 - IT Review'!B26="","","Equals")</f>
        <v/>
      </c>
      <c r="N679" s="20" t="str">
        <f>IF('Step 14 - IT Review'!B26="","",'Step 14 - IT Review'!E26)</f>
        <v/>
      </c>
      <c r="O679" s="20" t="str">
        <f>IF('Step 14 - IT Review'!B26="","",IF('Step 14 - IT Review'!F26="","","Total"))</f>
        <v/>
      </c>
      <c r="P679" s="19" t="str">
        <f>IF('Step 14 - IT Review'!B26="","",IF('Step 14 - IT Review'!F26="","","&gt;="))</f>
        <v/>
      </c>
      <c r="Q679" s="20" t="str">
        <f>IF('Step 14 - IT Review'!B26="","",IF('Step 14 - IT Review'!F26="","",'Step 14 - IT Review'!F26))</f>
        <v/>
      </c>
      <c r="R679" s="20" t="str">
        <f>""</f>
        <v/>
      </c>
      <c r="S679" s="20" t="str">
        <f>""</f>
        <v/>
      </c>
      <c r="T679" s="20" t="str">
        <f>""</f>
        <v/>
      </c>
      <c r="U679" s="20" t="str">
        <f>IF('Step 14 - IT Review'!B26="","",'Step 14 - IT Review'!I26)</f>
        <v/>
      </c>
      <c r="V679" s="19" t="str">
        <f>IF('Step 14 - IT Review'!B26="","",'Step 14 - IT Review'!K26)</f>
        <v/>
      </c>
      <c r="W679" s="20" t="str">
        <f>IF('Step 14 - IT Review'!B26="","",'Step 14 - IT Review'!L26)</f>
        <v/>
      </c>
      <c r="X679" s="19" t="str">
        <f>IF('Step 14 - IT Review'!B26="","",'Step 14 - IT Review'!N26)</f>
        <v/>
      </c>
      <c r="Y679" s="20" t="str">
        <f>""</f>
        <v/>
      </c>
      <c r="Z679" s="20" t="str">
        <f>""</f>
        <v/>
      </c>
      <c r="AA679" s="20" t="str">
        <f>""</f>
        <v/>
      </c>
      <c r="AB679" s="20" t="str">
        <f>""</f>
        <v/>
      </c>
      <c r="AC679" s="20" t="str">
        <f>""</f>
        <v/>
      </c>
      <c r="AD679" s="20" t="str">
        <f>""</f>
        <v/>
      </c>
      <c r="AE679" s="20" t="str">
        <f>""</f>
        <v/>
      </c>
      <c r="AF679" s="20" t="str">
        <f>""</f>
        <v/>
      </c>
      <c r="AG679" s="20" t="str">
        <f>""</f>
        <v/>
      </c>
      <c r="AH679" s="20" t="str">
        <f>""</f>
        <v/>
      </c>
      <c r="AI679" s="20" t="str">
        <f>""</f>
        <v/>
      </c>
      <c r="AJ679" s="20" t="str">
        <f>""</f>
        <v/>
      </c>
      <c r="AK679" s="20" t="str">
        <f>""</f>
        <v/>
      </c>
      <c r="AL679" s="20" t="str">
        <f>""</f>
        <v/>
      </c>
      <c r="AM679" s="20" t="str">
        <f>""</f>
        <v/>
      </c>
    </row>
    <row r="680" spans="1:39" ht="15.75" customHeight="1" x14ac:dyDescent="0.25">
      <c r="A680" s="17" t="str">
        <f>IF('Step 14 - IT Review'!B27="","","Active")</f>
        <v/>
      </c>
      <c r="B680" s="18" t="str">
        <f>IF('Step 14 - IT Review'!B27="","",'Step 14 - IT Review'!B27)</f>
        <v/>
      </c>
      <c r="C680" s="18" t="str">
        <f>IF('Step 14 - IT Review'!B27="","",'Step 14 - IT Review'!B27)</f>
        <v/>
      </c>
      <c r="D680" s="17" t="str">
        <f>IF('Step 14 - IT Review'!B27="","",'Step 14 - IT Review'!G27)</f>
        <v/>
      </c>
      <c r="E680" s="17" t="str">
        <f>IF('Step 14 - IT Review'!B27="","",'Step 14 - IT Review'!H27)</f>
        <v/>
      </c>
      <c r="F680" s="18" t="str">
        <f>IF('Step 14 - IT Review'!B27="","",IF('Step 14 - IT Review'!C27="","","Fund Code"))</f>
        <v/>
      </c>
      <c r="G680" s="17" t="str">
        <f>IF('Step 14 - IT Review'!B27="","",IF('Step 14 - IT Review'!C27="","","Equals"))</f>
        <v/>
      </c>
      <c r="H680" s="18" t="str">
        <f>IF('Step 14 - IT Review'!B27="","",IF('Step 14 - IT Review'!C27="","",'Step 14 - IT Review'!C27))</f>
        <v/>
      </c>
      <c r="I680" s="18" t="str">
        <f>IF('Step 14 - IT Review'!B27="","","Organization Code")</f>
        <v/>
      </c>
      <c r="J680" s="17" t="str">
        <f>IF('Step 14 - IT Review'!B27="","","Equals")</f>
        <v/>
      </c>
      <c r="K680" s="18" t="str">
        <f>IF('Step 14 - IT Review'!B27="","",'Step 14 - IT Review'!D27)</f>
        <v/>
      </c>
      <c r="L680" s="18" t="str">
        <f>IF('Step 14 - IT Review'!B27="","","Other Criteria")</f>
        <v/>
      </c>
      <c r="M680" s="17" t="str">
        <f>IF('Step 14 - IT Review'!B27="","","Equals")</f>
        <v/>
      </c>
      <c r="N680" s="18" t="str">
        <f>IF('Step 14 - IT Review'!B27="","",'Step 14 - IT Review'!E27)</f>
        <v/>
      </c>
      <c r="O680" s="18" t="str">
        <f>IF('Step 14 - IT Review'!B27="","",IF('Step 14 - IT Review'!F27="","","Total"))</f>
        <v/>
      </c>
      <c r="P680" s="17" t="str">
        <f>IF('Step 14 - IT Review'!B27="","",IF('Step 14 - IT Review'!F27="","","&gt;="))</f>
        <v/>
      </c>
      <c r="Q680" s="18" t="str">
        <f>IF('Step 14 - IT Review'!B27="","",IF('Step 14 - IT Review'!F27="","",'Step 14 - IT Review'!F27))</f>
        <v/>
      </c>
      <c r="R680" s="18" t="str">
        <f>""</f>
        <v/>
      </c>
      <c r="S680" s="18" t="str">
        <f>""</f>
        <v/>
      </c>
      <c r="T680" s="18" t="str">
        <f>""</f>
        <v/>
      </c>
      <c r="U680" s="18" t="str">
        <f>IF('Step 14 - IT Review'!B27="","",'Step 14 - IT Review'!I27)</f>
        <v/>
      </c>
      <c r="V680" s="17" t="str">
        <f>IF('Step 14 - IT Review'!B27="","",'Step 14 - IT Review'!K27)</f>
        <v/>
      </c>
      <c r="W680" s="18" t="str">
        <f>IF('Step 14 - IT Review'!B27="","",'Step 14 - IT Review'!L27)</f>
        <v/>
      </c>
      <c r="X680" s="17" t="str">
        <f>IF('Step 14 - IT Review'!B27="","",'Step 14 - IT Review'!N27)</f>
        <v/>
      </c>
      <c r="Y680" s="18" t="str">
        <f>""</f>
        <v/>
      </c>
      <c r="Z680" s="18" t="str">
        <f>""</f>
        <v/>
      </c>
      <c r="AA680" s="18" t="str">
        <f>""</f>
        <v/>
      </c>
      <c r="AB680" s="18" t="str">
        <f>""</f>
        <v/>
      </c>
      <c r="AC680" s="18" t="str">
        <f>""</f>
        <v/>
      </c>
      <c r="AD680" s="18" t="str">
        <f>""</f>
        <v/>
      </c>
      <c r="AE680" s="18" t="str">
        <f>""</f>
        <v/>
      </c>
      <c r="AF680" s="18" t="str">
        <f>""</f>
        <v/>
      </c>
      <c r="AG680" s="18" t="str">
        <f>""</f>
        <v/>
      </c>
      <c r="AH680" s="18" t="str">
        <f>""</f>
        <v/>
      </c>
      <c r="AI680" s="18" t="str">
        <f>""</f>
        <v/>
      </c>
      <c r="AJ680" s="18" t="str">
        <f>""</f>
        <v/>
      </c>
      <c r="AK680" s="18" t="str">
        <f>""</f>
        <v/>
      </c>
      <c r="AL680" s="18" t="str">
        <f>""</f>
        <v/>
      </c>
      <c r="AM680" s="18" t="str">
        <f>""</f>
        <v/>
      </c>
    </row>
    <row r="681" spans="1:39" ht="15.75" customHeight="1" x14ac:dyDescent="0.25">
      <c r="A681" s="19" t="str">
        <f>IF('Step 14 - IT Review'!B28="","","Active")</f>
        <v/>
      </c>
      <c r="B681" s="20" t="str">
        <f>IF('Step 14 - IT Review'!B28="","",'Step 14 - IT Review'!B28)</f>
        <v/>
      </c>
      <c r="C681" s="20" t="str">
        <f>IF('Step 14 - IT Review'!B28="","",'Step 14 - IT Review'!B28)</f>
        <v/>
      </c>
      <c r="D681" s="19" t="str">
        <f>IF('Step 14 - IT Review'!B28="","",'Step 14 - IT Review'!G28)</f>
        <v/>
      </c>
      <c r="E681" s="19" t="str">
        <f>IF('Step 14 - IT Review'!B28="","",'Step 14 - IT Review'!H28)</f>
        <v/>
      </c>
      <c r="F681" s="20" t="str">
        <f>IF('Step 14 - IT Review'!B28="","",IF('Step 14 - IT Review'!C28="","","Fund Code"))</f>
        <v/>
      </c>
      <c r="G681" s="19" t="str">
        <f>IF('Step 14 - IT Review'!B28="","",IF('Step 14 - IT Review'!C28="","","Equals"))</f>
        <v/>
      </c>
      <c r="H681" s="20" t="str">
        <f>IF('Step 14 - IT Review'!B28="","",IF('Step 14 - IT Review'!C28="","",'Step 14 - IT Review'!C28))</f>
        <v/>
      </c>
      <c r="I681" s="20" t="str">
        <f>IF('Step 14 - IT Review'!B28="","","Organization Code")</f>
        <v/>
      </c>
      <c r="J681" s="19" t="str">
        <f>IF('Step 14 - IT Review'!B28="","","Equals")</f>
        <v/>
      </c>
      <c r="K681" s="20" t="str">
        <f>IF('Step 14 - IT Review'!B28="","",'Step 14 - IT Review'!D28)</f>
        <v/>
      </c>
      <c r="L681" s="20" t="str">
        <f>IF('Step 14 - IT Review'!B28="","","Other Criteria")</f>
        <v/>
      </c>
      <c r="M681" s="19" t="str">
        <f>IF('Step 14 - IT Review'!B28="","","Equals")</f>
        <v/>
      </c>
      <c r="N681" s="20" t="str">
        <f>IF('Step 14 - IT Review'!B28="","",'Step 14 - IT Review'!E28)</f>
        <v/>
      </c>
      <c r="O681" s="20" t="str">
        <f>IF('Step 14 - IT Review'!B28="","",IF('Step 14 - IT Review'!F28="","","Total"))</f>
        <v/>
      </c>
      <c r="P681" s="19" t="str">
        <f>IF('Step 14 - IT Review'!B28="","",IF('Step 14 - IT Review'!F28="","","&gt;="))</f>
        <v/>
      </c>
      <c r="Q681" s="20" t="str">
        <f>IF('Step 14 - IT Review'!B28="","",IF('Step 14 - IT Review'!F28="","",'Step 14 - IT Review'!F28))</f>
        <v/>
      </c>
      <c r="R681" s="20" t="str">
        <f>""</f>
        <v/>
      </c>
      <c r="S681" s="20" t="str">
        <f>""</f>
        <v/>
      </c>
      <c r="T681" s="20" t="str">
        <f>""</f>
        <v/>
      </c>
      <c r="U681" s="20" t="str">
        <f>IF('Step 14 - IT Review'!B28="","",'Step 14 - IT Review'!I28)</f>
        <v/>
      </c>
      <c r="V681" s="19" t="str">
        <f>IF('Step 14 - IT Review'!B28="","",'Step 14 - IT Review'!K28)</f>
        <v/>
      </c>
      <c r="W681" s="20" t="str">
        <f>IF('Step 14 - IT Review'!B28="","",'Step 14 - IT Review'!L28)</f>
        <v/>
      </c>
      <c r="X681" s="19" t="str">
        <f>IF('Step 14 - IT Review'!B28="","",'Step 14 - IT Review'!N28)</f>
        <v/>
      </c>
      <c r="Y681" s="20" t="str">
        <f>""</f>
        <v/>
      </c>
      <c r="Z681" s="20" t="str">
        <f>""</f>
        <v/>
      </c>
      <c r="AA681" s="20" t="str">
        <f>""</f>
        <v/>
      </c>
      <c r="AB681" s="20" t="str">
        <f>""</f>
        <v/>
      </c>
      <c r="AC681" s="20" t="str">
        <f>""</f>
        <v/>
      </c>
      <c r="AD681" s="20" t="str">
        <f>""</f>
        <v/>
      </c>
      <c r="AE681" s="20" t="str">
        <f>""</f>
        <v/>
      </c>
      <c r="AF681" s="20" t="str">
        <f>""</f>
        <v/>
      </c>
      <c r="AG681" s="20" t="str">
        <f>""</f>
        <v/>
      </c>
      <c r="AH681" s="20" t="str">
        <f>""</f>
        <v/>
      </c>
      <c r="AI681" s="20" t="str">
        <f>""</f>
        <v/>
      </c>
      <c r="AJ681" s="20" t="str">
        <f>""</f>
        <v/>
      </c>
      <c r="AK681" s="20" t="str">
        <f>""</f>
        <v/>
      </c>
      <c r="AL681" s="20" t="str">
        <f>""</f>
        <v/>
      </c>
      <c r="AM681" s="20" t="str">
        <f>""</f>
        <v/>
      </c>
    </row>
    <row r="682" spans="1:39" ht="15.75" customHeight="1" x14ac:dyDescent="0.25">
      <c r="A682" s="17" t="str">
        <f>IF('Step 14 - IT Review'!B29="","","Active")</f>
        <v/>
      </c>
      <c r="B682" s="18" t="str">
        <f>IF('Step 14 - IT Review'!B29="","",'Step 14 - IT Review'!B29)</f>
        <v/>
      </c>
      <c r="C682" s="18" t="str">
        <f>IF('Step 14 - IT Review'!B29="","",'Step 14 - IT Review'!B29)</f>
        <v/>
      </c>
      <c r="D682" s="17" t="str">
        <f>IF('Step 14 - IT Review'!B29="","",'Step 14 - IT Review'!G29)</f>
        <v/>
      </c>
      <c r="E682" s="17" t="str">
        <f>IF('Step 14 - IT Review'!B29="","",'Step 14 - IT Review'!H29)</f>
        <v/>
      </c>
      <c r="F682" s="18" t="str">
        <f>IF('Step 14 - IT Review'!B29="","",IF('Step 14 - IT Review'!C29="","","Fund Code"))</f>
        <v/>
      </c>
      <c r="G682" s="17" t="str">
        <f>IF('Step 14 - IT Review'!B29="","",IF('Step 14 - IT Review'!C29="","","Equals"))</f>
        <v/>
      </c>
      <c r="H682" s="18" t="str">
        <f>IF('Step 14 - IT Review'!B29="","",IF('Step 14 - IT Review'!C29="","",'Step 14 - IT Review'!C29))</f>
        <v/>
      </c>
      <c r="I682" s="18" t="str">
        <f>IF('Step 14 - IT Review'!B29="","","Organization Code")</f>
        <v/>
      </c>
      <c r="J682" s="17" t="str">
        <f>IF('Step 14 - IT Review'!B29="","","Equals")</f>
        <v/>
      </c>
      <c r="K682" s="18" t="str">
        <f>IF('Step 14 - IT Review'!B29="","",'Step 14 - IT Review'!D29)</f>
        <v/>
      </c>
      <c r="L682" s="18" t="str">
        <f>IF('Step 14 - IT Review'!B29="","","Other Criteria")</f>
        <v/>
      </c>
      <c r="M682" s="17" t="str">
        <f>IF('Step 14 - IT Review'!B29="","","Equals")</f>
        <v/>
      </c>
      <c r="N682" s="18" t="str">
        <f>IF('Step 14 - IT Review'!B29="","",'Step 14 - IT Review'!E29)</f>
        <v/>
      </c>
      <c r="O682" s="18" t="str">
        <f>IF('Step 14 - IT Review'!B29="","",IF('Step 14 - IT Review'!F29="","","Total"))</f>
        <v/>
      </c>
      <c r="P682" s="17" t="str">
        <f>IF('Step 14 - IT Review'!B29="","",IF('Step 14 - IT Review'!F29="","","&gt;="))</f>
        <v/>
      </c>
      <c r="Q682" s="18" t="str">
        <f>IF('Step 14 - IT Review'!B29="","",IF('Step 14 - IT Review'!F29="","",'Step 14 - IT Review'!F29))</f>
        <v/>
      </c>
      <c r="R682" s="18" t="str">
        <f>""</f>
        <v/>
      </c>
      <c r="S682" s="18" t="str">
        <f>""</f>
        <v/>
      </c>
      <c r="T682" s="18" t="str">
        <f>""</f>
        <v/>
      </c>
      <c r="U682" s="18" t="str">
        <f>IF('Step 14 - IT Review'!B29="","",'Step 14 - IT Review'!I29)</f>
        <v/>
      </c>
      <c r="V682" s="17" t="str">
        <f>IF('Step 14 - IT Review'!B29="","",'Step 14 - IT Review'!K29)</f>
        <v/>
      </c>
      <c r="W682" s="18" t="str">
        <f>IF('Step 14 - IT Review'!B29="","",'Step 14 - IT Review'!L29)</f>
        <v/>
      </c>
      <c r="X682" s="17" t="str">
        <f>IF('Step 14 - IT Review'!B29="","",'Step 14 - IT Review'!N29)</f>
        <v/>
      </c>
      <c r="Y682" s="18" t="str">
        <f>""</f>
        <v/>
      </c>
      <c r="Z682" s="18" t="str">
        <f>""</f>
        <v/>
      </c>
      <c r="AA682" s="18" t="str">
        <f>""</f>
        <v/>
      </c>
      <c r="AB682" s="18" t="str">
        <f>""</f>
        <v/>
      </c>
      <c r="AC682" s="18" t="str">
        <f>""</f>
        <v/>
      </c>
      <c r="AD682" s="18" t="str">
        <f>""</f>
        <v/>
      </c>
      <c r="AE682" s="18" t="str">
        <f>""</f>
        <v/>
      </c>
      <c r="AF682" s="18" t="str">
        <f>""</f>
        <v/>
      </c>
      <c r="AG682" s="18" t="str">
        <f>""</f>
        <v/>
      </c>
      <c r="AH682" s="18" t="str">
        <f>""</f>
        <v/>
      </c>
      <c r="AI682" s="18" t="str">
        <f>""</f>
        <v/>
      </c>
      <c r="AJ682" s="18" t="str">
        <f>""</f>
        <v/>
      </c>
      <c r="AK682" s="18" t="str">
        <f>""</f>
        <v/>
      </c>
      <c r="AL682" s="18" t="str">
        <f>""</f>
        <v/>
      </c>
      <c r="AM682" s="18" t="str">
        <f>""</f>
        <v/>
      </c>
    </row>
    <row r="683" spans="1:39" ht="15.75" customHeight="1" x14ac:dyDescent="0.25">
      <c r="A683" s="19" t="str">
        <f>IF('Step 14 - IT Review'!B30="","","Active")</f>
        <v/>
      </c>
      <c r="B683" s="20" t="str">
        <f>IF('Step 14 - IT Review'!B30="","",'Step 14 - IT Review'!B30)</f>
        <v/>
      </c>
      <c r="C683" s="20" t="str">
        <f>IF('Step 14 - IT Review'!B30="","",'Step 14 - IT Review'!B30)</f>
        <v/>
      </c>
      <c r="D683" s="19" t="str">
        <f>IF('Step 14 - IT Review'!B30="","",'Step 14 - IT Review'!G30)</f>
        <v/>
      </c>
      <c r="E683" s="19" t="str">
        <f>IF('Step 14 - IT Review'!B30="","",'Step 14 - IT Review'!H30)</f>
        <v/>
      </c>
      <c r="F683" s="20" t="str">
        <f>IF('Step 14 - IT Review'!B30="","",IF('Step 14 - IT Review'!C30="","","Fund Code"))</f>
        <v/>
      </c>
      <c r="G683" s="19" t="str">
        <f>IF('Step 14 - IT Review'!B30="","",IF('Step 14 - IT Review'!C30="","","Equals"))</f>
        <v/>
      </c>
      <c r="H683" s="20" t="str">
        <f>IF('Step 14 - IT Review'!B30="","",IF('Step 14 - IT Review'!C30="","",'Step 14 - IT Review'!C30))</f>
        <v/>
      </c>
      <c r="I683" s="20" t="str">
        <f>IF('Step 14 - IT Review'!B30="","","Organization Code")</f>
        <v/>
      </c>
      <c r="J683" s="19" t="str">
        <f>IF('Step 14 - IT Review'!B30="","","Equals")</f>
        <v/>
      </c>
      <c r="K683" s="20" t="str">
        <f>IF('Step 14 - IT Review'!B30="","",'Step 14 - IT Review'!D30)</f>
        <v/>
      </c>
      <c r="L683" s="20" t="str">
        <f>IF('Step 14 - IT Review'!B30="","","Other Criteria")</f>
        <v/>
      </c>
      <c r="M683" s="19" t="str">
        <f>IF('Step 14 - IT Review'!B30="","","Equals")</f>
        <v/>
      </c>
      <c r="N683" s="20" t="str">
        <f>IF('Step 14 - IT Review'!B30="","",'Step 14 - IT Review'!E30)</f>
        <v/>
      </c>
      <c r="O683" s="20" t="str">
        <f>IF('Step 14 - IT Review'!B30="","",IF('Step 14 - IT Review'!F30="","","Total"))</f>
        <v/>
      </c>
      <c r="P683" s="19" t="str">
        <f>IF('Step 14 - IT Review'!B30="","",IF('Step 14 - IT Review'!F30="","","&gt;="))</f>
        <v/>
      </c>
      <c r="Q683" s="20" t="str">
        <f>IF('Step 14 - IT Review'!B30="","",IF('Step 14 - IT Review'!F30="","",'Step 14 - IT Review'!F30))</f>
        <v/>
      </c>
      <c r="R683" s="20" t="str">
        <f>""</f>
        <v/>
      </c>
      <c r="S683" s="20" t="str">
        <f>""</f>
        <v/>
      </c>
      <c r="T683" s="20" t="str">
        <f>""</f>
        <v/>
      </c>
      <c r="U683" s="20" t="str">
        <f>IF('Step 14 - IT Review'!B30="","",'Step 14 - IT Review'!I30)</f>
        <v/>
      </c>
      <c r="V683" s="19" t="str">
        <f>IF('Step 14 - IT Review'!B30="","",'Step 14 - IT Review'!K30)</f>
        <v/>
      </c>
      <c r="W683" s="20" t="str">
        <f>IF('Step 14 - IT Review'!B30="","",'Step 14 - IT Review'!L30)</f>
        <v/>
      </c>
      <c r="X683" s="19" t="str">
        <f>IF('Step 14 - IT Review'!B30="","",'Step 14 - IT Review'!N30)</f>
        <v/>
      </c>
      <c r="Y683" s="20" t="str">
        <f>""</f>
        <v/>
      </c>
      <c r="Z683" s="20" t="str">
        <f>""</f>
        <v/>
      </c>
      <c r="AA683" s="20" t="str">
        <f>""</f>
        <v/>
      </c>
      <c r="AB683" s="20" t="str">
        <f>""</f>
        <v/>
      </c>
      <c r="AC683" s="20" t="str">
        <f>""</f>
        <v/>
      </c>
      <c r="AD683" s="20" t="str">
        <f>""</f>
        <v/>
      </c>
      <c r="AE683" s="20" t="str">
        <f>""</f>
        <v/>
      </c>
      <c r="AF683" s="20" t="str">
        <f>""</f>
        <v/>
      </c>
      <c r="AG683" s="20" t="str">
        <f>""</f>
        <v/>
      </c>
      <c r="AH683" s="20" t="str">
        <f>""</f>
        <v/>
      </c>
      <c r="AI683" s="20" t="str">
        <f>""</f>
        <v/>
      </c>
      <c r="AJ683" s="20" t="str">
        <f>""</f>
        <v/>
      </c>
      <c r="AK683" s="20" t="str">
        <f>""</f>
        <v/>
      </c>
      <c r="AL683" s="20" t="str">
        <f>""</f>
        <v/>
      </c>
      <c r="AM683" s="20" t="str">
        <f>""</f>
        <v/>
      </c>
    </row>
    <row r="684" spans="1:39" ht="15.75" customHeight="1" x14ac:dyDescent="0.25">
      <c r="A684" s="17" t="str">
        <f>IF('Step 14 - IT Review'!B31="","","Active")</f>
        <v/>
      </c>
      <c r="B684" s="18" t="str">
        <f>IF('Step 14 - IT Review'!B31="","",'Step 14 - IT Review'!B31)</f>
        <v/>
      </c>
      <c r="C684" s="18" t="str">
        <f>IF('Step 14 - IT Review'!B31="","",'Step 14 - IT Review'!B31)</f>
        <v/>
      </c>
      <c r="D684" s="17" t="str">
        <f>IF('Step 14 - IT Review'!B31="","",'Step 14 - IT Review'!G31)</f>
        <v/>
      </c>
      <c r="E684" s="17" t="str">
        <f>IF('Step 14 - IT Review'!B31="","",'Step 14 - IT Review'!H31)</f>
        <v/>
      </c>
      <c r="F684" s="18" t="str">
        <f>IF('Step 14 - IT Review'!B31="","",IF('Step 14 - IT Review'!C31="","","Fund Code"))</f>
        <v/>
      </c>
      <c r="G684" s="17" t="str">
        <f>IF('Step 14 - IT Review'!B31="","",IF('Step 14 - IT Review'!C31="","","Equals"))</f>
        <v/>
      </c>
      <c r="H684" s="18" t="str">
        <f>IF('Step 14 - IT Review'!B31="","",IF('Step 14 - IT Review'!C31="","",'Step 14 - IT Review'!C31))</f>
        <v/>
      </c>
      <c r="I684" s="18" t="str">
        <f>IF('Step 14 - IT Review'!B31="","","Organization Code")</f>
        <v/>
      </c>
      <c r="J684" s="17" t="str">
        <f>IF('Step 14 - IT Review'!B31="","","Equals")</f>
        <v/>
      </c>
      <c r="K684" s="18" t="str">
        <f>IF('Step 14 - IT Review'!B31="","",'Step 14 - IT Review'!D31)</f>
        <v/>
      </c>
      <c r="L684" s="18" t="str">
        <f>IF('Step 14 - IT Review'!B31="","","Other Criteria")</f>
        <v/>
      </c>
      <c r="M684" s="17" t="str">
        <f>IF('Step 14 - IT Review'!B31="","","Equals")</f>
        <v/>
      </c>
      <c r="N684" s="18" t="str">
        <f>IF('Step 14 - IT Review'!B31="","",'Step 14 - IT Review'!E31)</f>
        <v/>
      </c>
      <c r="O684" s="18" t="str">
        <f>IF('Step 14 - IT Review'!B31="","",IF('Step 14 - IT Review'!F31="","","Total"))</f>
        <v/>
      </c>
      <c r="P684" s="17" t="str">
        <f>IF('Step 14 - IT Review'!B31="","",IF('Step 14 - IT Review'!F31="","","&gt;="))</f>
        <v/>
      </c>
      <c r="Q684" s="18" t="str">
        <f>IF('Step 14 - IT Review'!B31="","",IF('Step 14 - IT Review'!F31="","",'Step 14 - IT Review'!F31))</f>
        <v/>
      </c>
      <c r="R684" s="18" t="str">
        <f>""</f>
        <v/>
      </c>
      <c r="S684" s="18" t="str">
        <f>""</f>
        <v/>
      </c>
      <c r="T684" s="18" t="str">
        <f>""</f>
        <v/>
      </c>
      <c r="U684" s="18" t="str">
        <f>IF('Step 14 - IT Review'!B31="","",'Step 14 - IT Review'!I31)</f>
        <v/>
      </c>
      <c r="V684" s="17" t="str">
        <f>IF('Step 14 - IT Review'!B31="","",'Step 14 - IT Review'!K31)</f>
        <v/>
      </c>
      <c r="W684" s="18" t="str">
        <f>IF('Step 14 - IT Review'!B31="","",'Step 14 - IT Review'!L31)</f>
        <v/>
      </c>
      <c r="X684" s="17" t="str">
        <f>IF('Step 14 - IT Review'!B31="","",'Step 14 - IT Review'!N31)</f>
        <v/>
      </c>
      <c r="Y684" s="18" t="str">
        <f>""</f>
        <v/>
      </c>
      <c r="Z684" s="18" t="str">
        <f>""</f>
        <v/>
      </c>
      <c r="AA684" s="18" t="str">
        <f>""</f>
        <v/>
      </c>
      <c r="AB684" s="18" t="str">
        <f>""</f>
        <v/>
      </c>
      <c r="AC684" s="18" t="str">
        <f>""</f>
        <v/>
      </c>
      <c r="AD684" s="18" t="str">
        <f>""</f>
        <v/>
      </c>
      <c r="AE684" s="18" t="str">
        <f>""</f>
        <v/>
      </c>
      <c r="AF684" s="18" t="str">
        <f>""</f>
        <v/>
      </c>
      <c r="AG684" s="18" t="str">
        <f>""</f>
        <v/>
      </c>
      <c r="AH684" s="18" t="str">
        <f>""</f>
        <v/>
      </c>
      <c r="AI684" s="18" t="str">
        <f>""</f>
        <v/>
      </c>
      <c r="AJ684" s="18" t="str">
        <f>""</f>
        <v/>
      </c>
      <c r="AK684" s="18" t="str">
        <f>""</f>
        <v/>
      </c>
      <c r="AL684" s="18" t="str">
        <f>""</f>
        <v/>
      </c>
      <c r="AM684" s="18" t="str">
        <f>""</f>
        <v/>
      </c>
    </row>
    <row r="685" spans="1:39" ht="15.75" customHeight="1" x14ac:dyDescent="0.25">
      <c r="A685" s="19" t="str">
        <f>IF('Step 14 - IT Review'!B32="","","Active")</f>
        <v/>
      </c>
      <c r="B685" s="20" t="str">
        <f>IF('Step 14 - IT Review'!B32="","",'Step 14 - IT Review'!B32)</f>
        <v/>
      </c>
      <c r="C685" s="20" t="str">
        <f>IF('Step 14 - IT Review'!B32="","",'Step 14 - IT Review'!B32)</f>
        <v/>
      </c>
      <c r="D685" s="19" t="str">
        <f>IF('Step 14 - IT Review'!B32="","",'Step 14 - IT Review'!G32)</f>
        <v/>
      </c>
      <c r="E685" s="19" t="str">
        <f>IF('Step 14 - IT Review'!B32="","",'Step 14 - IT Review'!H32)</f>
        <v/>
      </c>
      <c r="F685" s="20" t="str">
        <f>IF('Step 14 - IT Review'!B32="","",IF('Step 14 - IT Review'!C32="","","Fund Code"))</f>
        <v/>
      </c>
      <c r="G685" s="19" t="str">
        <f>IF('Step 14 - IT Review'!B32="","",IF('Step 14 - IT Review'!C32="","","Equals"))</f>
        <v/>
      </c>
      <c r="H685" s="20" t="str">
        <f>IF('Step 14 - IT Review'!B32="","",IF('Step 14 - IT Review'!C32="","",'Step 14 - IT Review'!C32))</f>
        <v/>
      </c>
      <c r="I685" s="20" t="str">
        <f>IF('Step 14 - IT Review'!B32="","","Organization Code")</f>
        <v/>
      </c>
      <c r="J685" s="19" t="str">
        <f>IF('Step 14 - IT Review'!B32="","","Equals")</f>
        <v/>
      </c>
      <c r="K685" s="20" t="str">
        <f>IF('Step 14 - IT Review'!B32="","",'Step 14 - IT Review'!D32)</f>
        <v/>
      </c>
      <c r="L685" s="20" t="str">
        <f>IF('Step 14 - IT Review'!B32="","","Other Criteria")</f>
        <v/>
      </c>
      <c r="M685" s="19" t="str">
        <f>IF('Step 14 - IT Review'!B32="","","Equals")</f>
        <v/>
      </c>
      <c r="N685" s="20" t="str">
        <f>IF('Step 14 - IT Review'!B32="","",'Step 14 - IT Review'!E32)</f>
        <v/>
      </c>
      <c r="O685" s="20" t="str">
        <f>IF('Step 14 - IT Review'!B32="","",IF('Step 14 - IT Review'!F32="","","Total"))</f>
        <v/>
      </c>
      <c r="P685" s="19" t="str">
        <f>IF('Step 14 - IT Review'!B32="","",IF('Step 14 - IT Review'!F32="","","&gt;="))</f>
        <v/>
      </c>
      <c r="Q685" s="20" t="str">
        <f>IF('Step 14 - IT Review'!B32="","",IF('Step 14 - IT Review'!F32="","",'Step 14 - IT Review'!F32))</f>
        <v/>
      </c>
      <c r="R685" s="20" t="str">
        <f>""</f>
        <v/>
      </c>
      <c r="S685" s="20" t="str">
        <f>""</f>
        <v/>
      </c>
      <c r="T685" s="20" t="str">
        <f>""</f>
        <v/>
      </c>
      <c r="U685" s="20" t="str">
        <f>IF('Step 14 - IT Review'!B32="","",'Step 14 - IT Review'!I32)</f>
        <v/>
      </c>
      <c r="V685" s="19" t="str">
        <f>IF('Step 14 - IT Review'!B32="","",'Step 14 - IT Review'!K32)</f>
        <v/>
      </c>
      <c r="W685" s="20" t="str">
        <f>IF('Step 14 - IT Review'!B32="","",'Step 14 - IT Review'!L32)</f>
        <v/>
      </c>
      <c r="X685" s="19" t="str">
        <f>IF('Step 14 - IT Review'!B32="","",'Step 14 - IT Review'!N32)</f>
        <v/>
      </c>
      <c r="Y685" s="20" t="str">
        <f>""</f>
        <v/>
      </c>
      <c r="Z685" s="20" t="str">
        <f>""</f>
        <v/>
      </c>
      <c r="AA685" s="20" t="str">
        <f>""</f>
        <v/>
      </c>
      <c r="AB685" s="20" t="str">
        <f>""</f>
        <v/>
      </c>
      <c r="AC685" s="20" t="str">
        <f>""</f>
        <v/>
      </c>
      <c r="AD685" s="20" t="str">
        <f>""</f>
        <v/>
      </c>
      <c r="AE685" s="20" t="str">
        <f>""</f>
        <v/>
      </c>
      <c r="AF685" s="20" t="str">
        <f>""</f>
        <v/>
      </c>
      <c r="AG685" s="20" t="str">
        <f>""</f>
        <v/>
      </c>
      <c r="AH685" s="20" t="str">
        <f>""</f>
        <v/>
      </c>
      <c r="AI685" s="20" t="str">
        <f>""</f>
        <v/>
      </c>
      <c r="AJ685" s="20" t="str">
        <f>""</f>
        <v/>
      </c>
      <c r="AK685" s="20" t="str">
        <f>""</f>
        <v/>
      </c>
      <c r="AL685" s="20" t="str">
        <f>""</f>
        <v/>
      </c>
      <c r="AM685" s="20" t="str">
        <f>""</f>
        <v/>
      </c>
    </row>
    <row r="686" spans="1:39" ht="15.75" customHeight="1" x14ac:dyDescent="0.25">
      <c r="A686" s="17" t="str">
        <f>IF('Step 14 - IT Review'!B33="","","Active")</f>
        <v/>
      </c>
      <c r="B686" s="18" t="str">
        <f>IF('Step 14 - IT Review'!B33="","",'Step 14 - IT Review'!B33)</f>
        <v/>
      </c>
      <c r="C686" s="18" t="str">
        <f>IF('Step 14 - IT Review'!B33="","",'Step 14 - IT Review'!B33)</f>
        <v/>
      </c>
      <c r="D686" s="17" t="str">
        <f>IF('Step 14 - IT Review'!B33="","",'Step 14 - IT Review'!G33)</f>
        <v/>
      </c>
      <c r="E686" s="17" t="str">
        <f>IF('Step 14 - IT Review'!B33="","",'Step 14 - IT Review'!H33)</f>
        <v/>
      </c>
      <c r="F686" s="18" t="str">
        <f>IF('Step 14 - IT Review'!B33="","",IF('Step 14 - IT Review'!C33="","","Fund Code"))</f>
        <v/>
      </c>
      <c r="G686" s="17" t="str">
        <f>IF('Step 14 - IT Review'!B33="","",IF('Step 14 - IT Review'!C33="","","Equals"))</f>
        <v/>
      </c>
      <c r="H686" s="18" t="str">
        <f>IF('Step 14 - IT Review'!B33="","",IF('Step 14 - IT Review'!C33="","",'Step 14 - IT Review'!C33))</f>
        <v/>
      </c>
      <c r="I686" s="18" t="str">
        <f>IF('Step 14 - IT Review'!B33="","","Organization Code")</f>
        <v/>
      </c>
      <c r="J686" s="17" t="str">
        <f>IF('Step 14 - IT Review'!B33="","","Equals")</f>
        <v/>
      </c>
      <c r="K686" s="18" t="str">
        <f>IF('Step 14 - IT Review'!B33="","",'Step 14 - IT Review'!D33)</f>
        <v/>
      </c>
      <c r="L686" s="18" t="str">
        <f>IF('Step 14 - IT Review'!B33="","","Other Criteria")</f>
        <v/>
      </c>
      <c r="M686" s="17" t="str">
        <f>IF('Step 14 - IT Review'!B33="","","Equals")</f>
        <v/>
      </c>
      <c r="N686" s="18" t="str">
        <f>IF('Step 14 - IT Review'!B33="","",'Step 14 - IT Review'!E33)</f>
        <v/>
      </c>
      <c r="O686" s="18" t="str">
        <f>IF('Step 14 - IT Review'!B33="","",IF('Step 14 - IT Review'!F33="","","Total"))</f>
        <v/>
      </c>
      <c r="P686" s="17" t="str">
        <f>IF('Step 14 - IT Review'!B33="","",IF('Step 14 - IT Review'!F33="","","&gt;="))</f>
        <v/>
      </c>
      <c r="Q686" s="18" t="str">
        <f>IF('Step 14 - IT Review'!B33="","",IF('Step 14 - IT Review'!F33="","",'Step 14 - IT Review'!F33))</f>
        <v/>
      </c>
      <c r="R686" s="18" t="str">
        <f>""</f>
        <v/>
      </c>
      <c r="S686" s="18" t="str">
        <f>""</f>
        <v/>
      </c>
      <c r="T686" s="18" t="str">
        <f>""</f>
        <v/>
      </c>
      <c r="U686" s="18" t="str">
        <f>IF('Step 14 - IT Review'!B33="","",'Step 14 - IT Review'!I33)</f>
        <v/>
      </c>
      <c r="V686" s="17" t="str">
        <f>IF('Step 14 - IT Review'!B33="","",'Step 14 - IT Review'!K33)</f>
        <v/>
      </c>
      <c r="W686" s="18" t="str">
        <f>IF('Step 14 - IT Review'!B33="","",'Step 14 - IT Review'!L33)</f>
        <v/>
      </c>
      <c r="X686" s="17" t="str">
        <f>IF('Step 14 - IT Review'!B33="","",'Step 14 - IT Review'!N33)</f>
        <v/>
      </c>
      <c r="Y686" s="18" t="str">
        <f>""</f>
        <v/>
      </c>
      <c r="Z686" s="18" t="str">
        <f>""</f>
        <v/>
      </c>
      <c r="AA686" s="18" t="str">
        <f>""</f>
        <v/>
      </c>
      <c r="AB686" s="18" t="str">
        <f>""</f>
        <v/>
      </c>
      <c r="AC686" s="18" t="str">
        <f>""</f>
        <v/>
      </c>
      <c r="AD686" s="18" t="str">
        <f>""</f>
        <v/>
      </c>
      <c r="AE686" s="18" t="str">
        <f>""</f>
        <v/>
      </c>
      <c r="AF686" s="18" t="str">
        <f>""</f>
        <v/>
      </c>
      <c r="AG686" s="18" t="str">
        <f>""</f>
        <v/>
      </c>
      <c r="AH686" s="18" t="str">
        <f>""</f>
        <v/>
      </c>
      <c r="AI686" s="18" t="str">
        <f>""</f>
        <v/>
      </c>
      <c r="AJ686" s="18" t="str">
        <f>""</f>
        <v/>
      </c>
      <c r="AK686" s="18" t="str">
        <f>""</f>
        <v/>
      </c>
      <c r="AL686" s="18" t="str">
        <f>""</f>
        <v/>
      </c>
      <c r="AM686" s="18" t="str">
        <f>""</f>
        <v/>
      </c>
    </row>
    <row r="687" spans="1:39" ht="15.75" customHeight="1" x14ac:dyDescent="0.25">
      <c r="A687" s="19" t="str">
        <f>IF('Step 14 - IT Review'!B34="","","Active")</f>
        <v/>
      </c>
      <c r="B687" s="20" t="str">
        <f>IF('Step 14 - IT Review'!B34="","",'Step 14 - IT Review'!B34)</f>
        <v/>
      </c>
      <c r="C687" s="20" t="str">
        <f>IF('Step 14 - IT Review'!B34="","",'Step 14 - IT Review'!B34)</f>
        <v/>
      </c>
      <c r="D687" s="19" t="str">
        <f>IF('Step 14 - IT Review'!B34="","",'Step 14 - IT Review'!G34)</f>
        <v/>
      </c>
      <c r="E687" s="19" t="str">
        <f>IF('Step 14 - IT Review'!B34="","",'Step 14 - IT Review'!H34)</f>
        <v/>
      </c>
      <c r="F687" s="20" t="str">
        <f>IF('Step 14 - IT Review'!B34="","",IF('Step 14 - IT Review'!C34="","","Fund Code"))</f>
        <v/>
      </c>
      <c r="G687" s="19" t="str">
        <f>IF('Step 14 - IT Review'!B34="","",IF('Step 14 - IT Review'!C34="","","Equals"))</f>
        <v/>
      </c>
      <c r="H687" s="20" t="str">
        <f>IF('Step 14 - IT Review'!B34="","",IF('Step 14 - IT Review'!C34="","",'Step 14 - IT Review'!C34))</f>
        <v/>
      </c>
      <c r="I687" s="20" t="str">
        <f>IF('Step 14 - IT Review'!B34="","","Organization Code")</f>
        <v/>
      </c>
      <c r="J687" s="19" t="str">
        <f>IF('Step 14 - IT Review'!B34="","","Equals")</f>
        <v/>
      </c>
      <c r="K687" s="20" t="str">
        <f>IF('Step 14 - IT Review'!B34="","",'Step 14 - IT Review'!D34)</f>
        <v/>
      </c>
      <c r="L687" s="20" t="str">
        <f>IF('Step 14 - IT Review'!B34="","","Other Criteria")</f>
        <v/>
      </c>
      <c r="M687" s="19" t="str">
        <f>IF('Step 14 - IT Review'!B34="","","Equals")</f>
        <v/>
      </c>
      <c r="N687" s="20" t="str">
        <f>IF('Step 14 - IT Review'!B34="","",'Step 14 - IT Review'!E34)</f>
        <v/>
      </c>
      <c r="O687" s="20" t="str">
        <f>IF('Step 14 - IT Review'!B34="","",IF('Step 14 - IT Review'!F34="","","Total"))</f>
        <v/>
      </c>
      <c r="P687" s="19" t="str">
        <f>IF('Step 14 - IT Review'!B34="","",IF('Step 14 - IT Review'!F34="","","&gt;="))</f>
        <v/>
      </c>
      <c r="Q687" s="20" t="str">
        <f>IF('Step 14 - IT Review'!B34="","",IF('Step 14 - IT Review'!F34="","",'Step 14 - IT Review'!F34))</f>
        <v/>
      </c>
      <c r="R687" s="20" t="str">
        <f>""</f>
        <v/>
      </c>
      <c r="S687" s="20" t="str">
        <f>""</f>
        <v/>
      </c>
      <c r="T687" s="20" t="str">
        <f>""</f>
        <v/>
      </c>
      <c r="U687" s="20" t="str">
        <f>IF('Step 14 - IT Review'!B34="","",'Step 14 - IT Review'!I34)</f>
        <v/>
      </c>
      <c r="V687" s="19" t="str">
        <f>IF('Step 14 - IT Review'!B34="","",'Step 14 - IT Review'!K34)</f>
        <v/>
      </c>
      <c r="W687" s="20" t="str">
        <f>IF('Step 14 - IT Review'!B34="","",'Step 14 - IT Review'!L34)</f>
        <v/>
      </c>
      <c r="X687" s="19" t="str">
        <f>IF('Step 14 - IT Review'!B34="","",'Step 14 - IT Review'!N34)</f>
        <v/>
      </c>
      <c r="Y687" s="20" t="str">
        <f>""</f>
        <v/>
      </c>
      <c r="Z687" s="20" t="str">
        <f>""</f>
        <v/>
      </c>
      <c r="AA687" s="20" t="str">
        <f>""</f>
        <v/>
      </c>
      <c r="AB687" s="20" t="str">
        <f>""</f>
        <v/>
      </c>
      <c r="AC687" s="20" t="str">
        <f>""</f>
        <v/>
      </c>
      <c r="AD687" s="20" t="str">
        <f>""</f>
        <v/>
      </c>
      <c r="AE687" s="20" t="str">
        <f>""</f>
        <v/>
      </c>
      <c r="AF687" s="20" t="str">
        <f>""</f>
        <v/>
      </c>
      <c r="AG687" s="20" t="str">
        <f>""</f>
        <v/>
      </c>
      <c r="AH687" s="20" t="str">
        <f>""</f>
        <v/>
      </c>
      <c r="AI687" s="20" t="str">
        <f>""</f>
        <v/>
      </c>
      <c r="AJ687" s="20" t="str">
        <f>""</f>
        <v/>
      </c>
      <c r="AK687" s="20" t="str">
        <f>""</f>
        <v/>
      </c>
      <c r="AL687" s="20" t="str">
        <f>""</f>
        <v/>
      </c>
      <c r="AM687" s="20" t="str">
        <f>""</f>
        <v/>
      </c>
    </row>
    <row r="688" spans="1:39" ht="15.75" customHeight="1" x14ac:dyDescent="0.25">
      <c r="A688" s="17" t="str">
        <f>IF('Step 14 - IT Review'!B35="","","Active")</f>
        <v/>
      </c>
      <c r="B688" s="18" t="str">
        <f>IF('Step 14 - IT Review'!B35="","",'Step 14 - IT Review'!B35)</f>
        <v/>
      </c>
      <c r="C688" s="18" t="str">
        <f>IF('Step 14 - IT Review'!B35="","",'Step 14 - IT Review'!B35)</f>
        <v/>
      </c>
      <c r="D688" s="17" t="str">
        <f>IF('Step 14 - IT Review'!B35="","",'Step 14 - IT Review'!G35)</f>
        <v/>
      </c>
      <c r="E688" s="17" t="str">
        <f>IF('Step 14 - IT Review'!B35="","",'Step 14 - IT Review'!H35)</f>
        <v/>
      </c>
      <c r="F688" s="18" t="str">
        <f>IF('Step 14 - IT Review'!B35="","",IF('Step 14 - IT Review'!C35="","","Fund Code"))</f>
        <v/>
      </c>
      <c r="G688" s="17" t="str">
        <f>IF('Step 14 - IT Review'!B35="","",IF('Step 14 - IT Review'!C35="","","Equals"))</f>
        <v/>
      </c>
      <c r="H688" s="18" t="str">
        <f>IF('Step 14 - IT Review'!B35="","",IF('Step 14 - IT Review'!C35="","",'Step 14 - IT Review'!C35))</f>
        <v/>
      </c>
      <c r="I688" s="18" t="str">
        <f>IF('Step 14 - IT Review'!B35="","","Organization Code")</f>
        <v/>
      </c>
      <c r="J688" s="17" t="str">
        <f>IF('Step 14 - IT Review'!B35="","","Equals")</f>
        <v/>
      </c>
      <c r="K688" s="18" t="str">
        <f>IF('Step 14 - IT Review'!B35="","",'Step 14 - IT Review'!D35)</f>
        <v/>
      </c>
      <c r="L688" s="18" t="str">
        <f>IF('Step 14 - IT Review'!B35="","","Other Criteria")</f>
        <v/>
      </c>
      <c r="M688" s="17" t="str">
        <f>IF('Step 14 - IT Review'!B35="","","Equals")</f>
        <v/>
      </c>
      <c r="N688" s="18" t="str">
        <f>IF('Step 14 - IT Review'!B35="","",'Step 14 - IT Review'!E35)</f>
        <v/>
      </c>
      <c r="O688" s="18" t="str">
        <f>IF('Step 14 - IT Review'!B35="","",IF('Step 14 - IT Review'!F35="","","Total"))</f>
        <v/>
      </c>
      <c r="P688" s="17" t="str">
        <f>IF('Step 14 - IT Review'!B35="","",IF('Step 14 - IT Review'!F35="","","&gt;="))</f>
        <v/>
      </c>
      <c r="Q688" s="18" t="str">
        <f>IF('Step 14 - IT Review'!B35="","",IF('Step 14 - IT Review'!F35="","",'Step 14 - IT Review'!F35))</f>
        <v/>
      </c>
      <c r="R688" s="18" t="str">
        <f>""</f>
        <v/>
      </c>
      <c r="S688" s="18" t="str">
        <f>""</f>
        <v/>
      </c>
      <c r="T688" s="18" t="str">
        <f>""</f>
        <v/>
      </c>
      <c r="U688" s="18" t="str">
        <f>IF('Step 14 - IT Review'!B35="","",'Step 14 - IT Review'!I35)</f>
        <v/>
      </c>
      <c r="V688" s="17" t="str">
        <f>IF('Step 14 - IT Review'!B35="","",'Step 14 - IT Review'!K35)</f>
        <v/>
      </c>
      <c r="W688" s="18" t="str">
        <f>IF('Step 14 - IT Review'!B35="","",'Step 14 - IT Review'!L35)</f>
        <v/>
      </c>
      <c r="X688" s="17" t="str">
        <f>IF('Step 14 - IT Review'!B35="","",'Step 14 - IT Review'!N35)</f>
        <v/>
      </c>
      <c r="Y688" s="18" t="str">
        <f>""</f>
        <v/>
      </c>
      <c r="Z688" s="18" t="str">
        <f>""</f>
        <v/>
      </c>
      <c r="AA688" s="18" t="str">
        <f>""</f>
        <v/>
      </c>
      <c r="AB688" s="18" t="str">
        <f>""</f>
        <v/>
      </c>
      <c r="AC688" s="18" t="str">
        <f>""</f>
        <v/>
      </c>
      <c r="AD688" s="18" t="str">
        <f>""</f>
        <v/>
      </c>
      <c r="AE688" s="18" t="str">
        <f>""</f>
        <v/>
      </c>
      <c r="AF688" s="18" t="str">
        <f>""</f>
        <v/>
      </c>
      <c r="AG688" s="18" t="str">
        <f>""</f>
        <v/>
      </c>
      <c r="AH688" s="18" t="str">
        <f>""</f>
        <v/>
      </c>
      <c r="AI688" s="18" t="str">
        <f>""</f>
        <v/>
      </c>
      <c r="AJ688" s="18" t="str">
        <f>""</f>
        <v/>
      </c>
      <c r="AK688" s="18" t="str">
        <f>""</f>
        <v/>
      </c>
      <c r="AL688" s="18" t="str">
        <f>""</f>
        <v/>
      </c>
      <c r="AM688" s="18" t="str">
        <f>""</f>
        <v/>
      </c>
    </row>
    <row r="689" spans="1:39" ht="15.75" customHeight="1" x14ac:dyDescent="0.25">
      <c r="A689" s="19" t="str">
        <f>IF('Step 14 - IT Review'!B36="","","Active")</f>
        <v/>
      </c>
      <c r="B689" s="20" t="str">
        <f>IF('Step 14 - IT Review'!B36="","",'Step 14 - IT Review'!B36)</f>
        <v/>
      </c>
      <c r="C689" s="20" t="str">
        <f>IF('Step 14 - IT Review'!B36="","",'Step 14 - IT Review'!B36)</f>
        <v/>
      </c>
      <c r="D689" s="19" t="str">
        <f>IF('Step 14 - IT Review'!B36="","",'Step 14 - IT Review'!G36)</f>
        <v/>
      </c>
      <c r="E689" s="19" t="str">
        <f>IF('Step 14 - IT Review'!B36="","",'Step 14 - IT Review'!H36)</f>
        <v/>
      </c>
      <c r="F689" s="20" t="str">
        <f>IF('Step 14 - IT Review'!B36="","",IF('Step 14 - IT Review'!C36="","","Fund Code"))</f>
        <v/>
      </c>
      <c r="G689" s="19" t="str">
        <f>IF('Step 14 - IT Review'!B36="","",IF('Step 14 - IT Review'!C36="","","Equals"))</f>
        <v/>
      </c>
      <c r="H689" s="20" t="str">
        <f>IF('Step 14 - IT Review'!B36="","",IF('Step 14 - IT Review'!C36="","",'Step 14 - IT Review'!C36))</f>
        <v/>
      </c>
      <c r="I689" s="20" t="str">
        <f>IF('Step 14 - IT Review'!B36="","","Organization Code")</f>
        <v/>
      </c>
      <c r="J689" s="19" t="str">
        <f>IF('Step 14 - IT Review'!B36="","","Equals")</f>
        <v/>
      </c>
      <c r="K689" s="20" t="str">
        <f>IF('Step 14 - IT Review'!B36="","",'Step 14 - IT Review'!D36)</f>
        <v/>
      </c>
      <c r="L689" s="20" t="str">
        <f>IF('Step 14 - IT Review'!B36="","","Other Criteria")</f>
        <v/>
      </c>
      <c r="M689" s="19" t="str">
        <f>IF('Step 14 - IT Review'!B36="","","Equals")</f>
        <v/>
      </c>
      <c r="N689" s="20" t="str">
        <f>IF('Step 14 - IT Review'!B36="","",'Step 14 - IT Review'!E36)</f>
        <v/>
      </c>
      <c r="O689" s="20" t="str">
        <f>IF('Step 14 - IT Review'!B36="","",IF('Step 14 - IT Review'!F36="","","Total"))</f>
        <v/>
      </c>
      <c r="P689" s="19" t="str">
        <f>IF('Step 14 - IT Review'!B36="","",IF('Step 14 - IT Review'!F36="","","&gt;="))</f>
        <v/>
      </c>
      <c r="Q689" s="20" t="str">
        <f>IF('Step 14 - IT Review'!B36="","",IF('Step 14 - IT Review'!F36="","",'Step 14 - IT Review'!F36))</f>
        <v/>
      </c>
      <c r="R689" s="20" t="str">
        <f>""</f>
        <v/>
      </c>
      <c r="S689" s="20" t="str">
        <f>""</f>
        <v/>
      </c>
      <c r="T689" s="20" t="str">
        <f>""</f>
        <v/>
      </c>
      <c r="U689" s="20" t="str">
        <f>IF('Step 14 - IT Review'!B36="","",'Step 14 - IT Review'!I36)</f>
        <v/>
      </c>
      <c r="V689" s="19" t="str">
        <f>IF('Step 14 - IT Review'!B36="","",'Step 14 - IT Review'!K36)</f>
        <v/>
      </c>
      <c r="W689" s="20" t="str">
        <f>IF('Step 14 - IT Review'!B36="","",'Step 14 - IT Review'!L36)</f>
        <v/>
      </c>
      <c r="X689" s="19" t="str">
        <f>IF('Step 14 - IT Review'!B36="","",'Step 14 - IT Review'!N36)</f>
        <v/>
      </c>
      <c r="Y689" s="20" t="str">
        <f>""</f>
        <v/>
      </c>
      <c r="Z689" s="20" t="str">
        <f>""</f>
        <v/>
      </c>
      <c r="AA689" s="20" t="str">
        <f>""</f>
        <v/>
      </c>
      <c r="AB689" s="20" t="str">
        <f>""</f>
        <v/>
      </c>
      <c r="AC689" s="20" t="str">
        <f>""</f>
        <v/>
      </c>
      <c r="AD689" s="20" t="str">
        <f>""</f>
        <v/>
      </c>
      <c r="AE689" s="20" t="str">
        <f>""</f>
        <v/>
      </c>
      <c r="AF689" s="20" t="str">
        <f>""</f>
        <v/>
      </c>
      <c r="AG689" s="20" t="str">
        <f>""</f>
        <v/>
      </c>
      <c r="AH689" s="20" t="str">
        <f>""</f>
        <v/>
      </c>
      <c r="AI689" s="20" t="str">
        <f>""</f>
        <v/>
      </c>
      <c r="AJ689" s="20" t="str">
        <f>""</f>
        <v/>
      </c>
      <c r="AK689" s="20" t="str">
        <f>""</f>
        <v/>
      </c>
      <c r="AL689" s="20" t="str">
        <f>""</f>
        <v/>
      </c>
      <c r="AM689" s="20" t="str">
        <f>""</f>
        <v/>
      </c>
    </row>
    <row r="690" spans="1:39" ht="15.75" customHeight="1" x14ac:dyDescent="0.25">
      <c r="A690" s="17" t="str">
        <f>IF('Step 14 - IT Review'!B37="","","Active")</f>
        <v/>
      </c>
      <c r="B690" s="18" t="str">
        <f>IF('Step 14 - IT Review'!B37="","",'Step 14 - IT Review'!B37)</f>
        <v/>
      </c>
      <c r="C690" s="18" t="str">
        <f>IF('Step 14 - IT Review'!B37="","",'Step 14 - IT Review'!B37)</f>
        <v/>
      </c>
      <c r="D690" s="17" t="str">
        <f>IF('Step 14 - IT Review'!B37="","",'Step 14 - IT Review'!G37)</f>
        <v/>
      </c>
      <c r="E690" s="17" t="str">
        <f>IF('Step 14 - IT Review'!B37="","",'Step 14 - IT Review'!H37)</f>
        <v/>
      </c>
      <c r="F690" s="18" t="str">
        <f>IF('Step 14 - IT Review'!B37="","",IF('Step 14 - IT Review'!C37="","","Fund Code"))</f>
        <v/>
      </c>
      <c r="G690" s="17" t="str">
        <f>IF('Step 14 - IT Review'!B37="","",IF('Step 14 - IT Review'!C37="","","Equals"))</f>
        <v/>
      </c>
      <c r="H690" s="18" t="str">
        <f>IF('Step 14 - IT Review'!B37="","",IF('Step 14 - IT Review'!C37="","",'Step 14 - IT Review'!C37))</f>
        <v/>
      </c>
      <c r="I690" s="18" t="str">
        <f>IF('Step 14 - IT Review'!B37="","","Organization Code")</f>
        <v/>
      </c>
      <c r="J690" s="17" t="str">
        <f>IF('Step 14 - IT Review'!B37="","","Equals")</f>
        <v/>
      </c>
      <c r="K690" s="18" t="str">
        <f>IF('Step 14 - IT Review'!B37="","",'Step 14 - IT Review'!D37)</f>
        <v/>
      </c>
      <c r="L690" s="18" t="str">
        <f>IF('Step 14 - IT Review'!B37="","","Other Criteria")</f>
        <v/>
      </c>
      <c r="M690" s="17" t="str">
        <f>IF('Step 14 - IT Review'!B37="","","Equals")</f>
        <v/>
      </c>
      <c r="N690" s="18" t="str">
        <f>IF('Step 14 - IT Review'!B37="","",'Step 14 - IT Review'!E37)</f>
        <v/>
      </c>
      <c r="O690" s="18" t="str">
        <f>IF('Step 14 - IT Review'!B37="","",IF('Step 14 - IT Review'!F37="","","Total"))</f>
        <v/>
      </c>
      <c r="P690" s="17" t="str">
        <f>IF('Step 14 - IT Review'!B37="","",IF('Step 14 - IT Review'!F37="","","&gt;="))</f>
        <v/>
      </c>
      <c r="Q690" s="18" t="str">
        <f>IF('Step 14 - IT Review'!B37="","",IF('Step 14 - IT Review'!F37="","",'Step 14 - IT Review'!F37))</f>
        <v/>
      </c>
      <c r="R690" s="18" t="str">
        <f>""</f>
        <v/>
      </c>
      <c r="S690" s="18" t="str">
        <f>""</f>
        <v/>
      </c>
      <c r="T690" s="18" t="str">
        <f>""</f>
        <v/>
      </c>
      <c r="U690" s="18" t="str">
        <f>IF('Step 14 - IT Review'!B37="","",'Step 14 - IT Review'!I37)</f>
        <v/>
      </c>
      <c r="V690" s="17" t="str">
        <f>IF('Step 14 - IT Review'!B37="","",'Step 14 - IT Review'!K37)</f>
        <v/>
      </c>
      <c r="W690" s="18" t="str">
        <f>IF('Step 14 - IT Review'!B37="","",'Step 14 - IT Review'!L37)</f>
        <v/>
      </c>
      <c r="X690" s="17" t="str">
        <f>IF('Step 14 - IT Review'!B37="","",'Step 14 - IT Review'!N37)</f>
        <v/>
      </c>
      <c r="Y690" s="18" t="str">
        <f>""</f>
        <v/>
      </c>
      <c r="Z690" s="18" t="str">
        <f>""</f>
        <v/>
      </c>
      <c r="AA690" s="18" t="str">
        <f>""</f>
        <v/>
      </c>
      <c r="AB690" s="18" t="str">
        <f>""</f>
        <v/>
      </c>
      <c r="AC690" s="18" t="str">
        <f>""</f>
        <v/>
      </c>
      <c r="AD690" s="18" t="str">
        <f>""</f>
        <v/>
      </c>
      <c r="AE690" s="18" t="str">
        <f>""</f>
        <v/>
      </c>
      <c r="AF690" s="18" t="str">
        <f>""</f>
        <v/>
      </c>
      <c r="AG690" s="18" t="str">
        <f>""</f>
        <v/>
      </c>
      <c r="AH690" s="18" t="str">
        <f>""</f>
        <v/>
      </c>
      <c r="AI690" s="18" t="str">
        <f>""</f>
        <v/>
      </c>
      <c r="AJ690" s="18" t="str">
        <f>""</f>
        <v/>
      </c>
      <c r="AK690" s="18" t="str">
        <f>""</f>
        <v/>
      </c>
      <c r="AL690" s="18" t="str">
        <f>""</f>
        <v/>
      </c>
      <c r="AM690" s="18" t="str">
        <f>""</f>
        <v/>
      </c>
    </row>
    <row r="691" spans="1:39" ht="15.75" customHeight="1" x14ac:dyDescent="0.25">
      <c r="A691" s="19" t="str">
        <f>IF('Step 14 - IT Review'!B38="","","Active")</f>
        <v/>
      </c>
      <c r="B691" s="20" t="str">
        <f>IF('Step 14 - IT Review'!B38="","",'Step 14 - IT Review'!B38)</f>
        <v/>
      </c>
      <c r="C691" s="20" t="str">
        <f>IF('Step 14 - IT Review'!B38="","",'Step 14 - IT Review'!B38)</f>
        <v/>
      </c>
      <c r="D691" s="19" t="str">
        <f>IF('Step 14 - IT Review'!B38="","",'Step 14 - IT Review'!G38)</f>
        <v/>
      </c>
      <c r="E691" s="19" t="str">
        <f>IF('Step 14 - IT Review'!B38="","",'Step 14 - IT Review'!H38)</f>
        <v/>
      </c>
      <c r="F691" s="20" t="str">
        <f>IF('Step 14 - IT Review'!B38="","",IF('Step 14 - IT Review'!C38="","","Fund Code"))</f>
        <v/>
      </c>
      <c r="G691" s="19" t="str">
        <f>IF('Step 14 - IT Review'!B38="","",IF('Step 14 - IT Review'!C38="","","Equals"))</f>
        <v/>
      </c>
      <c r="H691" s="20" t="str">
        <f>IF('Step 14 - IT Review'!B38="","",IF('Step 14 - IT Review'!C38="","",'Step 14 - IT Review'!C38))</f>
        <v/>
      </c>
      <c r="I691" s="20" t="str">
        <f>IF('Step 14 - IT Review'!B38="","","Organization Code")</f>
        <v/>
      </c>
      <c r="J691" s="19" t="str">
        <f>IF('Step 14 - IT Review'!B38="","","Equals")</f>
        <v/>
      </c>
      <c r="K691" s="20" t="str">
        <f>IF('Step 14 - IT Review'!B38="","",'Step 14 - IT Review'!D38)</f>
        <v/>
      </c>
      <c r="L691" s="20" t="str">
        <f>IF('Step 14 - IT Review'!B38="","","Other Criteria")</f>
        <v/>
      </c>
      <c r="M691" s="19" t="str">
        <f>IF('Step 14 - IT Review'!B38="","","Equals")</f>
        <v/>
      </c>
      <c r="N691" s="20" t="str">
        <f>IF('Step 14 - IT Review'!B38="","",'Step 14 - IT Review'!E38)</f>
        <v/>
      </c>
      <c r="O691" s="20" t="str">
        <f>IF('Step 14 - IT Review'!B38="","",IF('Step 14 - IT Review'!F38="","","Total"))</f>
        <v/>
      </c>
      <c r="P691" s="19" t="str">
        <f>IF('Step 14 - IT Review'!B38="","",IF('Step 14 - IT Review'!F38="","","&gt;="))</f>
        <v/>
      </c>
      <c r="Q691" s="20" t="str">
        <f>IF('Step 14 - IT Review'!B38="","",IF('Step 14 - IT Review'!F38="","",'Step 14 - IT Review'!F38))</f>
        <v/>
      </c>
      <c r="R691" s="20" t="str">
        <f>""</f>
        <v/>
      </c>
      <c r="S691" s="20" t="str">
        <f>""</f>
        <v/>
      </c>
      <c r="T691" s="20" t="str">
        <f>""</f>
        <v/>
      </c>
      <c r="U691" s="20" t="str">
        <f>IF('Step 14 - IT Review'!B38="","",'Step 14 - IT Review'!I38)</f>
        <v/>
      </c>
      <c r="V691" s="19" t="str">
        <f>IF('Step 14 - IT Review'!B38="","",'Step 14 - IT Review'!K38)</f>
        <v/>
      </c>
      <c r="W691" s="20" t="str">
        <f>IF('Step 14 - IT Review'!B38="","",'Step 14 - IT Review'!L38)</f>
        <v/>
      </c>
      <c r="X691" s="19" t="str">
        <f>IF('Step 14 - IT Review'!B38="","",'Step 14 - IT Review'!N38)</f>
        <v/>
      </c>
      <c r="Y691" s="20" t="str">
        <f>""</f>
        <v/>
      </c>
      <c r="Z691" s="20" t="str">
        <f>""</f>
        <v/>
      </c>
      <c r="AA691" s="20" t="str">
        <f>""</f>
        <v/>
      </c>
      <c r="AB691" s="20" t="str">
        <f>""</f>
        <v/>
      </c>
      <c r="AC691" s="20" t="str">
        <f>""</f>
        <v/>
      </c>
      <c r="AD691" s="20" t="str">
        <f>""</f>
        <v/>
      </c>
      <c r="AE691" s="20" t="str">
        <f>""</f>
        <v/>
      </c>
      <c r="AF691" s="20" t="str">
        <f>""</f>
        <v/>
      </c>
      <c r="AG691" s="20" t="str">
        <f>""</f>
        <v/>
      </c>
      <c r="AH691" s="20" t="str">
        <f>""</f>
        <v/>
      </c>
      <c r="AI691" s="20" t="str">
        <f>""</f>
        <v/>
      </c>
      <c r="AJ691" s="20" t="str">
        <f>""</f>
        <v/>
      </c>
      <c r="AK691" s="20" t="str">
        <f>""</f>
        <v/>
      </c>
      <c r="AL691" s="20" t="str">
        <f>""</f>
        <v/>
      </c>
      <c r="AM691" s="20" t="str">
        <f>""</f>
        <v/>
      </c>
    </row>
    <row r="692" spans="1:39" ht="15.75" customHeight="1" x14ac:dyDescent="0.25">
      <c r="A692" s="17" t="str">
        <f>IF('Step 14 - IT Review'!B39="","","Active")</f>
        <v/>
      </c>
      <c r="B692" s="18" t="str">
        <f>IF('Step 14 - IT Review'!B39="","",'Step 14 - IT Review'!B39)</f>
        <v/>
      </c>
      <c r="C692" s="18" t="str">
        <f>IF('Step 14 - IT Review'!B39="","",'Step 14 - IT Review'!B39)</f>
        <v/>
      </c>
      <c r="D692" s="17" t="str">
        <f>IF('Step 14 - IT Review'!B39="","",'Step 14 - IT Review'!G39)</f>
        <v/>
      </c>
      <c r="E692" s="17" t="str">
        <f>IF('Step 14 - IT Review'!B39="","",'Step 14 - IT Review'!H39)</f>
        <v/>
      </c>
      <c r="F692" s="18" t="str">
        <f>IF('Step 14 - IT Review'!B39="","",IF('Step 14 - IT Review'!C39="","","Fund Code"))</f>
        <v/>
      </c>
      <c r="G692" s="17" t="str">
        <f>IF('Step 14 - IT Review'!B39="","",IF('Step 14 - IT Review'!C39="","","Equals"))</f>
        <v/>
      </c>
      <c r="H692" s="18" t="str">
        <f>IF('Step 14 - IT Review'!B39="","",IF('Step 14 - IT Review'!C39="","",'Step 14 - IT Review'!C39))</f>
        <v/>
      </c>
      <c r="I692" s="18" t="str">
        <f>IF('Step 14 - IT Review'!B39="","","Organization Code")</f>
        <v/>
      </c>
      <c r="J692" s="17" t="str">
        <f>IF('Step 14 - IT Review'!B39="","","Equals")</f>
        <v/>
      </c>
      <c r="K692" s="18" t="str">
        <f>IF('Step 14 - IT Review'!B39="","",'Step 14 - IT Review'!D39)</f>
        <v/>
      </c>
      <c r="L692" s="18" t="str">
        <f>IF('Step 14 - IT Review'!B39="","","Other Criteria")</f>
        <v/>
      </c>
      <c r="M692" s="17" t="str">
        <f>IF('Step 14 - IT Review'!B39="","","Equals")</f>
        <v/>
      </c>
      <c r="N692" s="18" t="str">
        <f>IF('Step 14 - IT Review'!B39="","",'Step 14 - IT Review'!E39)</f>
        <v/>
      </c>
      <c r="O692" s="18" t="str">
        <f>IF('Step 14 - IT Review'!B39="","",IF('Step 14 - IT Review'!F39="","","Total"))</f>
        <v/>
      </c>
      <c r="P692" s="17" t="str">
        <f>IF('Step 14 - IT Review'!B39="","",IF('Step 14 - IT Review'!F39="","","&gt;="))</f>
        <v/>
      </c>
      <c r="Q692" s="18" t="str">
        <f>IF('Step 14 - IT Review'!B39="","",IF('Step 14 - IT Review'!F39="","",'Step 14 - IT Review'!F39))</f>
        <v/>
      </c>
      <c r="R692" s="18" t="str">
        <f>""</f>
        <v/>
      </c>
      <c r="S692" s="18" t="str">
        <f>""</f>
        <v/>
      </c>
      <c r="T692" s="18" t="str">
        <f>""</f>
        <v/>
      </c>
      <c r="U692" s="18" t="str">
        <f>IF('Step 14 - IT Review'!B39="","",'Step 14 - IT Review'!I39)</f>
        <v/>
      </c>
      <c r="V692" s="17" t="str">
        <f>IF('Step 14 - IT Review'!B39="","",'Step 14 - IT Review'!K39)</f>
        <v/>
      </c>
      <c r="W692" s="18" t="str">
        <f>IF('Step 14 - IT Review'!B39="","",'Step 14 - IT Review'!L39)</f>
        <v/>
      </c>
      <c r="X692" s="17" t="str">
        <f>IF('Step 14 - IT Review'!B39="","",'Step 14 - IT Review'!N39)</f>
        <v/>
      </c>
      <c r="Y692" s="18" t="str">
        <f>""</f>
        <v/>
      </c>
      <c r="Z692" s="18" t="str">
        <f>""</f>
        <v/>
      </c>
      <c r="AA692" s="18" t="str">
        <f>""</f>
        <v/>
      </c>
      <c r="AB692" s="18" t="str">
        <f>""</f>
        <v/>
      </c>
      <c r="AC692" s="18" t="str">
        <f>""</f>
        <v/>
      </c>
      <c r="AD692" s="18" t="str">
        <f>""</f>
        <v/>
      </c>
      <c r="AE692" s="18" t="str">
        <f>""</f>
        <v/>
      </c>
      <c r="AF692" s="18" t="str">
        <f>""</f>
        <v/>
      </c>
      <c r="AG692" s="18" t="str">
        <f>""</f>
        <v/>
      </c>
      <c r="AH692" s="18" t="str">
        <f>""</f>
        <v/>
      </c>
      <c r="AI692" s="18" t="str">
        <f>""</f>
        <v/>
      </c>
      <c r="AJ692" s="18" t="str">
        <f>""</f>
        <v/>
      </c>
      <c r="AK692" s="18" t="str">
        <f>""</f>
        <v/>
      </c>
      <c r="AL692" s="18" t="str">
        <f>""</f>
        <v/>
      </c>
      <c r="AM692" s="18" t="str">
        <f>""</f>
        <v/>
      </c>
    </row>
    <row r="693" spans="1:39" ht="15.75" customHeight="1" x14ac:dyDescent="0.25">
      <c r="A693" s="19" t="str">
        <f>IF('Step 14 - IT Review'!B40="","","Active")</f>
        <v/>
      </c>
      <c r="B693" s="20" t="str">
        <f>IF('Step 14 - IT Review'!B40="","",'Step 14 - IT Review'!B40)</f>
        <v/>
      </c>
      <c r="C693" s="20" t="str">
        <f>IF('Step 14 - IT Review'!B40="","",'Step 14 - IT Review'!B40)</f>
        <v/>
      </c>
      <c r="D693" s="19" t="str">
        <f>IF('Step 14 - IT Review'!B40="","",'Step 14 - IT Review'!G40)</f>
        <v/>
      </c>
      <c r="E693" s="19" t="str">
        <f>IF('Step 14 - IT Review'!B40="","",'Step 14 - IT Review'!H40)</f>
        <v/>
      </c>
      <c r="F693" s="20" t="str">
        <f>IF('Step 14 - IT Review'!B40="","",IF('Step 14 - IT Review'!C40="","","Fund Code"))</f>
        <v/>
      </c>
      <c r="G693" s="19" t="str">
        <f>IF('Step 14 - IT Review'!B40="","",IF('Step 14 - IT Review'!C40="","","Equals"))</f>
        <v/>
      </c>
      <c r="H693" s="20" t="str">
        <f>IF('Step 14 - IT Review'!B40="","",IF('Step 14 - IT Review'!C40="","",'Step 14 - IT Review'!C40))</f>
        <v/>
      </c>
      <c r="I693" s="20" t="str">
        <f>IF('Step 14 - IT Review'!B40="","","Organization Code")</f>
        <v/>
      </c>
      <c r="J693" s="19" t="str">
        <f>IF('Step 14 - IT Review'!B40="","","Equals")</f>
        <v/>
      </c>
      <c r="K693" s="20" t="str">
        <f>IF('Step 14 - IT Review'!B40="","",'Step 14 - IT Review'!D40)</f>
        <v/>
      </c>
      <c r="L693" s="20" t="str">
        <f>IF('Step 14 - IT Review'!B40="","","Other Criteria")</f>
        <v/>
      </c>
      <c r="M693" s="19" t="str">
        <f>IF('Step 14 - IT Review'!B40="","","Equals")</f>
        <v/>
      </c>
      <c r="N693" s="20" t="str">
        <f>IF('Step 14 - IT Review'!B40="","",'Step 14 - IT Review'!E40)</f>
        <v/>
      </c>
      <c r="O693" s="20" t="str">
        <f>IF('Step 14 - IT Review'!B40="","",IF('Step 14 - IT Review'!F40="","","Total"))</f>
        <v/>
      </c>
      <c r="P693" s="19" t="str">
        <f>IF('Step 14 - IT Review'!B40="","",IF('Step 14 - IT Review'!F40="","","&gt;="))</f>
        <v/>
      </c>
      <c r="Q693" s="20" t="str">
        <f>IF('Step 14 - IT Review'!B40="","",IF('Step 14 - IT Review'!F40="","",'Step 14 - IT Review'!F40))</f>
        <v/>
      </c>
      <c r="R693" s="20" t="str">
        <f>""</f>
        <v/>
      </c>
      <c r="S693" s="20" t="str">
        <f>""</f>
        <v/>
      </c>
      <c r="T693" s="20" t="str">
        <f>""</f>
        <v/>
      </c>
      <c r="U693" s="20" t="str">
        <f>IF('Step 14 - IT Review'!B40="","",'Step 14 - IT Review'!I40)</f>
        <v/>
      </c>
      <c r="V693" s="19" t="str">
        <f>IF('Step 14 - IT Review'!B40="","",'Step 14 - IT Review'!K40)</f>
        <v/>
      </c>
      <c r="W693" s="20" t="str">
        <f>IF('Step 14 - IT Review'!B40="","",'Step 14 - IT Review'!L40)</f>
        <v/>
      </c>
      <c r="X693" s="19" t="str">
        <f>IF('Step 14 - IT Review'!B40="","",'Step 14 - IT Review'!N40)</f>
        <v/>
      </c>
      <c r="Y693" s="20" t="str">
        <f>""</f>
        <v/>
      </c>
      <c r="Z693" s="20" t="str">
        <f>""</f>
        <v/>
      </c>
      <c r="AA693" s="20" t="str">
        <f>""</f>
        <v/>
      </c>
      <c r="AB693" s="20" t="str">
        <f>""</f>
        <v/>
      </c>
      <c r="AC693" s="20" t="str">
        <f>""</f>
        <v/>
      </c>
      <c r="AD693" s="20" t="str">
        <f>""</f>
        <v/>
      </c>
      <c r="AE693" s="20" t="str">
        <f>""</f>
        <v/>
      </c>
      <c r="AF693" s="20" t="str">
        <f>""</f>
        <v/>
      </c>
      <c r="AG693" s="20" t="str">
        <f>""</f>
        <v/>
      </c>
      <c r="AH693" s="20" t="str">
        <f>""</f>
        <v/>
      </c>
      <c r="AI693" s="20" t="str">
        <f>""</f>
        <v/>
      </c>
      <c r="AJ693" s="20" t="str">
        <f>""</f>
        <v/>
      </c>
      <c r="AK693" s="20" t="str">
        <f>""</f>
        <v/>
      </c>
      <c r="AL693" s="20" t="str">
        <f>""</f>
        <v/>
      </c>
      <c r="AM693" s="20" t="str">
        <f>""</f>
        <v/>
      </c>
    </row>
    <row r="694" spans="1:39" ht="15.75" customHeight="1" x14ac:dyDescent="0.25">
      <c r="A694" s="17" t="str">
        <f>IF('Step 14 - IT Review'!B41="","","Active")</f>
        <v/>
      </c>
      <c r="B694" s="18" t="str">
        <f>IF('Step 14 - IT Review'!B41="","",'Step 14 - IT Review'!B41)</f>
        <v/>
      </c>
      <c r="C694" s="18" t="str">
        <f>IF('Step 14 - IT Review'!B41="","",'Step 14 - IT Review'!B41)</f>
        <v/>
      </c>
      <c r="D694" s="17" t="str">
        <f>IF('Step 14 - IT Review'!B41="","",'Step 14 - IT Review'!G41)</f>
        <v/>
      </c>
      <c r="E694" s="17" t="str">
        <f>IF('Step 14 - IT Review'!B41="","",'Step 14 - IT Review'!H41)</f>
        <v/>
      </c>
      <c r="F694" s="18" t="str">
        <f>IF('Step 14 - IT Review'!B41="","",IF('Step 14 - IT Review'!C41="","","Fund Code"))</f>
        <v/>
      </c>
      <c r="G694" s="17" t="str">
        <f>IF('Step 14 - IT Review'!B41="","",IF('Step 14 - IT Review'!C41="","","Equals"))</f>
        <v/>
      </c>
      <c r="H694" s="18" t="str">
        <f>IF('Step 14 - IT Review'!B41="","",IF('Step 14 - IT Review'!C41="","",'Step 14 - IT Review'!C41))</f>
        <v/>
      </c>
      <c r="I694" s="18" t="str">
        <f>IF('Step 14 - IT Review'!B41="","","Organization Code")</f>
        <v/>
      </c>
      <c r="J694" s="17" t="str">
        <f>IF('Step 14 - IT Review'!B41="","","Equals")</f>
        <v/>
      </c>
      <c r="K694" s="18" t="str">
        <f>IF('Step 14 - IT Review'!B41="","",'Step 14 - IT Review'!D41)</f>
        <v/>
      </c>
      <c r="L694" s="18" t="str">
        <f>IF('Step 14 - IT Review'!B41="","","Other Criteria")</f>
        <v/>
      </c>
      <c r="M694" s="17" t="str">
        <f>IF('Step 14 - IT Review'!B41="","","Equals")</f>
        <v/>
      </c>
      <c r="N694" s="18" t="str">
        <f>IF('Step 14 - IT Review'!B41="","",'Step 14 - IT Review'!E41)</f>
        <v/>
      </c>
      <c r="O694" s="18" t="str">
        <f>IF('Step 14 - IT Review'!B41="","",IF('Step 14 - IT Review'!F41="","","Total"))</f>
        <v/>
      </c>
      <c r="P694" s="17" t="str">
        <f>IF('Step 14 - IT Review'!B41="","",IF('Step 14 - IT Review'!F41="","","&gt;="))</f>
        <v/>
      </c>
      <c r="Q694" s="18" t="str">
        <f>IF('Step 14 - IT Review'!B41="","",IF('Step 14 - IT Review'!F41="","",'Step 14 - IT Review'!F41))</f>
        <v/>
      </c>
      <c r="R694" s="18" t="str">
        <f>""</f>
        <v/>
      </c>
      <c r="S694" s="18" t="str">
        <f>""</f>
        <v/>
      </c>
      <c r="T694" s="18" t="str">
        <f>""</f>
        <v/>
      </c>
      <c r="U694" s="18" t="str">
        <f>IF('Step 14 - IT Review'!B41="","",'Step 14 - IT Review'!I41)</f>
        <v/>
      </c>
      <c r="V694" s="17" t="str">
        <f>IF('Step 14 - IT Review'!B41="","",'Step 14 - IT Review'!K41)</f>
        <v/>
      </c>
      <c r="W694" s="18" t="str">
        <f>IF('Step 14 - IT Review'!B41="","",'Step 14 - IT Review'!L41)</f>
        <v/>
      </c>
      <c r="X694" s="17" t="str">
        <f>IF('Step 14 - IT Review'!B41="","",'Step 14 - IT Review'!N41)</f>
        <v/>
      </c>
      <c r="Y694" s="18" t="str">
        <f>""</f>
        <v/>
      </c>
      <c r="Z694" s="18" t="str">
        <f>""</f>
        <v/>
      </c>
      <c r="AA694" s="18" t="str">
        <f>""</f>
        <v/>
      </c>
      <c r="AB694" s="18" t="str">
        <f>""</f>
        <v/>
      </c>
      <c r="AC694" s="18" t="str">
        <f>""</f>
        <v/>
      </c>
      <c r="AD694" s="18" t="str">
        <f>""</f>
        <v/>
      </c>
      <c r="AE694" s="18" t="str">
        <f>""</f>
        <v/>
      </c>
      <c r="AF694" s="18" t="str">
        <f>""</f>
        <v/>
      </c>
      <c r="AG694" s="18" t="str">
        <f>""</f>
        <v/>
      </c>
      <c r="AH694" s="18" t="str">
        <f>""</f>
        <v/>
      </c>
      <c r="AI694" s="18" t="str">
        <f>""</f>
        <v/>
      </c>
      <c r="AJ694" s="18" t="str">
        <f>""</f>
        <v/>
      </c>
      <c r="AK694" s="18" t="str">
        <f>""</f>
        <v/>
      </c>
      <c r="AL694" s="18" t="str">
        <f>""</f>
        <v/>
      </c>
      <c r="AM694" s="18" t="str">
        <f>""</f>
        <v/>
      </c>
    </row>
    <row r="695" spans="1:39" ht="15.75" customHeight="1" x14ac:dyDescent="0.25">
      <c r="A695" s="19" t="str">
        <f>IF('Step 14 - IT Review'!B42="","","Active")</f>
        <v/>
      </c>
      <c r="B695" s="20" t="str">
        <f>IF('Step 14 - IT Review'!B42="","",'Step 14 - IT Review'!B42)</f>
        <v/>
      </c>
      <c r="C695" s="20" t="str">
        <f>IF('Step 14 - IT Review'!B42="","",'Step 14 - IT Review'!B42)</f>
        <v/>
      </c>
      <c r="D695" s="19" t="str">
        <f>IF('Step 14 - IT Review'!B42="","",'Step 14 - IT Review'!G42)</f>
        <v/>
      </c>
      <c r="E695" s="19" t="str">
        <f>IF('Step 14 - IT Review'!B42="","",'Step 14 - IT Review'!H42)</f>
        <v/>
      </c>
      <c r="F695" s="20" t="str">
        <f>IF('Step 14 - IT Review'!B42="","",IF('Step 14 - IT Review'!C42="","","Fund Code"))</f>
        <v/>
      </c>
      <c r="G695" s="19" t="str">
        <f>IF('Step 14 - IT Review'!B42="","",IF('Step 14 - IT Review'!C42="","","Equals"))</f>
        <v/>
      </c>
      <c r="H695" s="20" t="str">
        <f>IF('Step 14 - IT Review'!B42="","",IF('Step 14 - IT Review'!C42="","",'Step 14 - IT Review'!C42))</f>
        <v/>
      </c>
      <c r="I695" s="20" t="str">
        <f>IF('Step 14 - IT Review'!B42="","","Organization Code")</f>
        <v/>
      </c>
      <c r="J695" s="19" t="str">
        <f>IF('Step 14 - IT Review'!B42="","","Equals")</f>
        <v/>
      </c>
      <c r="K695" s="20" t="str">
        <f>IF('Step 14 - IT Review'!B42="","",'Step 14 - IT Review'!D42)</f>
        <v/>
      </c>
      <c r="L695" s="20" t="str">
        <f>IF('Step 14 - IT Review'!B42="","","Other Criteria")</f>
        <v/>
      </c>
      <c r="M695" s="19" t="str">
        <f>IF('Step 14 - IT Review'!B42="","","Equals")</f>
        <v/>
      </c>
      <c r="N695" s="20" t="str">
        <f>IF('Step 14 - IT Review'!B42="","",'Step 14 - IT Review'!E42)</f>
        <v/>
      </c>
      <c r="O695" s="20" t="str">
        <f>IF('Step 14 - IT Review'!B42="","",IF('Step 14 - IT Review'!F42="","","Total"))</f>
        <v/>
      </c>
      <c r="P695" s="19" t="str">
        <f>IF('Step 14 - IT Review'!B42="","",IF('Step 14 - IT Review'!F42="","","&gt;="))</f>
        <v/>
      </c>
      <c r="Q695" s="20" t="str">
        <f>IF('Step 14 - IT Review'!B42="","",IF('Step 14 - IT Review'!F42="","",'Step 14 - IT Review'!F42))</f>
        <v/>
      </c>
      <c r="R695" s="20" t="str">
        <f>""</f>
        <v/>
      </c>
      <c r="S695" s="20" t="str">
        <f>""</f>
        <v/>
      </c>
      <c r="T695" s="20" t="str">
        <f>""</f>
        <v/>
      </c>
      <c r="U695" s="20" t="str">
        <f>IF('Step 14 - IT Review'!B42="","",'Step 14 - IT Review'!I42)</f>
        <v/>
      </c>
      <c r="V695" s="19" t="str">
        <f>IF('Step 14 - IT Review'!B42="","",'Step 14 - IT Review'!K42)</f>
        <v/>
      </c>
      <c r="W695" s="20" t="str">
        <f>IF('Step 14 - IT Review'!B42="","",'Step 14 - IT Review'!L42)</f>
        <v/>
      </c>
      <c r="X695" s="19" t="str">
        <f>IF('Step 14 - IT Review'!B42="","",'Step 14 - IT Review'!N42)</f>
        <v/>
      </c>
      <c r="Y695" s="20" t="str">
        <f>""</f>
        <v/>
      </c>
      <c r="Z695" s="20" t="str">
        <f>""</f>
        <v/>
      </c>
      <c r="AA695" s="20" t="str">
        <f>""</f>
        <v/>
      </c>
      <c r="AB695" s="20" t="str">
        <f>""</f>
        <v/>
      </c>
      <c r="AC695" s="20" t="str">
        <f>""</f>
        <v/>
      </c>
      <c r="AD695" s="20" t="str">
        <f>""</f>
        <v/>
      </c>
      <c r="AE695" s="20" t="str">
        <f>""</f>
        <v/>
      </c>
      <c r="AF695" s="20" t="str">
        <f>""</f>
        <v/>
      </c>
      <c r="AG695" s="20" t="str">
        <f>""</f>
        <v/>
      </c>
      <c r="AH695" s="20" t="str">
        <f>""</f>
        <v/>
      </c>
      <c r="AI695" s="20" t="str">
        <f>""</f>
        <v/>
      </c>
      <c r="AJ695" s="20" t="str">
        <f>""</f>
        <v/>
      </c>
      <c r="AK695" s="20" t="str">
        <f>""</f>
        <v/>
      </c>
      <c r="AL695" s="20" t="str">
        <f>""</f>
        <v/>
      </c>
      <c r="AM695" s="20" t="str">
        <f>""</f>
        <v/>
      </c>
    </row>
    <row r="696" spans="1:39" ht="15.75" customHeight="1" x14ac:dyDescent="0.25">
      <c r="A696" s="17" t="str">
        <f>IF('Step 14 - IT Review'!B43="","","Active")</f>
        <v/>
      </c>
      <c r="B696" s="18" t="str">
        <f>IF('Step 14 - IT Review'!B43="","",'Step 14 - IT Review'!B43)</f>
        <v/>
      </c>
      <c r="C696" s="18" t="str">
        <f>IF('Step 14 - IT Review'!B43="","",'Step 14 - IT Review'!B43)</f>
        <v/>
      </c>
      <c r="D696" s="17" t="str">
        <f>IF('Step 14 - IT Review'!B43="","",'Step 14 - IT Review'!G43)</f>
        <v/>
      </c>
      <c r="E696" s="17" t="str">
        <f>IF('Step 14 - IT Review'!B43="","",'Step 14 - IT Review'!H43)</f>
        <v/>
      </c>
      <c r="F696" s="18" t="str">
        <f>IF('Step 14 - IT Review'!B43="","",IF('Step 14 - IT Review'!C43="","","Fund Code"))</f>
        <v/>
      </c>
      <c r="G696" s="17" t="str">
        <f>IF('Step 14 - IT Review'!B43="","",IF('Step 14 - IT Review'!C43="","","Equals"))</f>
        <v/>
      </c>
      <c r="H696" s="18" t="str">
        <f>IF('Step 14 - IT Review'!B43="","",IF('Step 14 - IT Review'!C43="","",'Step 14 - IT Review'!C43))</f>
        <v/>
      </c>
      <c r="I696" s="18" t="str">
        <f>IF('Step 14 - IT Review'!B43="","","Organization Code")</f>
        <v/>
      </c>
      <c r="J696" s="17" t="str">
        <f>IF('Step 14 - IT Review'!B43="","","Equals")</f>
        <v/>
      </c>
      <c r="K696" s="18" t="str">
        <f>IF('Step 14 - IT Review'!B43="","",'Step 14 - IT Review'!D43)</f>
        <v/>
      </c>
      <c r="L696" s="18" t="str">
        <f>IF('Step 14 - IT Review'!B43="","","Other Criteria")</f>
        <v/>
      </c>
      <c r="M696" s="17" t="str">
        <f>IF('Step 14 - IT Review'!B43="","","Equals")</f>
        <v/>
      </c>
      <c r="N696" s="18" t="str">
        <f>IF('Step 14 - IT Review'!B43="","",'Step 14 - IT Review'!E43)</f>
        <v/>
      </c>
      <c r="O696" s="18" t="str">
        <f>IF('Step 14 - IT Review'!B43="","",IF('Step 14 - IT Review'!F43="","","Total"))</f>
        <v/>
      </c>
      <c r="P696" s="17" t="str">
        <f>IF('Step 14 - IT Review'!B43="","",IF('Step 14 - IT Review'!F43="","","&gt;="))</f>
        <v/>
      </c>
      <c r="Q696" s="18" t="str">
        <f>IF('Step 14 - IT Review'!B43="","",IF('Step 14 - IT Review'!F43="","",'Step 14 - IT Review'!F43))</f>
        <v/>
      </c>
      <c r="R696" s="18" t="str">
        <f>""</f>
        <v/>
      </c>
      <c r="S696" s="18" t="str">
        <f>""</f>
        <v/>
      </c>
      <c r="T696" s="18" t="str">
        <f>""</f>
        <v/>
      </c>
      <c r="U696" s="18" t="str">
        <f>IF('Step 14 - IT Review'!B43="","",'Step 14 - IT Review'!I43)</f>
        <v/>
      </c>
      <c r="V696" s="17" t="str">
        <f>IF('Step 14 - IT Review'!B43="","",'Step 14 - IT Review'!K43)</f>
        <v/>
      </c>
      <c r="W696" s="18" t="str">
        <f>IF('Step 14 - IT Review'!B43="","",'Step 14 - IT Review'!L43)</f>
        <v/>
      </c>
      <c r="X696" s="17" t="str">
        <f>IF('Step 14 - IT Review'!B43="","",'Step 14 - IT Review'!N43)</f>
        <v/>
      </c>
      <c r="Y696" s="18" t="str">
        <f>""</f>
        <v/>
      </c>
      <c r="Z696" s="18" t="str">
        <f>""</f>
        <v/>
      </c>
      <c r="AA696" s="18" t="str">
        <f>""</f>
        <v/>
      </c>
      <c r="AB696" s="18" t="str">
        <f>""</f>
        <v/>
      </c>
      <c r="AC696" s="18" t="str">
        <f>""</f>
        <v/>
      </c>
      <c r="AD696" s="18" t="str">
        <f>""</f>
        <v/>
      </c>
      <c r="AE696" s="18" t="str">
        <f>""</f>
        <v/>
      </c>
      <c r="AF696" s="18" t="str">
        <f>""</f>
        <v/>
      </c>
      <c r="AG696" s="18" t="str">
        <f>""</f>
        <v/>
      </c>
      <c r="AH696" s="18" t="str">
        <f>""</f>
        <v/>
      </c>
      <c r="AI696" s="18" t="str">
        <f>""</f>
        <v/>
      </c>
      <c r="AJ696" s="18" t="str">
        <f>""</f>
        <v/>
      </c>
      <c r="AK696" s="18" t="str">
        <f>""</f>
        <v/>
      </c>
      <c r="AL696" s="18" t="str">
        <f>""</f>
        <v/>
      </c>
      <c r="AM696" s="18" t="str">
        <f>""</f>
        <v/>
      </c>
    </row>
    <row r="697" spans="1:39" ht="15.75" customHeight="1" x14ac:dyDescent="0.25">
      <c r="A697" s="19" t="str">
        <f>IF('Step 14 - IT Review'!B44="","","Active")</f>
        <v/>
      </c>
      <c r="B697" s="20" t="str">
        <f>IF('Step 14 - IT Review'!B44="","",'Step 14 - IT Review'!B44)</f>
        <v/>
      </c>
      <c r="C697" s="20" t="str">
        <f>IF('Step 14 - IT Review'!B44="","",'Step 14 - IT Review'!B44)</f>
        <v/>
      </c>
      <c r="D697" s="19" t="str">
        <f>IF('Step 14 - IT Review'!B44="","",'Step 14 - IT Review'!G44)</f>
        <v/>
      </c>
      <c r="E697" s="19" t="str">
        <f>IF('Step 14 - IT Review'!B44="","",'Step 14 - IT Review'!H44)</f>
        <v/>
      </c>
      <c r="F697" s="20" t="str">
        <f>IF('Step 14 - IT Review'!B44="","",IF('Step 14 - IT Review'!C44="","","Fund Code"))</f>
        <v/>
      </c>
      <c r="G697" s="19" t="str">
        <f>IF('Step 14 - IT Review'!B44="","",IF('Step 14 - IT Review'!C44="","","Equals"))</f>
        <v/>
      </c>
      <c r="H697" s="20" t="str">
        <f>IF('Step 14 - IT Review'!B44="","",IF('Step 14 - IT Review'!C44="","",'Step 14 - IT Review'!C44))</f>
        <v/>
      </c>
      <c r="I697" s="20" t="str">
        <f>IF('Step 14 - IT Review'!B44="","","Organization Code")</f>
        <v/>
      </c>
      <c r="J697" s="19" t="str">
        <f>IF('Step 14 - IT Review'!B44="","","Equals")</f>
        <v/>
      </c>
      <c r="K697" s="20" t="str">
        <f>IF('Step 14 - IT Review'!B44="","",'Step 14 - IT Review'!D44)</f>
        <v/>
      </c>
      <c r="L697" s="20" t="str">
        <f>IF('Step 14 - IT Review'!B44="","","Other Criteria")</f>
        <v/>
      </c>
      <c r="M697" s="19" t="str">
        <f>IF('Step 14 - IT Review'!B44="","","Equals")</f>
        <v/>
      </c>
      <c r="N697" s="20" t="str">
        <f>IF('Step 14 - IT Review'!B44="","",'Step 14 - IT Review'!E44)</f>
        <v/>
      </c>
      <c r="O697" s="20" t="str">
        <f>IF('Step 14 - IT Review'!B44="","",IF('Step 14 - IT Review'!F44="","","Total"))</f>
        <v/>
      </c>
      <c r="P697" s="19" t="str">
        <f>IF('Step 14 - IT Review'!B44="","",IF('Step 14 - IT Review'!F44="","","&gt;="))</f>
        <v/>
      </c>
      <c r="Q697" s="20" t="str">
        <f>IF('Step 14 - IT Review'!B44="","",IF('Step 14 - IT Review'!F44="","",'Step 14 - IT Review'!F44))</f>
        <v/>
      </c>
      <c r="R697" s="20" t="str">
        <f>""</f>
        <v/>
      </c>
      <c r="S697" s="20" t="str">
        <f>""</f>
        <v/>
      </c>
      <c r="T697" s="20" t="str">
        <f>""</f>
        <v/>
      </c>
      <c r="U697" s="20" t="str">
        <f>IF('Step 14 - IT Review'!B44="","",'Step 14 - IT Review'!I44)</f>
        <v/>
      </c>
      <c r="V697" s="19" t="str">
        <f>IF('Step 14 - IT Review'!B44="","",'Step 14 - IT Review'!K44)</f>
        <v/>
      </c>
      <c r="W697" s="20" t="str">
        <f>IF('Step 14 - IT Review'!B44="","",'Step 14 - IT Review'!L44)</f>
        <v/>
      </c>
      <c r="X697" s="19" t="str">
        <f>IF('Step 14 - IT Review'!B44="","",'Step 14 - IT Review'!N44)</f>
        <v/>
      </c>
      <c r="Y697" s="20" t="str">
        <f>""</f>
        <v/>
      </c>
      <c r="Z697" s="20" t="str">
        <f>""</f>
        <v/>
      </c>
      <c r="AA697" s="20" t="str">
        <f>""</f>
        <v/>
      </c>
      <c r="AB697" s="20" t="str">
        <f>""</f>
        <v/>
      </c>
      <c r="AC697" s="20" t="str">
        <f>""</f>
        <v/>
      </c>
      <c r="AD697" s="20" t="str">
        <f>""</f>
        <v/>
      </c>
      <c r="AE697" s="20" t="str">
        <f>""</f>
        <v/>
      </c>
      <c r="AF697" s="20" t="str">
        <f>""</f>
        <v/>
      </c>
      <c r="AG697" s="20" t="str">
        <f>""</f>
        <v/>
      </c>
      <c r="AH697" s="20" t="str">
        <f>""</f>
        <v/>
      </c>
      <c r="AI697" s="20" t="str">
        <f>""</f>
        <v/>
      </c>
      <c r="AJ697" s="20" t="str">
        <f>""</f>
        <v/>
      </c>
      <c r="AK697" s="20" t="str">
        <f>""</f>
        <v/>
      </c>
      <c r="AL697" s="20" t="str">
        <f>""</f>
        <v/>
      </c>
      <c r="AM697" s="20" t="str">
        <f>""</f>
        <v/>
      </c>
    </row>
    <row r="698" spans="1:39" ht="15.75" customHeight="1" x14ac:dyDescent="0.25">
      <c r="A698" s="17" t="str">
        <f>IF('Step 14 - IT Review'!B45="","","Active")</f>
        <v/>
      </c>
      <c r="B698" s="18" t="str">
        <f>IF('Step 14 - IT Review'!B45="","",'Step 14 - IT Review'!B45)</f>
        <v/>
      </c>
      <c r="C698" s="18" t="str">
        <f>IF('Step 14 - IT Review'!B45="","",'Step 14 - IT Review'!B45)</f>
        <v/>
      </c>
      <c r="D698" s="17" t="str">
        <f>IF('Step 14 - IT Review'!B45="","",'Step 14 - IT Review'!G45)</f>
        <v/>
      </c>
      <c r="E698" s="17" t="str">
        <f>IF('Step 14 - IT Review'!B45="","",'Step 14 - IT Review'!H45)</f>
        <v/>
      </c>
      <c r="F698" s="18" t="str">
        <f>IF('Step 14 - IT Review'!B45="","",IF('Step 14 - IT Review'!C45="","","Fund Code"))</f>
        <v/>
      </c>
      <c r="G698" s="17" t="str">
        <f>IF('Step 14 - IT Review'!B45="","",IF('Step 14 - IT Review'!C45="","","Equals"))</f>
        <v/>
      </c>
      <c r="H698" s="18" t="str">
        <f>IF('Step 14 - IT Review'!B45="","",IF('Step 14 - IT Review'!C45="","",'Step 14 - IT Review'!C45))</f>
        <v/>
      </c>
      <c r="I698" s="18" t="str">
        <f>IF('Step 14 - IT Review'!B45="","","Organization Code")</f>
        <v/>
      </c>
      <c r="J698" s="17" t="str">
        <f>IF('Step 14 - IT Review'!B45="","","Equals")</f>
        <v/>
      </c>
      <c r="K698" s="18" t="str">
        <f>IF('Step 14 - IT Review'!B45="","",'Step 14 - IT Review'!D45)</f>
        <v/>
      </c>
      <c r="L698" s="18" t="str">
        <f>IF('Step 14 - IT Review'!B45="","","Other Criteria")</f>
        <v/>
      </c>
      <c r="M698" s="17" t="str">
        <f>IF('Step 14 - IT Review'!B45="","","Equals")</f>
        <v/>
      </c>
      <c r="N698" s="18" t="str">
        <f>IF('Step 14 - IT Review'!B45="","",'Step 14 - IT Review'!E45)</f>
        <v/>
      </c>
      <c r="O698" s="18" t="str">
        <f>IF('Step 14 - IT Review'!B45="","",IF('Step 14 - IT Review'!F45="","","Total"))</f>
        <v/>
      </c>
      <c r="P698" s="17" t="str">
        <f>IF('Step 14 - IT Review'!B45="","",IF('Step 14 - IT Review'!F45="","","&gt;="))</f>
        <v/>
      </c>
      <c r="Q698" s="18" t="str">
        <f>IF('Step 14 - IT Review'!B45="","",IF('Step 14 - IT Review'!F45="","",'Step 14 - IT Review'!F45))</f>
        <v/>
      </c>
      <c r="R698" s="18" t="str">
        <f>""</f>
        <v/>
      </c>
      <c r="S698" s="18" t="str">
        <f>""</f>
        <v/>
      </c>
      <c r="T698" s="18" t="str">
        <f>""</f>
        <v/>
      </c>
      <c r="U698" s="18" t="str">
        <f>IF('Step 14 - IT Review'!B45="","",'Step 14 - IT Review'!I45)</f>
        <v/>
      </c>
      <c r="V698" s="17" t="str">
        <f>IF('Step 14 - IT Review'!B45="","",'Step 14 - IT Review'!K45)</f>
        <v/>
      </c>
      <c r="W698" s="18" t="str">
        <f>IF('Step 14 - IT Review'!B45="","",'Step 14 - IT Review'!L45)</f>
        <v/>
      </c>
      <c r="X698" s="17" t="str">
        <f>IF('Step 14 - IT Review'!B45="","",'Step 14 - IT Review'!N45)</f>
        <v/>
      </c>
      <c r="Y698" s="18" t="str">
        <f>""</f>
        <v/>
      </c>
      <c r="Z698" s="18" t="str">
        <f>""</f>
        <v/>
      </c>
      <c r="AA698" s="18" t="str">
        <f>""</f>
        <v/>
      </c>
      <c r="AB698" s="18" t="str">
        <f>""</f>
        <v/>
      </c>
      <c r="AC698" s="18" t="str">
        <f>""</f>
        <v/>
      </c>
      <c r="AD698" s="18" t="str">
        <f>""</f>
        <v/>
      </c>
      <c r="AE698" s="18" t="str">
        <f>""</f>
        <v/>
      </c>
      <c r="AF698" s="18" t="str">
        <f>""</f>
        <v/>
      </c>
      <c r="AG698" s="18" t="str">
        <f>""</f>
        <v/>
      </c>
      <c r="AH698" s="18" t="str">
        <f>""</f>
        <v/>
      </c>
      <c r="AI698" s="18" t="str">
        <f>""</f>
        <v/>
      </c>
      <c r="AJ698" s="18" t="str">
        <f>""</f>
        <v/>
      </c>
      <c r="AK698" s="18" t="str">
        <f>""</f>
        <v/>
      </c>
      <c r="AL698" s="18" t="str">
        <f>""</f>
        <v/>
      </c>
      <c r="AM698" s="18" t="str">
        <f>""</f>
        <v/>
      </c>
    </row>
    <row r="699" spans="1:39" ht="15.75" customHeight="1" x14ac:dyDescent="0.25">
      <c r="A699" s="19" t="str">
        <f>IF('Step 14 - IT Review'!B46="","","Active")</f>
        <v/>
      </c>
      <c r="B699" s="20" t="str">
        <f>IF('Step 14 - IT Review'!B46="","",'Step 14 - IT Review'!B46)</f>
        <v/>
      </c>
      <c r="C699" s="20" t="str">
        <f>IF('Step 14 - IT Review'!B46="","",'Step 14 - IT Review'!B46)</f>
        <v/>
      </c>
      <c r="D699" s="19" t="str">
        <f>IF('Step 14 - IT Review'!B46="","",'Step 14 - IT Review'!G46)</f>
        <v/>
      </c>
      <c r="E699" s="19" t="str">
        <f>IF('Step 14 - IT Review'!B46="","",'Step 14 - IT Review'!H46)</f>
        <v/>
      </c>
      <c r="F699" s="20" t="str">
        <f>IF('Step 14 - IT Review'!B46="","",IF('Step 14 - IT Review'!C46="","","Fund Code"))</f>
        <v/>
      </c>
      <c r="G699" s="19" t="str">
        <f>IF('Step 14 - IT Review'!B46="","",IF('Step 14 - IT Review'!C46="","","Equals"))</f>
        <v/>
      </c>
      <c r="H699" s="20" t="str">
        <f>IF('Step 14 - IT Review'!B46="","",IF('Step 14 - IT Review'!C46="","",'Step 14 - IT Review'!C46))</f>
        <v/>
      </c>
      <c r="I699" s="20" t="str">
        <f>IF('Step 14 - IT Review'!B46="","","Organization Code")</f>
        <v/>
      </c>
      <c r="J699" s="19" t="str">
        <f>IF('Step 14 - IT Review'!B46="","","Equals")</f>
        <v/>
      </c>
      <c r="K699" s="20" t="str">
        <f>IF('Step 14 - IT Review'!B46="","",'Step 14 - IT Review'!D46)</f>
        <v/>
      </c>
      <c r="L699" s="20" t="str">
        <f>IF('Step 14 - IT Review'!B46="","","Other Criteria")</f>
        <v/>
      </c>
      <c r="M699" s="19" t="str">
        <f>IF('Step 14 - IT Review'!B46="","","Equals")</f>
        <v/>
      </c>
      <c r="N699" s="20" t="str">
        <f>IF('Step 14 - IT Review'!B46="","",'Step 14 - IT Review'!E46)</f>
        <v/>
      </c>
      <c r="O699" s="20" t="str">
        <f>IF('Step 14 - IT Review'!B46="","",IF('Step 14 - IT Review'!F46="","","Total"))</f>
        <v/>
      </c>
      <c r="P699" s="19" t="str">
        <f>IF('Step 14 - IT Review'!B46="","",IF('Step 14 - IT Review'!F46="","","&gt;="))</f>
        <v/>
      </c>
      <c r="Q699" s="20" t="str">
        <f>IF('Step 14 - IT Review'!B46="","",IF('Step 14 - IT Review'!F46="","",'Step 14 - IT Review'!F46))</f>
        <v/>
      </c>
      <c r="R699" s="20" t="str">
        <f>""</f>
        <v/>
      </c>
      <c r="S699" s="20" t="str">
        <f>""</f>
        <v/>
      </c>
      <c r="T699" s="20" t="str">
        <f>""</f>
        <v/>
      </c>
      <c r="U699" s="20" t="str">
        <f>IF('Step 14 - IT Review'!B46="","",'Step 14 - IT Review'!I46)</f>
        <v/>
      </c>
      <c r="V699" s="19" t="str">
        <f>IF('Step 14 - IT Review'!B46="","",'Step 14 - IT Review'!K46)</f>
        <v/>
      </c>
      <c r="W699" s="20" t="str">
        <f>IF('Step 14 - IT Review'!B46="","",'Step 14 - IT Review'!L46)</f>
        <v/>
      </c>
      <c r="X699" s="19" t="str">
        <f>IF('Step 14 - IT Review'!B46="","",'Step 14 - IT Review'!N46)</f>
        <v/>
      </c>
      <c r="Y699" s="20" t="str">
        <f>""</f>
        <v/>
      </c>
      <c r="Z699" s="20" t="str">
        <f>""</f>
        <v/>
      </c>
      <c r="AA699" s="20" t="str">
        <f>""</f>
        <v/>
      </c>
      <c r="AB699" s="20" t="str">
        <f>""</f>
        <v/>
      </c>
      <c r="AC699" s="20" t="str">
        <f>""</f>
        <v/>
      </c>
      <c r="AD699" s="20" t="str">
        <f>""</f>
        <v/>
      </c>
      <c r="AE699" s="20" t="str">
        <f>""</f>
        <v/>
      </c>
      <c r="AF699" s="20" t="str">
        <f>""</f>
        <v/>
      </c>
      <c r="AG699" s="20" t="str">
        <f>""</f>
        <v/>
      </c>
      <c r="AH699" s="20" t="str">
        <f>""</f>
        <v/>
      </c>
      <c r="AI699" s="20" t="str">
        <f>""</f>
        <v/>
      </c>
      <c r="AJ699" s="20" t="str">
        <f>""</f>
        <v/>
      </c>
      <c r="AK699" s="20" t="str">
        <f>""</f>
        <v/>
      </c>
      <c r="AL699" s="20" t="str">
        <f>""</f>
        <v/>
      </c>
      <c r="AM699" s="20" t="str">
        <f>""</f>
        <v/>
      </c>
    </row>
    <row r="700" spans="1:39" ht="15.75" customHeight="1" x14ac:dyDescent="0.25">
      <c r="A700" s="17" t="str">
        <f>IF('Step 14 - IT Review'!B47="","","Active")</f>
        <v/>
      </c>
      <c r="B700" s="18" t="str">
        <f>IF('Step 14 - IT Review'!B47="","",'Step 14 - IT Review'!B47)</f>
        <v/>
      </c>
      <c r="C700" s="18" t="str">
        <f>IF('Step 14 - IT Review'!B47="","",'Step 14 - IT Review'!B47)</f>
        <v/>
      </c>
      <c r="D700" s="17" t="str">
        <f>IF('Step 14 - IT Review'!B47="","",'Step 14 - IT Review'!G47)</f>
        <v/>
      </c>
      <c r="E700" s="17" t="str">
        <f>IF('Step 14 - IT Review'!B47="","",'Step 14 - IT Review'!H47)</f>
        <v/>
      </c>
      <c r="F700" s="18" t="str">
        <f>IF('Step 14 - IT Review'!B47="","",IF('Step 14 - IT Review'!C47="","","Fund Code"))</f>
        <v/>
      </c>
      <c r="G700" s="17" t="str">
        <f>IF('Step 14 - IT Review'!B47="","",IF('Step 14 - IT Review'!C47="","","Equals"))</f>
        <v/>
      </c>
      <c r="H700" s="18" t="str">
        <f>IF('Step 14 - IT Review'!B47="","",IF('Step 14 - IT Review'!C47="","",'Step 14 - IT Review'!C47))</f>
        <v/>
      </c>
      <c r="I700" s="18" t="str">
        <f>IF('Step 14 - IT Review'!B47="","","Organization Code")</f>
        <v/>
      </c>
      <c r="J700" s="17" t="str">
        <f>IF('Step 14 - IT Review'!B47="","","Equals")</f>
        <v/>
      </c>
      <c r="K700" s="18" t="str">
        <f>IF('Step 14 - IT Review'!B47="","",'Step 14 - IT Review'!D47)</f>
        <v/>
      </c>
      <c r="L700" s="18" t="str">
        <f>IF('Step 14 - IT Review'!B47="","","Other Criteria")</f>
        <v/>
      </c>
      <c r="M700" s="17" t="str">
        <f>IF('Step 14 - IT Review'!B47="","","Equals")</f>
        <v/>
      </c>
      <c r="N700" s="18" t="str">
        <f>IF('Step 14 - IT Review'!B47="","",'Step 14 - IT Review'!E47)</f>
        <v/>
      </c>
      <c r="O700" s="18" t="str">
        <f>IF('Step 14 - IT Review'!B47="","",IF('Step 14 - IT Review'!F47="","","Total"))</f>
        <v/>
      </c>
      <c r="P700" s="17" t="str">
        <f>IF('Step 14 - IT Review'!B47="","",IF('Step 14 - IT Review'!F47="","","&gt;="))</f>
        <v/>
      </c>
      <c r="Q700" s="18" t="str">
        <f>IF('Step 14 - IT Review'!B47="","",IF('Step 14 - IT Review'!F47="","",'Step 14 - IT Review'!F47))</f>
        <v/>
      </c>
      <c r="R700" s="18" t="str">
        <f>""</f>
        <v/>
      </c>
      <c r="S700" s="18" t="str">
        <f>""</f>
        <v/>
      </c>
      <c r="T700" s="18" t="str">
        <f>""</f>
        <v/>
      </c>
      <c r="U700" s="18" t="str">
        <f>IF('Step 14 - IT Review'!B47="","",'Step 14 - IT Review'!I47)</f>
        <v/>
      </c>
      <c r="V700" s="17" t="str">
        <f>IF('Step 14 - IT Review'!B47="","",'Step 14 - IT Review'!K47)</f>
        <v/>
      </c>
      <c r="W700" s="18" t="str">
        <f>IF('Step 14 - IT Review'!B47="","",'Step 14 - IT Review'!L47)</f>
        <v/>
      </c>
      <c r="X700" s="17" t="str">
        <f>IF('Step 14 - IT Review'!B47="","",'Step 14 - IT Review'!N47)</f>
        <v/>
      </c>
      <c r="Y700" s="18" t="str">
        <f>""</f>
        <v/>
      </c>
      <c r="Z700" s="18" t="str">
        <f>""</f>
        <v/>
      </c>
      <c r="AA700" s="18" t="str">
        <f>""</f>
        <v/>
      </c>
      <c r="AB700" s="18" t="str">
        <f>""</f>
        <v/>
      </c>
      <c r="AC700" s="18" t="str">
        <f>""</f>
        <v/>
      </c>
      <c r="AD700" s="18" t="str">
        <f>""</f>
        <v/>
      </c>
      <c r="AE700" s="18" t="str">
        <f>""</f>
        <v/>
      </c>
      <c r="AF700" s="18" t="str">
        <f>""</f>
        <v/>
      </c>
      <c r="AG700" s="18" t="str">
        <f>""</f>
        <v/>
      </c>
      <c r="AH700" s="18" t="str">
        <f>""</f>
        <v/>
      </c>
      <c r="AI700" s="18" t="str">
        <f>""</f>
        <v/>
      </c>
      <c r="AJ700" s="18" t="str">
        <f>""</f>
        <v/>
      </c>
      <c r="AK700" s="18" t="str">
        <f>""</f>
        <v/>
      </c>
      <c r="AL700" s="18" t="str">
        <f>""</f>
        <v/>
      </c>
      <c r="AM700" s="18" t="str">
        <f>""</f>
        <v/>
      </c>
    </row>
    <row r="701" spans="1:39" ht="15.75" customHeight="1" x14ac:dyDescent="0.25">
      <c r="A701" s="19" t="str">
        <f>IF('Step 14 - IT Review'!B48="","","Active")</f>
        <v/>
      </c>
      <c r="B701" s="20" t="str">
        <f>IF('Step 14 - IT Review'!B48="","",'Step 14 - IT Review'!B48)</f>
        <v/>
      </c>
      <c r="C701" s="20" t="str">
        <f>IF('Step 14 - IT Review'!B48="","",'Step 14 - IT Review'!B48)</f>
        <v/>
      </c>
      <c r="D701" s="19" t="str">
        <f>IF('Step 14 - IT Review'!B48="","",'Step 14 - IT Review'!G48)</f>
        <v/>
      </c>
      <c r="E701" s="19" t="str">
        <f>IF('Step 14 - IT Review'!B48="","",'Step 14 - IT Review'!H48)</f>
        <v/>
      </c>
      <c r="F701" s="20" t="str">
        <f>IF('Step 14 - IT Review'!B48="","",IF('Step 14 - IT Review'!C48="","","Fund Code"))</f>
        <v/>
      </c>
      <c r="G701" s="19" t="str">
        <f>IF('Step 14 - IT Review'!B48="","",IF('Step 14 - IT Review'!C48="","","Equals"))</f>
        <v/>
      </c>
      <c r="H701" s="20" t="str">
        <f>IF('Step 14 - IT Review'!B48="","",IF('Step 14 - IT Review'!C48="","",'Step 14 - IT Review'!C48))</f>
        <v/>
      </c>
      <c r="I701" s="20" t="str">
        <f>IF('Step 14 - IT Review'!B48="","","Organization Code")</f>
        <v/>
      </c>
      <c r="J701" s="19" t="str">
        <f>IF('Step 14 - IT Review'!B48="","","Equals")</f>
        <v/>
      </c>
      <c r="K701" s="20" t="str">
        <f>IF('Step 14 - IT Review'!B48="","",'Step 14 - IT Review'!D48)</f>
        <v/>
      </c>
      <c r="L701" s="20" t="str">
        <f>IF('Step 14 - IT Review'!B48="","","Other Criteria")</f>
        <v/>
      </c>
      <c r="M701" s="19" t="str">
        <f>IF('Step 14 - IT Review'!B48="","","Equals")</f>
        <v/>
      </c>
      <c r="N701" s="20" t="str">
        <f>IF('Step 14 - IT Review'!B48="","",'Step 14 - IT Review'!E48)</f>
        <v/>
      </c>
      <c r="O701" s="20" t="str">
        <f>IF('Step 14 - IT Review'!B48="","",IF('Step 14 - IT Review'!F48="","","Total"))</f>
        <v/>
      </c>
      <c r="P701" s="19" t="str">
        <f>IF('Step 14 - IT Review'!B48="","",IF('Step 14 - IT Review'!F48="","","&gt;="))</f>
        <v/>
      </c>
      <c r="Q701" s="20" t="str">
        <f>IF('Step 14 - IT Review'!B48="","",IF('Step 14 - IT Review'!F48="","",'Step 14 - IT Review'!F48))</f>
        <v/>
      </c>
      <c r="R701" s="20" t="str">
        <f>""</f>
        <v/>
      </c>
      <c r="S701" s="20" t="str">
        <f>""</f>
        <v/>
      </c>
      <c r="T701" s="20" t="str">
        <f>""</f>
        <v/>
      </c>
      <c r="U701" s="20" t="str">
        <f>IF('Step 14 - IT Review'!B48="","",'Step 14 - IT Review'!I48)</f>
        <v/>
      </c>
      <c r="V701" s="19" t="str">
        <f>IF('Step 14 - IT Review'!B48="","",'Step 14 - IT Review'!K48)</f>
        <v/>
      </c>
      <c r="W701" s="20" t="str">
        <f>IF('Step 14 - IT Review'!B48="","",'Step 14 - IT Review'!L48)</f>
        <v/>
      </c>
      <c r="X701" s="19" t="str">
        <f>IF('Step 14 - IT Review'!B48="","",'Step 14 - IT Review'!N48)</f>
        <v/>
      </c>
      <c r="Y701" s="20" t="str">
        <f>""</f>
        <v/>
      </c>
      <c r="Z701" s="20" t="str">
        <f>""</f>
        <v/>
      </c>
      <c r="AA701" s="20" t="str">
        <f>""</f>
        <v/>
      </c>
      <c r="AB701" s="20" t="str">
        <f>""</f>
        <v/>
      </c>
      <c r="AC701" s="20" t="str">
        <f>""</f>
        <v/>
      </c>
      <c r="AD701" s="20" t="str">
        <f>""</f>
        <v/>
      </c>
      <c r="AE701" s="20" t="str">
        <f>""</f>
        <v/>
      </c>
      <c r="AF701" s="20" t="str">
        <f>""</f>
        <v/>
      </c>
      <c r="AG701" s="20" t="str">
        <f>""</f>
        <v/>
      </c>
      <c r="AH701" s="20" t="str">
        <f>""</f>
        <v/>
      </c>
      <c r="AI701" s="20" t="str">
        <f>""</f>
        <v/>
      </c>
      <c r="AJ701" s="20" t="str">
        <f>""</f>
        <v/>
      </c>
      <c r="AK701" s="20" t="str">
        <f>""</f>
        <v/>
      </c>
      <c r="AL701" s="20" t="str">
        <f>""</f>
        <v/>
      </c>
      <c r="AM701" s="20" t="str">
        <f>""</f>
        <v/>
      </c>
    </row>
    <row r="702" spans="1:39" ht="15.75" customHeight="1" x14ac:dyDescent="0.25">
      <c r="A702" s="17" t="str">
        <f>IF('Step 14 - IT Review'!B49="","","Active")</f>
        <v/>
      </c>
      <c r="B702" s="18" t="str">
        <f>IF('Step 14 - IT Review'!B49="","",'Step 14 - IT Review'!B49)</f>
        <v/>
      </c>
      <c r="C702" s="18" t="str">
        <f>IF('Step 14 - IT Review'!B49="","",'Step 14 - IT Review'!B49)</f>
        <v/>
      </c>
      <c r="D702" s="17" t="str">
        <f>IF('Step 14 - IT Review'!B49="","",'Step 14 - IT Review'!G49)</f>
        <v/>
      </c>
      <c r="E702" s="17" t="str">
        <f>IF('Step 14 - IT Review'!B49="","",'Step 14 - IT Review'!H49)</f>
        <v/>
      </c>
      <c r="F702" s="18" t="str">
        <f>IF('Step 14 - IT Review'!B49="","",IF('Step 14 - IT Review'!C49="","","Fund Code"))</f>
        <v/>
      </c>
      <c r="G702" s="17" t="str">
        <f>IF('Step 14 - IT Review'!B49="","",IF('Step 14 - IT Review'!C49="","","Equals"))</f>
        <v/>
      </c>
      <c r="H702" s="18" t="str">
        <f>IF('Step 14 - IT Review'!B49="","",IF('Step 14 - IT Review'!C49="","",'Step 14 - IT Review'!C49))</f>
        <v/>
      </c>
      <c r="I702" s="18" t="str">
        <f>IF('Step 14 - IT Review'!B49="","","Organization Code")</f>
        <v/>
      </c>
      <c r="J702" s="17" t="str">
        <f>IF('Step 14 - IT Review'!B49="","","Equals")</f>
        <v/>
      </c>
      <c r="K702" s="18" t="str">
        <f>IF('Step 14 - IT Review'!B49="","",'Step 14 - IT Review'!D49)</f>
        <v/>
      </c>
      <c r="L702" s="18" t="str">
        <f>IF('Step 14 - IT Review'!B49="","","Other Criteria")</f>
        <v/>
      </c>
      <c r="M702" s="17" t="str">
        <f>IF('Step 14 - IT Review'!B49="","","Equals")</f>
        <v/>
      </c>
      <c r="N702" s="18" t="str">
        <f>IF('Step 14 - IT Review'!B49="","",'Step 14 - IT Review'!E49)</f>
        <v/>
      </c>
      <c r="O702" s="18" t="str">
        <f>IF('Step 14 - IT Review'!B49="","",IF('Step 14 - IT Review'!F49="","","Total"))</f>
        <v/>
      </c>
      <c r="P702" s="17" t="str">
        <f>IF('Step 14 - IT Review'!B49="","",IF('Step 14 - IT Review'!F49="","","&gt;="))</f>
        <v/>
      </c>
      <c r="Q702" s="18" t="str">
        <f>IF('Step 14 - IT Review'!B49="","",IF('Step 14 - IT Review'!F49="","",'Step 14 - IT Review'!F49))</f>
        <v/>
      </c>
      <c r="R702" s="18" t="str">
        <f>""</f>
        <v/>
      </c>
      <c r="S702" s="18" t="str">
        <f>""</f>
        <v/>
      </c>
      <c r="T702" s="18" t="str">
        <f>""</f>
        <v/>
      </c>
      <c r="U702" s="18" t="str">
        <f>IF('Step 14 - IT Review'!B49="","",'Step 14 - IT Review'!I49)</f>
        <v/>
      </c>
      <c r="V702" s="17" t="str">
        <f>IF('Step 14 - IT Review'!B49="","",'Step 14 - IT Review'!K49)</f>
        <v/>
      </c>
      <c r="W702" s="18" t="str">
        <f>IF('Step 14 - IT Review'!B49="","",'Step 14 - IT Review'!L49)</f>
        <v/>
      </c>
      <c r="X702" s="17" t="str">
        <f>IF('Step 14 - IT Review'!B49="","",'Step 14 - IT Review'!N49)</f>
        <v/>
      </c>
      <c r="Y702" s="18" t="str">
        <f>""</f>
        <v/>
      </c>
      <c r="Z702" s="18" t="str">
        <f>""</f>
        <v/>
      </c>
      <c r="AA702" s="18" t="str">
        <f>""</f>
        <v/>
      </c>
      <c r="AB702" s="18" t="str">
        <f>""</f>
        <v/>
      </c>
      <c r="AC702" s="18" t="str">
        <f>""</f>
        <v/>
      </c>
      <c r="AD702" s="18" t="str">
        <f>""</f>
        <v/>
      </c>
      <c r="AE702" s="18" t="str">
        <f>""</f>
        <v/>
      </c>
      <c r="AF702" s="18" t="str">
        <f>""</f>
        <v/>
      </c>
      <c r="AG702" s="18" t="str">
        <f>""</f>
        <v/>
      </c>
      <c r="AH702" s="18" t="str">
        <f>""</f>
        <v/>
      </c>
      <c r="AI702" s="18" t="str">
        <f>""</f>
        <v/>
      </c>
      <c r="AJ702" s="18" t="str">
        <f>""</f>
        <v/>
      </c>
      <c r="AK702" s="18" t="str">
        <f>""</f>
        <v/>
      </c>
      <c r="AL702" s="18" t="str">
        <f>""</f>
        <v/>
      </c>
      <c r="AM702" s="18" t="str">
        <f>""</f>
        <v/>
      </c>
    </row>
    <row r="703" spans="1:39" ht="15.75" customHeight="1" x14ac:dyDescent="0.25">
      <c r="A703" s="19" t="str">
        <f>IF('Step 14 - IT Review'!B50="","","Active")</f>
        <v/>
      </c>
      <c r="B703" s="20" t="str">
        <f>IF('Step 14 - IT Review'!B50="","",'Step 14 - IT Review'!B50)</f>
        <v/>
      </c>
      <c r="C703" s="20" t="str">
        <f>IF('Step 14 - IT Review'!B50="","",'Step 14 - IT Review'!B50)</f>
        <v/>
      </c>
      <c r="D703" s="19" t="str">
        <f>IF('Step 14 - IT Review'!B50="","",'Step 14 - IT Review'!G50)</f>
        <v/>
      </c>
      <c r="E703" s="19" t="str">
        <f>IF('Step 14 - IT Review'!B50="","",'Step 14 - IT Review'!H50)</f>
        <v/>
      </c>
      <c r="F703" s="20" t="str">
        <f>IF('Step 14 - IT Review'!B50="","",IF('Step 14 - IT Review'!C50="","","Fund Code"))</f>
        <v/>
      </c>
      <c r="G703" s="19" t="str">
        <f>IF('Step 14 - IT Review'!B50="","",IF('Step 14 - IT Review'!C50="","","Equals"))</f>
        <v/>
      </c>
      <c r="H703" s="20" t="str">
        <f>IF('Step 14 - IT Review'!B50="","",IF('Step 14 - IT Review'!C50="","",'Step 14 - IT Review'!C50))</f>
        <v/>
      </c>
      <c r="I703" s="20" t="str">
        <f>IF('Step 14 - IT Review'!B50="","","Organization Code")</f>
        <v/>
      </c>
      <c r="J703" s="19" t="str">
        <f>IF('Step 14 - IT Review'!B50="","","Equals")</f>
        <v/>
      </c>
      <c r="K703" s="20" t="str">
        <f>IF('Step 14 - IT Review'!B50="","",'Step 14 - IT Review'!D50)</f>
        <v/>
      </c>
      <c r="L703" s="20" t="str">
        <f>IF('Step 14 - IT Review'!B50="","","Other Criteria")</f>
        <v/>
      </c>
      <c r="M703" s="19" t="str">
        <f>IF('Step 14 - IT Review'!B50="","","Equals")</f>
        <v/>
      </c>
      <c r="N703" s="20" t="str">
        <f>IF('Step 14 - IT Review'!B50="","",'Step 14 - IT Review'!E50)</f>
        <v/>
      </c>
      <c r="O703" s="20" t="str">
        <f>IF('Step 14 - IT Review'!B50="","",IF('Step 14 - IT Review'!F50="","","Total"))</f>
        <v/>
      </c>
      <c r="P703" s="19" t="str">
        <f>IF('Step 14 - IT Review'!B50="","",IF('Step 14 - IT Review'!F50="","","&gt;="))</f>
        <v/>
      </c>
      <c r="Q703" s="20" t="str">
        <f>IF('Step 14 - IT Review'!B50="","",IF('Step 14 - IT Review'!F50="","",'Step 14 - IT Review'!F50))</f>
        <v/>
      </c>
      <c r="R703" s="20" t="str">
        <f>""</f>
        <v/>
      </c>
      <c r="S703" s="20" t="str">
        <f>""</f>
        <v/>
      </c>
      <c r="T703" s="20" t="str">
        <f>""</f>
        <v/>
      </c>
      <c r="U703" s="20" t="str">
        <f>IF('Step 14 - IT Review'!B50="","",'Step 14 - IT Review'!I50)</f>
        <v/>
      </c>
      <c r="V703" s="19" t="str">
        <f>IF('Step 14 - IT Review'!B50="","",'Step 14 - IT Review'!K50)</f>
        <v/>
      </c>
      <c r="W703" s="20" t="str">
        <f>IF('Step 14 - IT Review'!B50="","",'Step 14 - IT Review'!L50)</f>
        <v/>
      </c>
      <c r="X703" s="19" t="str">
        <f>IF('Step 14 - IT Review'!B50="","",'Step 14 - IT Review'!N50)</f>
        <v/>
      </c>
      <c r="Y703" s="20" t="str">
        <f>""</f>
        <v/>
      </c>
      <c r="Z703" s="20" t="str">
        <f>""</f>
        <v/>
      </c>
      <c r="AA703" s="20" t="str">
        <f>""</f>
        <v/>
      </c>
      <c r="AB703" s="20" t="str">
        <f>""</f>
        <v/>
      </c>
      <c r="AC703" s="20" t="str">
        <f>""</f>
        <v/>
      </c>
      <c r="AD703" s="20" t="str">
        <f>""</f>
        <v/>
      </c>
      <c r="AE703" s="20" t="str">
        <f>""</f>
        <v/>
      </c>
      <c r="AF703" s="20" t="str">
        <f>""</f>
        <v/>
      </c>
      <c r="AG703" s="20" t="str">
        <f>""</f>
        <v/>
      </c>
      <c r="AH703" s="20" t="str">
        <f>""</f>
        <v/>
      </c>
      <c r="AI703" s="20" t="str">
        <f>""</f>
        <v/>
      </c>
      <c r="AJ703" s="20" t="str">
        <f>""</f>
        <v/>
      </c>
      <c r="AK703" s="20" t="str">
        <f>""</f>
        <v/>
      </c>
      <c r="AL703" s="20" t="str">
        <f>""</f>
        <v/>
      </c>
      <c r="AM703" s="20" t="str">
        <f>""</f>
        <v/>
      </c>
    </row>
    <row r="704" spans="1:39" ht="15.75" customHeight="1" x14ac:dyDescent="0.25">
      <c r="A704" s="17" t="str">
        <f>IF('Step 14 - IT Review'!B51="","","Active")</f>
        <v/>
      </c>
      <c r="B704" s="18" t="str">
        <f>IF('Step 14 - IT Review'!B51="","",'Step 14 - IT Review'!B51)</f>
        <v/>
      </c>
      <c r="C704" s="18" t="str">
        <f>IF('Step 14 - IT Review'!B51="","",'Step 14 - IT Review'!B51)</f>
        <v/>
      </c>
      <c r="D704" s="17" t="str">
        <f>IF('Step 14 - IT Review'!B51="","",'Step 14 - IT Review'!G51)</f>
        <v/>
      </c>
      <c r="E704" s="17" t="str">
        <f>IF('Step 14 - IT Review'!B51="","",'Step 14 - IT Review'!H51)</f>
        <v/>
      </c>
      <c r="F704" s="18" t="str">
        <f>IF('Step 14 - IT Review'!B51="","",IF('Step 14 - IT Review'!C51="","","Fund Code"))</f>
        <v/>
      </c>
      <c r="G704" s="17" t="str">
        <f>IF('Step 14 - IT Review'!B51="","",IF('Step 14 - IT Review'!C51="","","Equals"))</f>
        <v/>
      </c>
      <c r="H704" s="18" t="str">
        <f>IF('Step 14 - IT Review'!B51="","",IF('Step 14 - IT Review'!C51="","",'Step 14 - IT Review'!C51))</f>
        <v/>
      </c>
      <c r="I704" s="18" t="str">
        <f>IF('Step 14 - IT Review'!B51="","","Organization Code")</f>
        <v/>
      </c>
      <c r="J704" s="17" t="str">
        <f>IF('Step 14 - IT Review'!B51="","","Equals")</f>
        <v/>
      </c>
      <c r="K704" s="18" t="str">
        <f>IF('Step 14 - IT Review'!B51="","",'Step 14 - IT Review'!D51)</f>
        <v/>
      </c>
      <c r="L704" s="18" t="str">
        <f>IF('Step 14 - IT Review'!B51="","","Other Criteria")</f>
        <v/>
      </c>
      <c r="M704" s="17" t="str">
        <f>IF('Step 14 - IT Review'!B51="","","Equals")</f>
        <v/>
      </c>
      <c r="N704" s="18" t="str">
        <f>IF('Step 14 - IT Review'!B51="","",'Step 14 - IT Review'!E51)</f>
        <v/>
      </c>
      <c r="O704" s="18" t="str">
        <f>IF('Step 14 - IT Review'!B51="","",IF('Step 14 - IT Review'!F51="","","Total"))</f>
        <v/>
      </c>
      <c r="P704" s="17" t="str">
        <f>IF('Step 14 - IT Review'!B51="","",IF('Step 14 - IT Review'!F51="","","&gt;="))</f>
        <v/>
      </c>
      <c r="Q704" s="18" t="str">
        <f>IF('Step 14 - IT Review'!B51="","",IF('Step 14 - IT Review'!F51="","",'Step 14 - IT Review'!F51))</f>
        <v/>
      </c>
      <c r="R704" s="18" t="str">
        <f>""</f>
        <v/>
      </c>
      <c r="S704" s="18" t="str">
        <f>""</f>
        <v/>
      </c>
      <c r="T704" s="18" t="str">
        <f>""</f>
        <v/>
      </c>
      <c r="U704" s="18" t="str">
        <f>IF('Step 14 - IT Review'!B51="","",'Step 14 - IT Review'!I51)</f>
        <v/>
      </c>
      <c r="V704" s="17" t="str">
        <f>IF('Step 14 - IT Review'!B51="","",'Step 14 - IT Review'!K51)</f>
        <v/>
      </c>
      <c r="W704" s="18" t="str">
        <f>IF('Step 14 - IT Review'!B51="","",'Step 14 - IT Review'!L51)</f>
        <v/>
      </c>
      <c r="X704" s="17" t="str">
        <f>IF('Step 14 - IT Review'!B51="","",'Step 14 - IT Review'!N51)</f>
        <v/>
      </c>
      <c r="Y704" s="18" t="str">
        <f>""</f>
        <v/>
      </c>
      <c r="Z704" s="18" t="str">
        <f>""</f>
        <v/>
      </c>
      <c r="AA704" s="18" t="str">
        <f>""</f>
        <v/>
      </c>
      <c r="AB704" s="18" t="str">
        <f>""</f>
        <v/>
      </c>
      <c r="AC704" s="18" t="str">
        <f>""</f>
        <v/>
      </c>
      <c r="AD704" s="18" t="str">
        <f>""</f>
        <v/>
      </c>
      <c r="AE704" s="18" t="str">
        <f>""</f>
        <v/>
      </c>
      <c r="AF704" s="18" t="str">
        <f>""</f>
        <v/>
      </c>
      <c r="AG704" s="18" t="str">
        <f>""</f>
        <v/>
      </c>
      <c r="AH704" s="18" t="str">
        <f>""</f>
        <v/>
      </c>
      <c r="AI704" s="18" t="str">
        <f>""</f>
        <v/>
      </c>
      <c r="AJ704" s="18" t="str">
        <f>""</f>
        <v/>
      </c>
      <c r="AK704" s="18" t="str">
        <f>""</f>
        <v/>
      </c>
      <c r="AL704" s="18" t="str">
        <f>""</f>
        <v/>
      </c>
      <c r="AM704" s="18" t="str">
        <f>""</f>
        <v/>
      </c>
    </row>
    <row r="705" spans="1:39" ht="15.75" customHeight="1" x14ac:dyDescent="0.25">
      <c r="A705" s="19" t="str">
        <f>IF('Step 14 - IT Review'!B52="","","Active")</f>
        <v/>
      </c>
      <c r="B705" s="20" t="str">
        <f>IF('Step 14 - IT Review'!B52="","",'Step 14 - IT Review'!B52)</f>
        <v/>
      </c>
      <c r="C705" s="20" t="str">
        <f>IF('Step 14 - IT Review'!B52="","",'Step 14 - IT Review'!B52)</f>
        <v/>
      </c>
      <c r="D705" s="19" t="str">
        <f>IF('Step 14 - IT Review'!B52="","",'Step 14 - IT Review'!G52)</f>
        <v/>
      </c>
      <c r="E705" s="19" t="str">
        <f>IF('Step 14 - IT Review'!B52="","",'Step 14 - IT Review'!H52)</f>
        <v/>
      </c>
      <c r="F705" s="20" t="str">
        <f>IF('Step 14 - IT Review'!B52="","",IF('Step 14 - IT Review'!C52="","","Fund Code"))</f>
        <v/>
      </c>
      <c r="G705" s="19" t="str">
        <f>IF('Step 14 - IT Review'!B52="","",IF('Step 14 - IT Review'!C52="","","Equals"))</f>
        <v/>
      </c>
      <c r="H705" s="20" t="str">
        <f>IF('Step 14 - IT Review'!B52="","",IF('Step 14 - IT Review'!C52="","",'Step 14 - IT Review'!C52))</f>
        <v/>
      </c>
      <c r="I705" s="20" t="str">
        <f>IF('Step 14 - IT Review'!B52="","","Organization Code")</f>
        <v/>
      </c>
      <c r="J705" s="19" t="str">
        <f>IF('Step 14 - IT Review'!B52="","","Equals")</f>
        <v/>
      </c>
      <c r="K705" s="20" t="str">
        <f>IF('Step 14 - IT Review'!B52="","",'Step 14 - IT Review'!D52)</f>
        <v/>
      </c>
      <c r="L705" s="20" t="str">
        <f>IF('Step 14 - IT Review'!B52="","","Other Criteria")</f>
        <v/>
      </c>
      <c r="M705" s="19" t="str">
        <f>IF('Step 14 - IT Review'!B52="","","Equals")</f>
        <v/>
      </c>
      <c r="N705" s="20" t="str">
        <f>IF('Step 14 - IT Review'!B52="","",'Step 14 - IT Review'!E52)</f>
        <v/>
      </c>
      <c r="O705" s="20" t="str">
        <f>IF('Step 14 - IT Review'!B52="","",IF('Step 14 - IT Review'!F52="","","Total"))</f>
        <v/>
      </c>
      <c r="P705" s="19" t="str">
        <f>IF('Step 14 - IT Review'!B52="","",IF('Step 14 - IT Review'!F52="","","&gt;="))</f>
        <v/>
      </c>
      <c r="Q705" s="20" t="str">
        <f>IF('Step 14 - IT Review'!B52="","",IF('Step 14 - IT Review'!F52="","",'Step 14 - IT Review'!F52))</f>
        <v/>
      </c>
      <c r="R705" s="20" t="str">
        <f>""</f>
        <v/>
      </c>
      <c r="S705" s="20" t="str">
        <f>""</f>
        <v/>
      </c>
      <c r="T705" s="20" t="str">
        <f>""</f>
        <v/>
      </c>
      <c r="U705" s="20" t="str">
        <f>IF('Step 14 - IT Review'!B52="","",'Step 14 - IT Review'!I52)</f>
        <v/>
      </c>
      <c r="V705" s="19" t="str">
        <f>IF('Step 14 - IT Review'!B52="","",'Step 14 - IT Review'!K52)</f>
        <v/>
      </c>
      <c r="W705" s="20" t="str">
        <f>IF('Step 14 - IT Review'!B52="","",'Step 14 - IT Review'!L52)</f>
        <v/>
      </c>
      <c r="X705" s="19" t="str">
        <f>IF('Step 14 - IT Review'!B52="","",'Step 14 - IT Review'!N52)</f>
        <v/>
      </c>
      <c r="Y705" s="20" t="str">
        <f>""</f>
        <v/>
      </c>
      <c r="Z705" s="20" t="str">
        <f>""</f>
        <v/>
      </c>
      <c r="AA705" s="20" t="str">
        <f>""</f>
        <v/>
      </c>
      <c r="AB705" s="20" t="str">
        <f>""</f>
        <v/>
      </c>
      <c r="AC705" s="20" t="str">
        <f>""</f>
        <v/>
      </c>
      <c r="AD705" s="20" t="str">
        <f>""</f>
        <v/>
      </c>
      <c r="AE705" s="20" t="str">
        <f>""</f>
        <v/>
      </c>
      <c r="AF705" s="20" t="str">
        <f>""</f>
        <v/>
      </c>
      <c r="AG705" s="20" t="str">
        <f>""</f>
        <v/>
      </c>
      <c r="AH705" s="20" t="str">
        <f>""</f>
        <v/>
      </c>
      <c r="AI705" s="20" t="str">
        <f>""</f>
        <v/>
      </c>
      <c r="AJ705" s="20" t="str">
        <f>""</f>
        <v/>
      </c>
      <c r="AK705" s="20" t="str">
        <f>""</f>
        <v/>
      </c>
      <c r="AL705" s="20" t="str">
        <f>""</f>
        <v/>
      </c>
      <c r="AM705" s="20" t="str">
        <f>""</f>
        <v/>
      </c>
    </row>
    <row r="706" spans="1:39" ht="15.75" customHeight="1" x14ac:dyDescent="0.25">
      <c r="A706" s="17" t="str">
        <f>IF('Step 14 - IT Review'!B53="","","Active")</f>
        <v/>
      </c>
      <c r="B706" s="18" t="str">
        <f>IF('Step 14 - IT Review'!B53="","",'Step 14 - IT Review'!B53)</f>
        <v/>
      </c>
      <c r="C706" s="18" t="str">
        <f>IF('Step 14 - IT Review'!B53="","",'Step 14 - IT Review'!B53)</f>
        <v/>
      </c>
      <c r="D706" s="17" t="str">
        <f>IF('Step 14 - IT Review'!B53="","",'Step 14 - IT Review'!G53)</f>
        <v/>
      </c>
      <c r="E706" s="17" t="str">
        <f>IF('Step 14 - IT Review'!B53="","",'Step 14 - IT Review'!H53)</f>
        <v/>
      </c>
      <c r="F706" s="18" t="str">
        <f>IF('Step 14 - IT Review'!B53="","",IF('Step 14 - IT Review'!C53="","","Fund Code"))</f>
        <v/>
      </c>
      <c r="G706" s="17" t="str">
        <f>IF('Step 14 - IT Review'!B53="","",IF('Step 14 - IT Review'!C53="","","Equals"))</f>
        <v/>
      </c>
      <c r="H706" s="18" t="str">
        <f>IF('Step 14 - IT Review'!B53="","",IF('Step 14 - IT Review'!C53="","",'Step 14 - IT Review'!C53))</f>
        <v/>
      </c>
      <c r="I706" s="18" t="str">
        <f>IF('Step 14 - IT Review'!B53="","","Organization Code")</f>
        <v/>
      </c>
      <c r="J706" s="17" t="str">
        <f>IF('Step 14 - IT Review'!B53="","","Equals")</f>
        <v/>
      </c>
      <c r="K706" s="18" t="str">
        <f>IF('Step 14 - IT Review'!B53="","",'Step 14 - IT Review'!D53)</f>
        <v/>
      </c>
      <c r="L706" s="18" t="str">
        <f>IF('Step 14 - IT Review'!B53="","","Other Criteria")</f>
        <v/>
      </c>
      <c r="M706" s="17" t="str">
        <f>IF('Step 14 - IT Review'!B53="","","Equals")</f>
        <v/>
      </c>
      <c r="N706" s="18" t="str">
        <f>IF('Step 14 - IT Review'!B53="","",'Step 14 - IT Review'!E53)</f>
        <v/>
      </c>
      <c r="O706" s="18" t="str">
        <f>IF('Step 14 - IT Review'!B53="","",IF('Step 14 - IT Review'!F53="","","Total"))</f>
        <v/>
      </c>
      <c r="P706" s="17" t="str">
        <f>IF('Step 14 - IT Review'!B53="","",IF('Step 14 - IT Review'!F53="","","&gt;="))</f>
        <v/>
      </c>
      <c r="Q706" s="18" t="str">
        <f>IF('Step 14 - IT Review'!B53="","",IF('Step 14 - IT Review'!F53="","",'Step 14 - IT Review'!F53))</f>
        <v/>
      </c>
      <c r="R706" s="18" t="str">
        <f>""</f>
        <v/>
      </c>
      <c r="S706" s="18" t="str">
        <f>""</f>
        <v/>
      </c>
      <c r="T706" s="18" t="str">
        <f>""</f>
        <v/>
      </c>
      <c r="U706" s="18" t="str">
        <f>IF('Step 14 - IT Review'!B53="","",'Step 14 - IT Review'!I53)</f>
        <v/>
      </c>
      <c r="V706" s="17" t="str">
        <f>IF('Step 14 - IT Review'!B53="","",'Step 14 - IT Review'!K53)</f>
        <v/>
      </c>
      <c r="W706" s="18" t="str">
        <f>IF('Step 14 - IT Review'!B53="","",'Step 14 - IT Review'!L53)</f>
        <v/>
      </c>
      <c r="X706" s="17" t="str">
        <f>IF('Step 14 - IT Review'!B53="","",'Step 14 - IT Review'!N53)</f>
        <v/>
      </c>
      <c r="Y706" s="18" t="str">
        <f>""</f>
        <v/>
      </c>
      <c r="Z706" s="18" t="str">
        <f>""</f>
        <v/>
      </c>
      <c r="AA706" s="18" t="str">
        <f>""</f>
        <v/>
      </c>
      <c r="AB706" s="18" t="str">
        <f>""</f>
        <v/>
      </c>
      <c r="AC706" s="18" t="str">
        <f>""</f>
        <v/>
      </c>
      <c r="AD706" s="18" t="str">
        <f>""</f>
        <v/>
      </c>
      <c r="AE706" s="18" t="str">
        <f>""</f>
        <v/>
      </c>
      <c r="AF706" s="18" t="str">
        <f>""</f>
        <v/>
      </c>
      <c r="AG706" s="18" t="str">
        <f>""</f>
        <v/>
      </c>
      <c r="AH706" s="18" t="str">
        <f>""</f>
        <v/>
      </c>
      <c r="AI706" s="18" t="str">
        <f>""</f>
        <v/>
      </c>
      <c r="AJ706" s="18" t="str">
        <f>""</f>
        <v/>
      </c>
      <c r="AK706" s="18" t="str">
        <f>""</f>
        <v/>
      </c>
      <c r="AL706" s="18" t="str">
        <f>""</f>
        <v/>
      </c>
      <c r="AM706" s="18" t="str">
        <f>""</f>
        <v/>
      </c>
    </row>
    <row r="707" spans="1:39" ht="13.5" customHeight="1" x14ac:dyDescent="0.25">
      <c r="A707" s="29" t="s">
        <v>201</v>
      </c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</row>
    <row r="708" spans="1:39" ht="15.75" customHeight="1" x14ac:dyDescent="0.25">
      <c r="A708" s="17" t="str">
        <f>IF('Step 15 - Final Approval'!B5="","","Active")</f>
        <v/>
      </c>
      <c r="B708" s="18" t="str">
        <f>IF('Step 15 - Final Approval'!B5="","",'Step 15 - Final Approval'!B5)</f>
        <v/>
      </c>
      <c r="C708" s="18" t="str">
        <f>IF('Step 15 - Final Approval'!B5="","",'Step 15 - Final Approval'!B5)</f>
        <v/>
      </c>
      <c r="D708" s="17" t="str">
        <f>IF('Step 15 - Final Approval'!B5="","",'Step 15 - Final Approval'!G5)</f>
        <v/>
      </c>
      <c r="E708" s="17" t="str">
        <f>IF('Step 15 - Final Approval'!B5="","",'Step 15 - Final Approval'!H5)</f>
        <v/>
      </c>
      <c r="F708" s="18" t="str">
        <f>IF('Step 15 - Final Approval'!B5="","",IF('Step 15 - Final Approval'!C5="","","Fund Code"))</f>
        <v/>
      </c>
      <c r="G708" s="17" t="str">
        <f>IF('Step 15 - Final Approval'!B5="","",IF('Step 15 - Final Approval'!C5="","","Equals"))</f>
        <v/>
      </c>
      <c r="H708" s="18" t="str">
        <f>IF('Step 15 - Final Approval'!B5="","",IF('Step 15 - Final Approval'!C5="","",'Step 15 - Final Approval'!C5))</f>
        <v/>
      </c>
      <c r="I708" s="18" t="str">
        <f>IF('Step 15 - Final Approval'!B5="","","Organization Code")</f>
        <v/>
      </c>
      <c r="J708" s="17" t="str">
        <f>IF('Step 15 - Final Approval'!B5="","","Equals")</f>
        <v/>
      </c>
      <c r="K708" s="18" t="str">
        <f>IF('Step 15 - Final Approval'!B5="","",'Step 15 - Final Approval'!D5)</f>
        <v/>
      </c>
      <c r="L708" s="18" t="str">
        <f>IF('Step 15 - Final Approval'!B5="","","Other Criteria")</f>
        <v/>
      </c>
      <c r="M708" s="17" t="str">
        <f>IF('Step 15 - Final Approval'!B5="","","Equals")</f>
        <v/>
      </c>
      <c r="N708" s="18" t="str">
        <f>IF('Step 15 - Final Approval'!B5="","",'Step 15 - Final Approval'!E5)</f>
        <v/>
      </c>
      <c r="O708" s="18" t="str">
        <f>IF('Step 15 - Final Approval'!B5="","",IF('Step 15 - Final Approval'!F5="","","Total"))</f>
        <v/>
      </c>
      <c r="P708" s="17" t="str">
        <f>IF('Step 15 - Final Approval'!B5="","",IF('Step 15 - Final Approval'!F5="","","&gt;="))</f>
        <v/>
      </c>
      <c r="Q708" s="18" t="str">
        <f>IF('Step 15 - Final Approval'!B5="","",IF('Step 15 - Final Approval'!F5="","",'Step 15 - Final Approval'!F5))</f>
        <v/>
      </c>
      <c r="R708" s="18" t="str">
        <f>""</f>
        <v/>
      </c>
      <c r="S708" s="18" t="str">
        <f>""</f>
        <v/>
      </c>
      <c r="T708" s="18" t="str">
        <f>""</f>
        <v/>
      </c>
      <c r="U708" s="18" t="str">
        <f>IF('Step 15 - Final Approval'!B5="","",'Step 15 - Final Approval'!I5)</f>
        <v/>
      </c>
      <c r="V708" s="17" t="str">
        <f>IF('Step 15 - Final Approval'!B5="","",'Step 15 - Final Approval'!K5)</f>
        <v/>
      </c>
      <c r="W708" s="18" t="str">
        <f>IF('Step 15 - Final Approval'!B5="","",'Step 15 - Final Approval'!L5)</f>
        <v/>
      </c>
      <c r="X708" s="17" t="str">
        <f>IF('Step 15 - Final Approval'!B5="","",'Step 15 - Final Approval'!N5)</f>
        <v/>
      </c>
      <c r="Y708" s="18" t="str">
        <f>""</f>
        <v/>
      </c>
      <c r="Z708" s="18" t="str">
        <f>""</f>
        <v/>
      </c>
      <c r="AA708" s="18" t="str">
        <f>""</f>
        <v/>
      </c>
      <c r="AB708" s="18" t="str">
        <f>""</f>
        <v/>
      </c>
      <c r="AC708" s="18" t="str">
        <f>""</f>
        <v/>
      </c>
      <c r="AD708" s="18" t="str">
        <f>""</f>
        <v/>
      </c>
      <c r="AE708" s="18" t="str">
        <f>""</f>
        <v/>
      </c>
      <c r="AF708" s="18" t="str">
        <f>""</f>
        <v/>
      </c>
      <c r="AG708" s="18" t="str">
        <f>""</f>
        <v/>
      </c>
      <c r="AH708" s="18" t="str">
        <f>""</f>
        <v/>
      </c>
      <c r="AI708" s="18" t="str">
        <f>""</f>
        <v/>
      </c>
      <c r="AJ708" s="18" t="str">
        <f>""</f>
        <v/>
      </c>
      <c r="AK708" s="18" t="str">
        <f>""</f>
        <v/>
      </c>
      <c r="AL708" s="18" t="str">
        <f>""</f>
        <v/>
      </c>
      <c r="AM708" s="18" t="str">
        <f>""</f>
        <v/>
      </c>
    </row>
    <row r="709" spans="1:39" ht="15.75" customHeight="1" x14ac:dyDescent="0.25">
      <c r="A709" s="19" t="str">
        <f>IF('Step 15 - Final Approval'!B6="","","Active")</f>
        <v/>
      </c>
      <c r="B709" s="20" t="str">
        <f>IF('Step 15 - Final Approval'!B6="","",'Step 15 - Final Approval'!B6)</f>
        <v/>
      </c>
      <c r="C709" s="20" t="str">
        <f>IF('Step 15 - Final Approval'!B6="","",'Step 15 - Final Approval'!B6)</f>
        <v/>
      </c>
      <c r="D709" s="19" t="str">
        <f>IF('Step 15 - Final Approval'!B6="","",'Step 15 - Final Approval'!G6)</f>
        <v/>
      </c>
      <c r="E709" s="19" t="str">
        <f>IF('Step 15 - Final Approval'!B6="","",'Step 15 - Final Approval'!H6)</f>
        <v/>
      </c>
      <c r="F709" s="20" t="str">
        <f>IF('Step 15 - Final Approval'!B6="","",IF('Step 15 - Final Approval'!C6="","","Fund Code"))</f>
        <v/>
      </c>
      <c r="G709" s="19" t="str">
        <f>IF('Step 15 - Final Approval'!B6="","",IF('Step 15 - Final Approval'!C6="","","Equals"))</f>
        <v/>
      </c>
      <c r="H709" s="20" t="str">
        <f>IF('Step 15 - Final Approval'!B6="","",IF('Step 15 - Final Approval'!C6="","",'Step 15 - Final Approval'!C6))</f>
        <v/>
      </c>
      <c r="I709" s="20" t="str">
        <f>IF('Step 15 - Final Approval'!B6="","","Organization Code")</f>
        <v/>
      </c>
      <c r="J709" s="19" t="str">
        <f>IF('Step 15 - Final Approval'!B6="","","Equals")</f>
        <v/>
      </c>
      <c r="K709" s="20" t="str">
        <f>IF('Step 15 - Final Approval'!B6="","",'Step 15 - Final Approval'!D6)</f>
        <v/>
      </c>
      <c r="L709" s="20" t="str">
        <f>IF('Step 15 - Final Approval'!B6="","","Other Criteria")</f>
        <v/>
      </c>
      <c r="M709" s="19" t="str">
        <f>IF('Step 15 - Final Approval'!B6="","","Equals")</f>
        <v/>
      </c>
      <c r="N709" s="20" t="str">
        <f>IF('Step 15 - Final Approval'!B6="","",'Step 15 - Final Approval'!E6)</f>
        <v/>
      </c>
      <c r="O709" s="20" t="str">
        <f>IF('Step 15 - Final Approval'!B6="","",IF('Step 15 - Final Approval'!F6="","","Total"))</f>
        <v/>
      </c>
      <c r="P709" s="19" t="str">
        <f>IF('Step 15 - Final Approval'!B6="","",IF('Step 15 - Final Approval'!F6="","","&gt;="))</f>
        <v/>
      </c>
      <c r="Q709" s="20" t="str">
        <f>IF('Step 15 - Final Approval'!B6="","",IF('Step 15 - Final Approval'!F6="","",'Step 15 - Final Approval'!F6))</f>
        <v/>
      </c>
      <c r="R709" s="20" t="str">
        <f>""</f>
        <v/>
      </c>
      <c r="S709" s="20" t="str">
        <f>""</f>
        <v/>
      </c>
      <c r="T709" s="20" t="str">
        <f>""</f>
        <v/>
      </c>
      <c r="U709" s="20" t="str">
        <f>IF('Step 15 - Final Approval'!B6="","",'Step 15 - Final Approval'!I6)</f>
        <v/>
      </c>
      <c r="V709" s="19" t="str">
        <f>IF('Step 15 - Final Approval'!B6="","",'Step 15 - Final Approval'!K6)</f>
        <v/>
      </c>
      <c r="W709" s="20" t="str">
        <f>IF('Step 15 - Final Approval'!B6="","",'Step 15 - Final Approval'!L6)</f>
        <v/>
      </c>
      <c r="X709" s="19" t="str">
        <f>IF('Step 15 - Final Approval'!B6="","",'Step 15 - Final Approval'!N6)</f>
        <v/>
      </c>
      <c r="Y709" s="20" t="str">
        <f>""</f>
        <v/>
      </c>
      <c r="Z709" s="20" t="str">
        <f>""</f>
        <v/>
      </c>
      <c r="AA709" s="20" t="str">
        <f>""</f>
        <v/>
      </c>
      <c r="AB709" s="20" t="str">
        <f>""</f>
        <v/>
      </c>
      <c r="AC709" s="20" t="str">
        <f>""</f>
        <v/>
      </c>
      <c r="AD709" s="20" t="str">
        <f>""</f>
        <v/>
      </c>
      <c r="AE709" s="20" t="str">
        <f>""</f>
        <v/>
      </c>
      <c r="AF709" s="20" t="str">
        <f>""</f>
        <v/>
      </c>
      <c r="AG709" s="20" t="str">
        <f>""</f>
        <v/>
      </c>
      <c r="AH709" s="20" t="str">
        <f>""</f>
        <v/>
      </c>
      <c r="AI709" s="20" t="str">
        <f>""</f>
        <v/>
      </c>
      <c r="AJ709" s="20" t="str">
        <f>""</f>
        <v/>
      </c>
      <c r="AK709" s="20" t="str">
        <f>""</f>
        <v/>
      </c>
      <c r="AL709" s="20" t="str">
        <f>""</f>
        <v/>
      </c>
      <c r="AM709" s="20" t="str">
        <f>""</f>
        <v/>
      </c>
    </row>
    <row r="710" spans="1:39" ht="15.75" customHeight="1" x14ac:dyDescent="0.25">
      <c r="A710" s="17" t="str">
        <f>IF('Step 15 - Final Approval'!B7="","","Active")</f>
        <v/>
      </c>
      <c r="B710" s="18" t="str">
        <f>IF('Step 15 - Final Approval'!B7="","",'Step 15 - Final Approval'!B7)</f>
        <v/>
      </c>
      <c r="C710" s="18" t="str">
        <f>IF('Step 15 - Final Approval'!B7="","",'Step 15 - Final Approval'!B7)</f>
        <v/>
      </c>
      <c r="D710" s="17" t="str">
        <f>IF('Step 15 - Final Approval'!B7="","",'Step 15 - Final Approval'!G7)</f>
        <v/>
      </c>
      <c r="E710" s="17" t="str">
        <f>IF('Step 15 - Final Approval'!B7="","",'Step 15 - Final Approval'!H7)</f>
        <v/>
      </c>
      <c r="F710" s="18" t="str">
        <f>IF('Step 15 - Final Approval'!B7="","",IF('Step 15 - Final Approval'!C7="","","Fund Code"))</f>
        <v/>
      </c>
      <c r="G710" s="17" t="str">
        <f>IF('Step 15 - Final Approval'!B7="","",IF('Step 15 - Final Approval'!C7="","","Equals"))</f>
        <v/>
      </c>
      <c r="H710" s="18" t="str">
        <f>IF('Step 15 - Final Approval'!B7="","",IF('Step 15 - Final Approval'!C7="","",'Step 15 - Final Approval'!C7))</f>
        <v/>
      </c>
      <c r="I710" s="18" t="str">
        <f>IF('Step 15 - Final Approval'!B7="","","Organization Code")</f>
        <v/>
      </c>
      <c r="J710" s="17" t="str">
        <f>IF('Step 15 - Final Approval'!B7="","","Equals")</f>
        <v/>
      </c>
      <c r="K710" s="18" t="str">
        <f>IF('Step 15 - Final Approval'!B7="","",'Step 15 - Final Approval'!D7)</f>
        <v/>
      </c>
      <c r="L710" s="18" t="str">
        <f>IF('Step 15 - Final Approval'!B7="","","Other Criteria")</f>
        <v/>
      </c>
      <c r="M710" s="17" t="str">
        <f>IF('Step 15 - Final Approval'!B7="","","Equals")</f>
        <v/>
      </c>
      <c r="N710" s="18" t="str">
        <f>IF('Step 15 - Final Approval'!B7="","",'Step 15 - Final Approval'!E7)</f>
        <v/>
      </c>
      <c r="O710" s="18" t="str">
        <f>IF('Step 15 - Final Approval'!B7="","",IF('Step 15 - Final Approval'!F7="","","Total"))</f>
        <v/>
      </c>
      <c r="P710" s="17" t="str">
        <f>IF('Step 15 - Final Approval'!B7="","",IF('Step 15 - Final Approval'!F7="","","&gt;="))</f>
        <v/>
      </c>
      <c r="Q710" s="18" t="str">
        <f>IF('Step 15 - Final Approval'!B7="","",IF('Step 15 - Final Approval'!F7="","",'Step 15 - Final Approval'!F7))</f>
        <v/>
      </c>
      <c r="R710" s="18" t="str">
        <f>""</f>
        <v/>
      </c>
      <c r="S710" s="18" t="str">
        <f>""</f>
        <v/>
      </c>
      <c r="T710" s="18" t="str">
        <f>""</f>
        <v/>
      </c>
      <c r="U710" s="18" t="str">
        <f>IF('Step 15 - Final Approval'!B7="","",'Step 15 - Final Approval'!I7)</f>
        <v/>
      </c>
      <c r="V710" s="17" t="str">
        <f>IF('Step 15 - Final Approval'!B7="","",'Step 15 - Final Approval'!K7)</f>
        <v/>
      </c>
      <c r="W710" s="18" t="str">
        <f>IF('Step 15 - Final Approval'!B7="","",'Step 15 - Final Approval'!L7)</f>
        <v/>
      </c>
      <c r="X710" s="17" t="str">
        <f>IF('Step 15 - Final Approval'!B7="","",'Step 15 - Final Approval'!N7)</f>
        <v/>
      </c>
      <c r="Y710" s="18" t="str">
        <f>""</f>
        <v/>
      </c>
      <c r="Z710" s="18" t="str">
        <f>""</f>
        <v/>
      </c>
      <c r="AA710" s="18" t="str">
        <f>""</f>
        <v/>
      </c>
      <c r="AB710" s="18" t="str">
        <f>""</f>
        <v/>
      </c>
      <c r="AC710" s="18" t="str">
        <f>""</f>
        <v/>
      </c>
      <c r="AD710" s="18" t="str">
        <f>""</f>
        <v/>
      </c>
      <c r="AE710" s="18" t="str">
        <f>""</f>
        <v/>
      </c>
      <c r="AF710" s="18" t="str">
        <f>""</f>
        <v/>
      </c>
      <c r="AG710" s="18" t="str">
        <f>""</f>
        <v/>
      </c>
      <c r="AH710" s="18" t="str">
        <f>""</f>
        <v/>
      </c>
      <c r="AI710" s="18" t="str">
        <f>""</f>
        <v/>
      </c>
      <c r="AJ710" s="18" t="str">
        <f>""</f>
        <v/>
      </c>
      <c r="AK710" s="18" t="str">
        <f>""</f>
        <v/>
      </c>
      <c r="AL710" s="18" t="str">
        <f>""</f>
        <v/>
      </c>
      <c r="AM710" s="18" t="str">
        <f>""</f>
        <v/>
      </c>
    </row>
    <row r="711" spans="1:39" ht="15.75" customHeight="1" x14ac:dyDescent="0.25">
      <c r="A711" s="19" t="str">
        <f>IF('Step 15 - Final Approval'!B8="","","Active")</f>
        <v/>
      </c>
      <c r="B711" s="20" t="str">
        <f>IF('Step 15 - Final Approval'!B8="","",'Step 15 - Final Approval'!B8)</f>
        <v/>
      </c>
      <c r="C711" s="20" t="str">
        <f>IF('Step 15 - Final Approval'!B8="","",'Step 15 - Final Approval'!B8)</f>
        <v/>
      </c>
      <c r="D711" s="19" t="str">
        <f>IF('Step 15 - Final Approval'!B8="","",'Step 15 - Final Approval'!G8)</f>
        <v/>
      </c>
      <c r="E711" s="19" t="str">
        <f>IF('Step 15 - Final Approval'!B8="","",'Step 15 - Final Approval'!H8)</f>
        <v/>
      </c>
      <c r="F711" s="20" t="str">
        <f>IF('Step 15 - Final Approval'!B8="","",IF('Step 15 - Final Approval'!C8="","","Fund Code"))</f>
        <v/>
      </c>
      <c r="G711" s="19" t="str">
        <f>IF('Step 15 - Final Approval'!B8="","",IF('Step 15 - Final Approval'!C8="","","Equals"))</f>
        <v/>
      </c>
      <c r="H711" s="20" t="str">
        <f>IF('Step 15 - Final Approval'!B8="","",IF('Step 15 - Final Approval'!C8="","",'Step 15 - Final Approval'!C8))</f>
        <v/>
      </c>
      <c r="I711" s="20" t="str">
        <f>IF('Step 15 - Final Approval'!B8="","","Organization Code")</f>
        <v/>
      </c>
      <c r="J711" s="19" t="str">
        <f>IF('Step 15 - Final Approval'!B8="","","Equals")</f>
        <v/>
      </c>
      <c r="K711" s="20" t="str">
        <f>IF('Step 15 - Final Approval'!B8="","",'Step 15 - Final Approval'!D8)</f>
        <v/>
      </c>
      <c r="L711" s="20" t="str">
        <f>IF('Step 15 - Final Approval'!B8="","","Other Criteria")</f>
        <v/>
      </c>
      <c r="M711" s="19" t="str">
        <f>IF('Step 15 - Final Approval'!B8="","","Equals")</f>
        <v/>
      </c>
      <c r="N711" s="20" t="str">
        <f>IF('Step 15 - Final Approval'!B8="","",'Step 15 - Final Approval'!E8)</f>
        <v/>
      </c>
      <c r="O711" s="20" t="str">
        <f>IF('Step 15 - Final Approval'!B8="","",IF('Step 15 - Final Approval'!F8="","","Total"))</f>
        <v/>
      </c>
      <c r="P711" s="19" t="str">
        <f>IF('Step 15 - Final Approval'!B8="","",IF('Step 15 - Final Approval'!F8="","","&gt;="))</f>
        <v/>
      </c>
      <c r="Q711" s="20" t="str">
        <f>IF('Step 15 - Final Approval'!B8="","",IF('Step 15 - Final Approval'!F8="","",'Step 15 - Final Approval'!F8))</f>
        <v/>
      </c>
      <c r="R711" s="20" t="str">
        <f>""</f>
        <v/>
      </c>
      <c r="S711" s="20" t="str">
        <f>""</f>
        <v/>
      </c>
      <c r="T711" s="20" t="str">
        <f>""</f>
        <v/>
      </c>
      <c r="U711" s="20" t="str">
        <f>IF('Step 15 - Final Approval'!B8="","",'Step 15 - Final Approval'!I8)</f>
        <v/>
      </c>
      <c r="V711" s="19" t="str">
        <f>IF('Step 15 - Final Approval'!B8="","",'Step 15 - Final Approval'!K8)</f>
        <v/>
      </c>
      <c r="W711" s="20" t="str">
        <f>IF('Step 15 - Final Approval'!B8="","",'Step 15 - Final Approval'!L8)</f>
        <v/>
      </c>
      <c r="X711" s="19" t="str">
        <f>IF('Step 15 - Final Approval'!B8="","",'Step 15 - Final Approval'!N8)</f>
        <v/>
      </c>
      <c r="Y711" s="20" t="str">
        <f>""</f>
        <v/>
      </c>
      <c r="Z711" s="20" t="str">
        <f>""</f>
        <v/>
      </c>
      <c r="AA711" s="20" t="str">
        <f>""</f>
        <v/>
      </c>
      <c r="AB711" s="20" t="str">
        <f>""</f>
        <v/>
      </c>
      <c r="AC711" s="20" t="str">
        <f>""</f>
        <v/>
      </c>
      <c r="AD711" s="20" t="str">
        <f>""</f>
        <v/>
      </c>
      <c r="AE711" s="20" t="str">
        <f>""</f>
        <v/>
      </c>
      <c r="AF711" s="20" t="str">
        <f>""</f>
        <v/>
      </c>
      <c r="AG711" s="20" t="str">
        <f>""</f>
        <v/>
      </c>
      <c r="AH711" s="20" t="str">
        <f>""</f>
        <v/>
      </c>
      <c r="AI711" s="20" t="str">
        <f>""</f>
        <v/>
      </c>
      <c r="AJ711" s="20" t="str">
        <f>""</f>
        <v/>
      </c>
      <c r="AK711" s="20" t="str">
        <f>""</f>
        <v/>
      </c>
      <c r="AL711" s="20" t="str">
        <f>""</f>
        <v/>
      </c>
      <c r="AM711" s="20" t="str">
        <f>""</f>
        <v/>
      </c>
    </row>
    <row r="712" spans="1:39" ht="15.75" customHeight="1" x14ac:dyDescent="0.25">
      <c r="A712" s="17" t="str">
        <f>IF('Step 15 - Final Approval'!B9="","","Active")</f>
        <v/>
      </c>
      <c r="B712" s="18" t="str">
        <f>IF('Step 15 - Final Approval'!B9="","",'Step 15 - Final Approval'!B9)</f>
        <v/>
      </c>
      <c r="C712" s="18" t="str">
        <f>IF('Step 15 - Final Approval'!B9="","",'Step 15 - Final Approval'!B9)</f>
        <v/>
      </c>
      <c r="D712" s="17" t="str">
        <f>IF('Step 15 - Final Approval'!B9="","",'Step 15 - Final Approval'!G9)</f>
        <v/>
      </c>
      <c r="E712" s="17" t="str">
        <f>IF('Step 15 - Final Approval'!B9="","",'Step 15 - Final Approval'!H9)</f>
        <v/>
      </c>
      <c r="F712" s="18" t="str">
        <f>IF('Step 15 - Final Approval'!B9="","",IF('Step 15 - Final Approval'!C9="","","Fund Code"))</f>
        <v/>
      </c>
      <c r="G712" s="17" t="str">
        <f>IF('Step 15 - Final Approval'!B9="","",IF('Step 15 - Final Approval'!C9="","","Equals"))</f>
        <v/>
      </c>
      <c r="H712" s="18" t="str">
        <f>IF('Step 15 - Final Approval'!B9="","",IF('Step 15 - Final Approval'!C9="","",'Step 15 - Final Approval'!C9))</f>
        <v/>
      </c>
      <c r="I712" s="18" t="str">
        <f>IF('Step 15 - Final Approval'!B9="","","Organization Code")</f>
        <v/>
      </c>
      <c r="J712" s="17" t="str">
        <f>IF('Step 15 - Final Approval'!B9="","","Equals")</f>
        <v/>
      </c>
      <c r="K712" s="18" t="str">
        <f>IF('Step 15 - Final Approval'!B9="","",'Step 15 - Final Approval'!D9)</f>
        <v/>
      </c>
      <c r="L712" s="18" t="str">
        <f>IF('Step 15 - Final Approval'!B9="","","Other Criteria")</f>
        <v/>
      </c>
      <c r="M712" s="17" t="str">
        <f>IF('Step 15 - Final Approval'!B9="","","Equals")</f>
        <v/>
      </c>
      <c r="N712" s="18" t="str">
        <f>IF('Step 15 - Final Approval'!B9="","",'Step 15 - Final Approval'!E9)</f>
        <v/>
      </c>
      <c r="O712" s="18" t="str">
        <f>IF('Step 15 - Final Approval'!B9="","",IF('Step 15 - Final Approval'!F9="","","Total"))</f>
        <v/>
      </c>
      <c r="P712" s="17" t="str">
        <f>IF('Step 15 - Final Approval'!B9="","",IF('Step 15 - Final Approval'!F9="","","&gt;="))</f>
        <v/>
      </c>
      <c r="Q712" s="18" t="str">
        <f>IF('Step 15 - Final Approval'!B9="","",IF('Step 15 - Final Approval'!F9="","",'Step 15 - Final Approval'!F9))</f>
        <v/>
      </c>
      <c r="R712" s="18" t="str">
        <f>""</f>
        <v/>
      </c>
      <c r="S712" s="18" t="str">
        <f>""</f>
        <v/>
      </c>
      <c r="T712" s="18" t="str">
        <f>""</f>
        <v/>
      </c>
      <c r="U712" s="18" t="str">
        <f>IF('Step 15 - Final Approval'!B9="","",'Step 15 - Final Approval'!I9)</f>
        <v/>
      </c>
      <c r="V712" s="17" t="str">
        <f>IF('Step 15 - Final Approval'!B9="","",'Step 15 - Final Approval'!K9)</f>
        <v/>
      </c>
      <c r="W712" s="18" t="str">
        <f>IF('Step 15 - Final Approval'!B9="","",'Step 15 - Final Approval'!L9)</f>
        <v/>
      </c>
      <c r="X712" s="17" t="str">
        <f>IF('Step 15 - Final Approval'!B9="","",'Step 15 - Final Approval'!N9)</f>
        <v/>
      </c>
      <c r="Y712" s="18" t="str">
        <f>""</f>
        <v/>
      </c>
      <c r="Z712" s="18" t="str">
        <f>""</f>
        <v/>
      </c>
      <c r="AA712" s="18" t="str">
        <f>""</f>
        <v/>
      </c>
      <c r="AB712" s="18" t="str">
        <f>""</f>
        <v/>
      </c>
      <c r="AC712" s="18" t="str">
        <f>""</f>
        <v/>
      </c>
      <c r="AD712" s="18" t="str">
        <f>""</f>
        <v/>
      </c>
      <c r="AE712" s="18" t="str">
        <f>""</f>
        <v/>
      </c>
      <c r="AF712" s="18" t="str">
        <f>""</f>
        <v/>
      </c>
      <c r="AG712" s="18" t="str">
        <f>""</f>
        <v/>
      </c>
      <c r="AH712" s="18" t="str">
        <f>""</f>
        <v/>
      </c>
      <c r="AI712" s="18" t="str">
        <f>""</f>
        <v/>
      </c>
      <c r="AJ712" s="18" t="str">
        <f>""</f>
        <v/>
      </c>
      <c r="AK712" s="18" t="str">
        <f>""</f>
        <v/>
      </c>
      <c r="AL712" s="18" t="str">
        <f>""</f>
        <v/>
      </c>
      <c r="AM712" s="18" t="str">
        <f>""</f>
        <v/>
      </c>
    </row>
    <row r="713" spans="1:39" ht="15.75" customHeight="1" x14ac:dyDescent="0.25">
      <c r="A713" s="19" t="str">
        <f>IF('Step 15 - Final Approval'!B10="","","Active")</f>
        <v/>
      </c>
      <c r="B713" s="20" t="str">
        <f>IF('Step 15 - Final Approval'!B10="","",'Step 15 - Final Approval'!B10)</f>
        <v/>
      </c>
      <c r="C713" s="20" t="str">
        <f>IF('Step 15 - Final Approval'!B10="","",'Step 15 - Final Approval'!B10)</f>
        <v/>
      </c>
      <c r="D713" s="19" t="str">
        <f>IF('Step 15 - Final Approval'!B10="","",'Step 15 - Final Approval'!G10)</f>
        <v/>
      </c>
      <c r="E713" s="19" t="str">
        <f>IF('Step 15 - Final Approval'!B10="","",'Step 15 - Final Approval'!H10)</f>
        <v/>
      </c>
      <c r="F713" s="20" t="str">
        <f>IF('Step 15 - Final Approval'!B10="","",IF('Step 15 - Final Approval'!C10="","","Fund Code"))</f>
        <v/>
      </c>
      <c r="G713" s="19" t="str">
        <f>IF('Step 15 - Final Approval'!B10="","",IF('Step 15 - Final Approval'!C10="","","Equals"))</f>
        <v/>
      </c>
      <c r="H713" s="20" t="str">
        <f>IF('Step 15 - Final Approval'!B10="","",IF('Step 15 - Final Approval'!C10="","",'Step 15 - Final Approval'!C10))</f>
        <v/>
      </c>
      <c r="I713" s="20" t="str">
        <f>IF('Step 15 - Final Approval'!B10="","","Organization Code")</f>
        <v/>
      </c>
      <c r="J713" s="19" t="str">
        <f>IF('Step 15 - Final Approval'!B10="","","Equals")</f>
        <v/>
      </c>
      <c r="K713" s="20" t="str">
        <f>IF('Step 15 - Final Approval'!B10="","",'Step 15 - Final Approval'!D10)</f>
        <v/>
      </c>
      <c r="L713" s="20" t="str">
        <f>IF('Step 15 - Final Approval'!B10="","","Other Criteria")</f>
        <v/>
      </c>
      <c r="M713" s="19" t="str">
        <f>IF('Step 15 - Final Approval'!B10="","","Equals")</f>
        <v/>
      </c>
      <c r="N713" s="20" t="str">
        <f>IF('Step 15 - Final Approval'!B10="","",'Step 15 - Final Approval'!E10)</f>
        <v/>
      </c>
      <c r="O713" s="20" t="str">
        <f>IF('Step 15 - Final Approval'!B10="","",IF('Step 15 - Final Approval'!F10="","","Total"))</f>
        <v/>
      </c>
      <c r="P713" s="19" t="str">
        <f>IF('Step 15 - Final Approval'!B10="","",IF('Step 15 - Final Approval'!F10="","","&gt;="))</f>
        <v/>
      </c>
      <c r="Q713" s="20" t="str">
        <f>IF('Step 15 - Final Approval'!B10="","",IF('Step 15 - Final Approval'!F10="","",'Step 15 - Final Approval'!F10))</f>
        <v/>
      </c>
      <c r="R713" s="20" t="str">
        <f>""</f>
        <v/>
      </c>
      <c r="S713" s="20" t="str">
        <f>""</f>
        <v/>
      </c>
      <c r="T713" s="20" t="str">
        <f>""</f>
        <v/>
      </c>
      <c r="U713" s="20" t="str">
        <f>IF('Step 15 - Final Approval'!B10="","",'Step 15 - Final Approval'!I10)</f>
        <v/>
      </c>
      <c r="V713" s="19" t="str">
        <f>IF('Step 15 - Final Approval'!B10="","",'Step 15 - Final Approval'!K10)</f>
        <v/>
      </c>
      <c r="W713" s="20" t="str">
        <f>IF('Step 15 - Final Approval'!B10="","",'Step 15 - Final Approval'!L10)</f>
        <v/>
      </c>
      <c r="X713" s="19" t="str">
        <f>IF('Step 15 - Final Approval'!B10="","",'Step 15 - Final Approval'!N10)</f>
        <v/>
      </c>
      <c r="Y713" s="20" t="str">
        <f>""</f>
        <v/>
      </c>
      <c r="Z713" s="20" t="str">
        <f>""</f>
        <v/>
      </c>
      <c r="AA713" s="20" t="str">
        <f>""</f>
        <v/>
      </c>
      <c r="AB713" s="20" t="str">
        <f>""</f>
        <v/>
      </c>
      <c r="AC713" s="20" t="str">
        <f>""</f>
        <v/>
      </c>
      <c r="AD713" s="20" t="str">
        <f>""</f>
        <v/>
      </c>
      <c r="AE713" s="20" t="str">
        <f>""</f>
        <v/>
      </c>
      <c r="AF713" s="20" t="str">
        <f>""</f>
        <v/>
      </c>
      <c r="AG713" s="20" t="str">
        <f>""</f>
        <v/>
      </c>
      <c r="AH713" s="20" t="str">
        <f>""</f>
        <v/>
      </c>
      <c r="AI713" s="20" t="str">
        <f>""</f>
        <v/>
      </c>
      <c r="AJ713" s="20" t="str">
        <f>""</f>
        <v/>
      </c>
      <c r="AK713" s="20" t="str">
        <f>""</f>
        <v/>
      </c>
      <c r="AL713" s="20" t="str">
        <f>""</f>
        <v/>
      </c>
      <c r="AM713" s="20" t="str">
        <f>""</f>
        <v/>
      </c>
    </row>
    <row r="714" spans="1:39" ht="15.75" customHeight="1" x14ac:dyDescent="0.25">
      <c r="A714" s="17" t="str">
        <f>IF('Step 15 - Final Approval'!B11="","","Active")</f>
        <v/>
      </c>
      <c r="B714" s="18" t="str">
        <f>IF('Step 15 - Final Approval'!B11="","",'Step 15 - Final Approval'!B11)</f>
        <v/>
      </c>
      <c r="C714" s="18" t="str">
        <f>IF('Step 15 - Final Approval'!B11="","",'Step 15 - Final Approval'!B11)</f>
        <v/>
      </c>
      <c r="D714" s="17" t="str">
        <f>IF('Step 15 - Final Approval'!B11="","",'Step 15 - Final Approval'!G11)</f>
        <v/>
      </c>
      <c r="E714" s="17" t="str">
        <f>IF('Step 15 - Final Approval'!B11="","",'Step 15 - Final Approval'!H11)</f>
        <v/>
      </c>
      <c r="F714" s="18" t="str">
        <f>IF('Step 15 - Final Approval'!B11="","",IF('Step 15 - Final Approval'!C11="","","Fund Code"))</f>
        <v/>
      </c>
      <c r="G714" s="17" t="str">
        <f>IF('Step 15 - Final Approval'!B11="","",IF('Step 15 - Final Approval'!C11="","","Equals"))</f>
        <v/>
      </c>
      <c r="H714" s="18" t="str">
        <f>IF('Step 15 - Final Approval'!B11="","",IF('Step 15 - Final Approval'!C11="","",'Step 15 - Final Approval'!C11))</f>
        <v/>
      </c>
      <c r="I714" s="18" t="str">
        <f>IF('Step 15 - Final Approval'!B11="","","Organization Code")</f>
        <v/>
      </c>
      <c r="J714" s="17" t="str">
        <f>IF('Step 15 - Final Approval'!B11="","","Equals")</f>
        <v/>
      </c>
      <c r="K714" s="18" t="str">
        <f>IF('Step 15 - Final Approval'!B11="","",'Step 15 - Final Approval'!D11)</f>
        <v/>
      </c>
      <c r="L714" s="18" t="str">
        <f>IF('Step 15 - Final Approval'!B11="","","Other Criteria")</f>
        <v/>
      </c>
      <c r="M714" s="17" t="str">
        <f>IF('Step 15 - Final Approval'!B11="","","Equals")</f>
        <v/>
      </c>
      <c r="N714" s="18" t="str">
        <f>IF('Step 15 - Final Approval'!B11="","",'Step 15 - Final Approval'!E11)</f>
        <v/>
      </c>
      <c r="O714" s="18" t="str">
        <f>IF('Step 15 - Final Approval'!B11="","",IF('Step 15 - Final Approval'!F11="","","Total"))</f>
        <v/>
      </c>
      <c r="P714" s="17" t="str">
        <f>IF('Step 15 - Final Approval'!B11="","",IF('Step 15 - Final Approval'!F11="","","&gt;="))</f>
        <v/>
      </c>
      <c r="Q714" s="18" t="str">
        <f>IF('Step 15 - Final Approval'!B11="","",IF('Step 15 - Final Approval'!F11="","",'Step 15 - Final Approval'!F11))</f>
        <v/>
      </c>
      <c r="R714" s="18" t="str">
        <f>""</f>
        <v/>
      </c>
      <c r="S714" s="18" t="str">
        <f>""</f>
        <v/>
      </c>
      <c r="T714" s="18" t="str">
        <f>""</f>
        <v/>
      </c>
      <c r="U714" s="18" t="str">
        <f>IF('Step 15 - Final Approval'!B11="","",'Step 15 - Final Approval'!I11)</f>
        <v/>
      </c>
      <c r="V714" s="17" t="str">
        <f>IF('Step 15 - Final Approval'!B11="","",'Step 15 - Final Approval'!K11)</f>
        <v/>
      </c>
      <c r="W714" s="18" t="str">
        <f>IF('Step 15 - Final Approval'!B11="","",'Step 15 - Final Approval'!L11)</f>
        <v/>
      </c>
      <c r="X714" s="17" t="str">
        <f>IF('Step 15 - Final Approval'!B11="","",'Step 15 - Final Approval'!N11)</f>
        <v/>
      </c>
      <c r="Y714" s="18" t="str">
        <f>""</f>
        <v/>
      </c>
      <c r="Z714" s="18" t="str">
        <f>""</f>
        <v/>
      </c>
      <c r="AA714" s="18" t="str">
        <f>""</f>
        <v/>
      </c>
      <c r="AB714" s="18" t="str">
        <f>""</f>
        <v/>
      </c>
      <c r="AC714" s="18" t="str">
        <f>""</f>
        <v/>
      </c>
      <c r="AD714" s="18" t="str">
        <f>""</f>
        <v/>
      </c>
      <c r="AE714" s="18" t="str">
        <f>""</f>
        <v/>
      </c>
      <c r="AF714" s="18" t="str">
        <f>""</f>
        <v/>
      </c>
      <c r="AG714" s="18" t="str">
        <f>""</f>
        <v/>
      </c>
      <c r="AH714" s="18" t="str">
        <f>""</f>
        <v/>
      </c>
      <c r="AI714" s="18" t="str">
        <f>""</f>
        <v/>
      </c>
      <c r="AJ714" s="18" t="str">
        <f>""</f>
        <v/>
      </c>
      <c r="AK714" s="18" t="str">
        <f>""</f>
        <v/>
      </c>
      <c r="AL714" s="18" t="str">
        <f>""</f>
        <v/>
      </c>
      <c r="AM714" s="18" t="str">
        <f>""</f>
        <v/>
      </c>
    </row>
    <row r="715" spans="1:39" ht="15.75" customHeight="1" x14ac:dyDescent="0.25">
      <c r="A715" s="19" t="str">
        <f>IF('Step 15 - Final Approval'!B12="","","Active")</f>
        <v/>
      </c>
      <c r="B715" s="20" t="str">
        <f>IF('Step 15 - Final Approval'!B12="","",'Step 15 - Final Approval'!B12)</f>
        <v/>
      </c>
      <c r="C715" s="20" t="str">
        <f>IF('Step 15 - Final Approval'!B12="","",'Step 15 - Final Approval'!B12)</f>
        <v/>
      </c>
      <c r="D715" s="19" t="str">
        <f>IF('Step 15 - Final Approval'!B12="","",'Step 15 - Final Approval'!G12)</f>
        <v/>
      </c>
      <c r="E715" s="19" t="str">
        <f>IF('Step 15 - Final Approval'!B12="","",'Step 15 - Final Approval'!H12)</f>
        <v/>
      </c>
      <c r="F715" s="20" t="str">
        <f>IF('Step 15 - Final Approval'!B12="","",IF('Step 15 - Final Approval'!C12="","","Fund Code"))</f>
        <v/>
      </c>
      <c r="G715" s="19" t="str">
        <f>IF('Step 15 - Final Approval'!B12="","",IF('Step 15 - Final Approval'!C12="","","Equals"))</f>
        <v/>
      </c>
      <c r="H715" s="20" t="str">
        <f>IF('Step 15 - Final Approval'!B12="","",IF('Step 15 - Final Approval'!C12="","",'Step 15 - Final Approval'!C12))</f>
        <v/>
      </c>
      <c r="I715" s="20" t="str">
        <f>IF('Step 15 - Final Approval'!B12="","","Organization Code")</f>
        <v/>
      </c>
      <c r="J715" s="19" t="str">
        <f>IF('Step 15 - Final Approval'!B12="","","Equals")</f>
        <v/>
      </c>
      <c r="K715" s="20" t="str">
        <f>IF('Step 15 - Final Approval'!B12="","",'Step 15 - Final Approval'!D12)</f>
        <v/>
      </c>
      <c r="L715" s="20" t="str">
        <f>IF('Step 15 - Final Approval'!B12="","","Other Criteria")</f>
        <v/>
      </c>
      <c r="M715" s="19" t="str">
        <f>IF('Step 15 - Final Approval'!B12="","","Equals")</f>
        <v/>
      </c>
      <c r="N715" s="20" t="str">
        <f>IF('Step 15 - Final Approval'!B12="","",'Step 15 - Final Approval'!E12)</f>
        <v/>
      </c>
      <c r="O715" s="20" t="str">
        <f>IF('Step 15 - Final Approval'!B12="","",IF('Step 15 - Final Approval'!F12="","","Total"))</f>
        <v/>
      </c>
      <c r="P715" s="19" t="str">
        <f>IF('Step 15 - Final Approval'!B12="","",IF('Step 15 - Final Approval'!F12="","","&gt;="))</f>
        <v/>
      </c>
      <c r="Q715" s="20" t="str">
        <f>IF('Step 15 - Final Approval'!B12="","",IF('Step 15 - Final Approval'!F12="","",'Step 15 - Final Approval'!F12))</f>
        <v/>
      </c>
      <c r="R715" s="20" t="str">
        <f>""</f>
        <v/>
      </c>
      <c r="S715" s="20" t="str">
        <f>""</f>
        <v/>
      </c>
      <c r="T715" s="20" t="str">
        <f>""</f>
        <v/>
      </c>
      <c r="U715" s="20" t="str">
        <f>IF('Step 15 - Final Approval'!B12="","",'Step 15 - Final Approval'!I12)</f>
        <v/>
      </c>
      <c r="V715" s="19" t="str">
        <f>IF('Step 15 - Final Approval'!B12="","",'Step 15 - Final Approval'!K12)</f>
        <v/>
      </c>
      <c r="W715" s="20" t="str">
        <f>IF('Step 15 - Final Approval'!B12="","",'Step 15 - Final Approval'!L12)</f>
        <v/>
      </c>
      <c r="X715" s="19" t="str">
        <f>IF('Step 15 - Final Approval'!B12="","",'Step 15 - Final Approval'!N12)</f>
        <v/>
      </c>
      <c r="Y715" s="20" t="str">
        <f>""</f>
        <v/>
      </c>
      <c r="Z715" s="20" t="str">
        <f>""</f>
        <v/>
      </c>
      <c r="AA715" s="20" t="str">
        <f>""</f>
        <v/>
      </c>
      <c r="AB715" s="20" t="str">
        <f>""</f>
        <v/>
      </c>
      <c r="AC715" s="20" t="str">
        <f>""</f>
        <v/>
      </c>
      <c r="AD715" s="20" t="str">
        <f>""</f>
        <v/>
      </c>
      <c r="AE715" s="20" t="str">
        <f>""</f>
        <v/>
      </c>
      <c r="AF715" s="20" t="str">
        <f>""</f>
        <v/>
      </c>
      <c r="AG715" s="20" t="str">
        <f>""</f>
        <v/>
      </c>
      <c r="AH715" s="20" t="str">
        <f>""</f>
        <v/>
      </c>
      <c r="AI715" s="20" t="str">
        <f>""</f>
        <v/>
      </c>
      <c r="AJ715" s="20" t="str">
        <f>""</f>
        <v/>
      </c>
      <c r="AK715" s="20" t="str">
        <f>""</f>
        <v/>
      </c>
      <c r="AL715" s="20" t="str">
        <f>""</f>
        <v/>
      </c>
      <c r="AM715" s="20" t="str">
        <f>""</f>
        <v/>
      </c>
    </row>
    <row r="716" spans="1:39" ht="15.75" customHeight="1" x14ac:dyDescent="0.25">
      <c r="A716" s="17" t="str">
        <f>IF('Step 15 - Final Approval'!B13="","","Active")</f>
        <v/>
      </c>
      <c r="B716" s="18" t="str">
        <f>IF('Step 15 - Final Approval'!B13="","",'Step 15 - Final Approval'!B13)</f>
        <v/>
      </c>
      <c r="C716" s="18" t="str">
        <f>IF('Step 15 - Final Approval'!B13="","",'Step 15 - Final Approval'!B13)</f>
        <v/>
      </c>
      <c r="D716" s="17" t="str">
        <f>IF('Step 15 - Final Approval'!B13="","",'Step 15 - Final Approval'!G13)</f>
        <v/>
      </c>
      <c r="E716" s="17" t="str">
        <f>IF('Step 15 - Final Approval'!B13="","",'Step 15 - Final Approval'!H13)</f>
        <v/>
      </c>
      <c r="F716" s="18" t="str">
        <f>IF('Step 15 - Final Approval'!B13="","",IF('Step 15 - Final Approval'!C13="","","Fund Code"))</f>
        <v/>
      </c>
      <c r="G716" s="17" t="str">
        <f>IF('Step 15 - Final Approval'!B13="","",IF('Step 15 - Final Approval'!C13="","","Equals"))</f>
        <v/>
      </c>
      <c r="H716" s="18" t="str">
        <f>IF('Step 15 - Final Approval'!B13="","",IF('Step 15 - Final Approval'!C13="","",'Step 15 - Final Approval'!C13))</f>
        <v/>
      </c>
      <c r="I716" s="18" t="str">
        <f>IF('Step 15 - Final Approval'!B13="","","Organization Code")</f>
        <v/>
      </c>
      <c r="J716" s="17" t="str">
        <f>IF('Step 15 - Final Approval'!B13="","","Equals")</f>
        <v/>
      </c>
      <c r="K716" s="18" t="str">
        <f>IF('Step 15 - Final Approval'!B13="","",'Step 15 - Final Approval'!D13)</f>
        <v/>
      </c>
      <c r="L716" s="18" t="str">
        <f>IF('Step 15 - Final Approval'!B13="","","Other Criteria")</f>
        <v/>
      </c>
      <c r="M716" s="17" t="str">
        <f>IF('Step 15 - Final Approval'!B13="","","Equals")</f>
        <v/>
      </c>
      <c r="N716" s="18" t="str">
        <f>IF('Step 15 - Final Approval'!B13="","",'Step 15 - Final Approval'!E13)</f>
        <v/>
      </c>
      <c r="O716" s="18" t="str">
        <f>IF('Step 15 - Final Approval'!B13="","",IF('Step 15 - Final Approval'!F13="","","Total"))</f>
        <v/>
      </c>
      <c r="P716" s="17" t="str">
        <f>IF('Step 15 - Final Approval'!B13="","",IF('Step 15 - Final Approval'!F13="","","&gt;="))</f>
        <v/>
      </c>
      <c r="Q716" s="18" t="str">
        <f>IF('Step 15 - Final Approval'!B13="","",IF('Step 15 - Final Approval'!F13="","",'Step 15 - Final Approval'!F13))</f>
        <v/>
      </c>
      <c r="R716" s="18" t="str">
        <f>""</f>
        <v/>
      </c>
      <c r="S716" s="18" t="str">
        <f>""</f>
        <v/>
      </c>
      <c r="T716" s="18" t="str">
        <f>""</f>
        <v/>
      </c>
      <c r="U716" s="18" t="str">
        <f>IF('Step 15 - Final Approval'!B13="","",'Step 15 - Final Approval'!I13)</f>
        <v/>
      </c>
      <c r="V716" s="17" t="str">
        <f>IF('Step 15 - Final Approval'!B13="","",'Step 15 - Final Approval'!K13)</f>
        <v/>
      </c>
      <c r="W716" s="18" t="str">
        <f>IF('Step 15 - Final Approval'!B13="","",'Step 15 - Final Approval'!L13)</f>
        <v/>
      </c>
      <c r="X716" s="17" t="str">
        <f>IF('Step 15 - Final Approval'!B13="","",'Step 15 - Final Approval'!N13)</f>
        <v/>
      </c>
      <c r="Y716" s="18" t="str">
        <f>""</f>
        <v/>
      </c>
      <c r="Z716" s="18" t="str">
        <f>""</f>
        <v/>
      </c>
      <c r="AA716" s="18" t="str">
        <f>""</f>
        <v/>
      </c>
      <c r="AB716" s="18" t="str">
        <f>""</f>
        <v/>
      </c>
      <c r="AC716" s="18" t="str">
        <f>""</f>
        <v/>
      </c>
      <c r="AD716" s="18" t="str">
        <f>""</f>
        <v/>
      </c>
      <c r="AE716" s="18" t="str">
        <f>""</f>
        <v/>
      </c>
      <c r="AF716" s="18" t="str">
        <f>""</f>
        <v/>
      </c>
      <c r="AG716" s="18" t="str">
        <f>""</f>
        <v/>
      </c>
      <c r="AH716" s="18" t="str">
        <f>""</f>
        <v/>
      </c>
      <c r="AI716" s="18" t="str">
        <f>""</f>
        <v/>
      </c>
      <c r="AJ716" s="18" t="str">
        <f>""</f>
        <v/>
      </c>
      <c r="AK716" s="18" t="str">
        <f>""</f>
        <v/>
      </c>
      <c r="AL716" s="18" t="str">
        <f>""</f>
        <v/>
      </c>
      <c r="AM716" s="18" t="str">
        <f>""</f>
        <v/>
      </c>
    </row>
    <row r="717" spans="1:39" ht="15.75" customHeight="1" x14ac:dyDescent="0.25">
      <c r="A717" s="19" t="str">
        <f>IF('Step 15 - Final Approval'!B14="","","Active")</f>
        <v/>
      </c>
      <c r="B717" s="20" t="str">
        <f>IF('Step 15 - Final Approval'!B14="","",'Step 15 - Final Approval'!B14)</f>
        <v/>
      </c>
      <c r="C717" s="20" t="str">
        <f>IF('Step 15 - Final Approval'!B14="","",'Step 15 - Final Approval'!B14)</f>
        <v/>
      </c>
      <c r="D717" s="19" t="str">
        <f>IF('Step 15 - Final Approval'!B14="","",'Step 15 - Final Approval'!G14)</f>
        <v/>
      </c>
      <c r="E717" s="19" t="str">
        <f>IF('Step 15 - Final Approval'!B14="","",'Step 15 - Final Approval'!H14)</f>
        <v/>
      </c>
      <c r="F717" s="20" t="str">
        <f>IF('Step 15 - Final Approval'!B14="","",IF('Step 15 - Final Approval'!C14="","","Fund Code"))</f>
        <v/>
      </c>
      <c r="G717" s="19" t="str">
        <f>IF('Step 15 - Final Approval'!B14="","",IF('Step 15 - Final Approval'!C14="","","Equals"))</f>
        <v/>
      </c>
      <c r="H717" s="20" t="str">
        <f>IF('Step 15 - Final Approval'!B14="","",IF('Step 15 - Final Approval'!C14="","",'Step 15 - Final Approval'!C14))</f>
        <v/>
      </c>
      <c r="I717" s="20" t="str">
        <f>IF('Step 15 - Final Approval'!B14="","","Organization Code")</f>
        <v/>
      </c>
      <c r="J717" s="19" t="str">
        <f>IF('Step 15 - Final Approval'!B14="","","Equals")</f>
        <v/>
      </c>
      <c r="K717" s="20" t="str">
        <f>IF('Step 15 - Final Approval'!B14="","",'Step 15 - Final Approval'!D14)</f>
        <v/>
      </c>
      <c r="L717" s="20" t="str">
        <f>IF('Step 15 - Final Approval'!B14="","","Other Criteria")</f>
        <v/>
      </c>
      <c r="M717" s="19" t="str">
        <f>IF('Step 15 - Final Approval'!B14="","","Equals")</f>
        <v/>
      </c>
      <c r="N717" s="20" t="str">
        <f>IF('Step 15 - Final Approval'!B14="","",'Step 15 - Final Approval'!E14)</f>
        <v/>
      </c>
      <c r="O717" s="20" t="str">
        <f>IF('Step 15 - Final Approval'!B14="","",IF('Step 15 - Final Approval'!F14="","","Total"))</f>
        <v/>
      </c>
      <c r="P717" s="19" t="str">
        <f>IF('Step 15 - Final Approval'!B14="","",IF('Step 15 - Final Approval'!F14="","","&gt;="))</f>
        <v/>
      </c>
      <c r="Q717" s="20" t="str">
        <f>IF('Step 15 - Final Approval'!B14="","",IF('Step 15 - Final Approval'!F14="","",'Step 15 - Final Approval'!F14))</f>
        <v/>
      </c>
      <c r="R717" s="20" t="str">
        <f>""</f>
        <v/>
      </c>
      <c r="S717" s="20" t="str">
        <f>""</f>
        <v/>
      </c>
      <c r="T717" s="20" t="str">
        <f>""</f>
        <v/>
      </c>
      <c r="U717" s="20" t="str">
        <f>IF('Step 15 - Final Approval'!B14="","",'Step 15 - Final Approval'!I14)</f>
        <v/>
      </c>
      <c r="V717" s="19" t="str">
        <f>IF('Step 15 - Final Approval'!B14="","",'Step 15 - Final Approval'!K14)</f>
        <v/>
      </c>
      <c r="W717" s="20" t="str">
        <f>IF('Step 15 - Final Approval'!B14="","",'Step 15 - Final Approval'!L14)</f>
        <v/>
      </c>
      <c r="X717" s="19" t="str">
        <f>IF('Step 15 - Final Approval'!B14="","",'Step 15 - Final Approval'!N14)</f>
        <v/>
      </c>
      <c r="Y717" s="20" t="str">
        <f>""</f>
        <v/>
      </c>
      <c r="Z717" s="20" t="str">
        <f>""</f>
        <v/>
      </c>
      <c r="AA717" s="20" t="str">
        <f>""</f>
        <v/>
      </c>
      <c r="AB717" s="20" t="str">
        <f>""</f>
        <v/>
      </c>
      <c r="AC717" s="20" t="str">
        <f>""</f>
        <v/>
      </c>
      <c r="AD717" s="20" t="str">
        <f>""</f>
        <v/>
      </c>
      <c r="AE717" s="20" t="str">
        <f>""</f>
        <v/>
      </c>
      <c r="AF717" s="20" t="str">
        <f>""</f>
        <v/>
      </c>
      <c r="AG717" s="20" t="str">
        <f>""</f>
        <v/>
      </c>
      <c r="AH717" s="20" t="str">
        <f>""</f>
        <v/>
      </c>
      <c r="AI717" s="20" t="str">
        <f>""</f>
        <v/>
      </c>
      <c r="AJ717" s="20" t="str">
        <f>""</f>
        <v/>
      </c>
      <c r="AK717" s="20" t="str">
        <f>""</f>
        <v/>
      </c>
      <c r="AL717" s="20" t="str">
        <f>""</f>
        <v/>
      </c>
      <c r="AM717" s="20" t="str">
        <f>""</f>
        <v/>
      </c>
    </row>
    <row r="718" spans="1:39" ht="15.75" customHeight="1" x14ac:dyDescent="0.25">
      <c r="A718" s="17" t="str">
        <f>IF('Step 15 - Final Approval'!B15="","","Active")</f>
        <v/>
      </c>
      <c r="B718" s="18" t="str">
        <f>IF('Step 15 - Final Approval'!B15="","",'Step 15 - Final Approval'!B15)</f>
        <v/>
      </c>
      <c r="C718" s="18" t="str">
        <f>IF('Step 15 - Final Approval'!B15="","",'Step 15 - Final Approval'!B15)</f>
        <v/>
      </c>
      <c r="D718" s="17" t="str">
        <f>IF('Step 15 - Final Approval'!B15="","",'Step 15 - Final Approval'!G15)</f>
        <v/>
      </c>
      <c r="E718" s="17" t="str">
        <f>IF('Step 15 - Final Approval'!B15="","",'Step 15 - Final Approval'!H15)</f>
        <v/>
      </c>
      <c r="F718" s="18" t="str">
        <f>IF('Step 15 - Final Approval'!B15="","",IF('Step 15 - Final Approval'!C15="","","Fund Code"))</f>
        <v/>
      </c>
      <c r="G718" s="17" t="str">
        <f>IF('Step 15 - Final Approval'!B15="","",IF('Step 15 - Final Approval'!C15="","","Equals"))</f>
        <v/>
      </c>
      <c r="H718" s="18" t="str">
        <f>IF('Step 15 - Final Approval'!B15="","",IF('Step 15 - Final Approval'!C15="","",'Step 15 - Final Approval'!C15))</f>
        <v/>
      </c>
      <c r="I718" s="18" t="str">
        <f>IF('Step 15 - Final Approval'!B15="","","Organization Code")</f>
        <v/>
      </c>
      <c r="J718" s="17" t="str">
        <f>IF('Step 15 - Final Approval'!B15="","","Equals")</f>
        <v/>
      </c>
      <c r="K718" s="18" t="str">
        <f>IF('Step 15 - Final Approval'!B15="","",'Step 15 - Final Approval'!D15)</f>
        <v/>
      </c>
      <c r="L718" s="18" t="str">
        <f>IF('Step 15 - Final Approval'!B15="","","Other Criteria")</f>
        <v/>
      </c>
      <c r="M718" s="17" t="str">
        <f>IF('Step 15 - Final Approval'!B15="","","Equals")</f>
        <v/>
      </c>
      <c r="N718" s="18" t="str">
        <f>IF('Step 15 - Final Approval'!B15="","",'Step 15 - Final Approval'!E15)</f>
        <v/>
      </c>
      <c r="O718" s="18" t="str">
        <f>IF('Step 15 - Final Approval'!B15="","",IF('Step 15 - Final Approval'!F15="","","Total"))</f>
        <v/>
      </c>
      <c r="P718" s="17" t="str">
        <f>IF('Step 15 - Final Approval'!B15="","",IF('Step 15 - Final Approval'!F15="","","&gt;="))</f>
        <v/>
      </c>
      <c r="Q718" s="18" t="str">
        <f>IF('Step 15 - Final Approval'!B15="","",IF('Step 15 - Final Approval'!F15="","",'Step 15 - Final Approval'!F15))</f>
        <v/>
      </c>
      <c r="R718" s="18" t="str">
        <f>""</f>
        <v/>
      </c>
      <c r="S718" s="18" t="str">
        <f>""</f>
        <v/>
      </c>
      <c r="T718" s="18" t="str">
        <f>""</f>
        <v/>
      </c>
      <c r="U718" s="18" t="str">
        <f>IF('Step 15 - Final Approval'!B15="","",'Step 15 - Final Approval'!I15)</f>
        <v/>
      </c>
      <c r="V718" s="17" t="str">
        <f>IF('Step 15 - Final Approval'!B15="","",'Step 15 - Final Approval'!K15)</f>
        <v/>
      </c>
      <c r="W718" s="18" t="str">
        <f>IF('Step 15 - Final Approval'!B15="","",'Step 15 - Final Approval'!L15)</f>
        <v/>
      </c>
      <c r="X718" s="17" t="str">
        <f>IF('Step 15 - Final Approval'!B15="","",'Step 15 - Final Approval'!N15)</f>
        <v/>
      </c>
      <c r="Y718" s="18" t="str">
        <f>""</f>
        <v/>
      </c>
      <c r="Z718" s="18" t="str">
        <f>""</f>
        <v/>
      </c>
      <c r="AA718" s="18" t="str">
        <f>""</f>
        <v/>
      </c>
      <c r="AB718" s="18" t="str">
        <f>""</f>
        <v/>
      </c>
      <c r="AC718" s="18" t="str">
        <f>""</f>
        <v/>
      </c>
      <c r="AD718" s="18" t="str">
        <f>""</f>
        <v/>
      </c>
      <c r="AE718" s="18" t="str">
        <f>""</f>
        <v/>
      </c>
      <c r="AF718" s="18" t="str">
        <f>""</f>
        <v/>
      </c>
      <c r="AG718" s="18" t="str">
        <f>""</f>
        <v/>
      </c>
      <c r="AH718" s="18" t="str">
        <f>""</f>
        <v/>
      </c>
      <c r="AI718" s="18" t="str">
        <f>""</f>
        <v/>
      </c>
      <c r="AJ718" s="18" t="str">
        <f>""</f>
        <v/>
      </c>
      <c r="AK718" s="18" t="str">
        <f>""</f>
        <v/>
      </c>
      <c r="AL718" s="18" t="str">
        <f>""</f>
        <v/>
      </c>
      <c r="AM718" s="18" t="str">
        <f>""</f>
        <v/>
      </c>
    </row>
    <row r="719" spans="1:39" ht="15.75" customHeight="1" x14ac:dyDescent="0.25">
      <c r="A719" s="19" t="str">
        <f>IF('Step 15 - Final Approval'!B16="","","Active")</f>
        <v/>
      </c>
      <c r="B719" s="20" t="str">
        <f>IF('Step 15 - Final Approval'!B16="","",'Step 15 - Final Approval'!B16)</f>
        <v/>
      </c>
      <c r="C719" s="20" t="str">
        <f>IF('Step 15 - Final Approval'!B16="","",'Step 15 - Final Approval'!B16)</f>
        <v/>
      </c>
      <c r="D719" s="19" t="str">
        <f>IF('Step 15 - Final Approval'!B16="","",'Step 15 - Final Approval'!G16)</f>
        <v/>
      </c>
      <c r="E719" s="19" t="str">
        <f>IF('Step 15 - Final Approval'!B16="","",'Step 15 - Final Approval'!H16)</f>
        <v/>
      </c>
      <c r="F719" s="20" t="str">
        <f>IF('Step 15 - Final Approval'!B16="","",IF('Step 15 - Final Approval'!C16="","","Fund Code"))</f>
        <v/>
      </c>
      <c r="G719" s="19" t="str">
        <f>IF('Step 15 - Final Approval'!B16="","",IF('Step 15 - Final Approval'!C16="","","Equals"))</f>
        <v/>
      </c>
      <c r="H719" s="20" t="str">
        <f>IF('Step 15 - Final Approval'!B16="","",IF('Step 15 - Final Approval'!C16="","",'Step 15 - Final Approval'!C16))</f>
        <v/>
      </c>
      <c r="I719" s="20" t="str">
        <f>IF('Step 15 - Final Approval'!B16="","","Organization Code")</f>
        <v/>
      </c>
      <c r="J719" s="19" t="str">
        <f>IF('Step 15 - Final Approval'!B16="","","Equals")</f>
        <v/>
      </c>
      <c r="K719" s="20" t="str">
        <f>IF('Step 15 - Final Approval'!B16="","",'Step 15 - Final Approval'!D16)</f>
        <v/>
      </c>
      <c r="L719" s="20" t="str">
        <f>IF('Step 15 - Final Approval'!B16="","","Other Criteria")</f>
        <v/>
      </c>
      <c r="M719" s="19" t="str">
        <f>IF('Step 15 - Final Approval'!B16="","","Equals")</f>
        <v/>
      </c>
      <c r="N719" s="20" t="str">
        <f>IF('Step 15 - Final Approval'!B16="","",'Step 15 - Final Approval'!E16)</f>
        <v/>
      </c>
      <c r="O719" s="20" t="str">
        <f>IF('Step 15 - Final Approval'!B16="","",IF('Step 15 - Final Approval'!F16="","","Total"))</f>
        <v/>
      </c>
      <c r="P719" s="19" t="str">
        <f>IF('Step 15 - Final Approval'!B16="","",IF('Step 15 - Final Approval'!F16="","","&gt;="))</f>
        <v/>
      </c>
      <c r="Q719" s="20" t="str">
        <f>IF('Step 15 - Final Approval'!B16="","",IF('Step 15 - Final Approval'!F16="","",'Step 15 - Final Approval'!F16))</f>
        <v/>
      </c>
      <c r="R719" s="20" t="str">
        <f>""</f>
        <v/>
      </c>
      <c r="S719" s="20" t="str">
        <f>""</f>
        <v/>
      </c>
      <c r="T719" s="20" t="str">
        <f>""</f>
        <v/>
      </c>
      <c r="U719" s="20" t="str">
        <f>IF('Step 15 - Final Approval'!B16="","",'Step 15 - Final Approval'!I16)</f>
        <v/>
      </c>
      <c r="V719" s="19" t="str">
        <f>IF('Step 15 - Final Approval'!B16="","",'Step 15 - Final Approval'!K16)</f>
        <v/>
      </c>
      <c r="W719" s="20" t="str">
        <f>IF('Step 15 - Final Approval'!B16="","",'Step 15 - Final Approval'!L16)</f>
        <v/>
      </c>
      <c r="X719" s="19" t="str">
        <f>IF('Step 15 - Final Approval'!B16="","",'Step 15 - Final Approval'!N16)</f>
        <v/>
      </c>
      <c r="Y719" s="20" t="str">
        <f>""</f>
        <v/>
      </c>
      <c r="Z719" s="20" t="str">
        <f>""</f>
        <v/>
      </c>
      <c r="AA719" s="20" t="str">
        <f>""</f>
        <v/>
      </c>
      <c r="AB719" s="20" t="str">
        <f>""</f>
        <v/>
      </c>
      <c r="AC719" s="20" t="str">
        <f>""</f>
        <v/>
      </c>
      <c r="AD719" s="20" t="str">
        <f>""</f>
        <v/>
      </c>
      <c r="AE719" s="20" t="str">
        <f>""</f>
        <v/>
      </c>
      <c r="AF719" s="20" t="str">
        <f>""</f>
        <v/>
      </c>
      <c r="AG719" s="20" t="str">
        <f>""</f>
        <v/>
      </c>
      <c r="AH719" s="20" t="str">
        <f>""</f>
        <v/>
      </c>
      <c r="AI719" s="20" t="str">
        <f>""</f>
        <v/>
      </c>
      <c r="AJ719" s="20" t="str">
        <f>""</f>
        <v/>
      </c>
      <c r="AK719" s="20" t="str">
        <f>""</f>
        <v/>
      </c>
      <c r="AL719" s="20" t="str">
        <f>""</f>
        <v/>
      </c>
      <c r="AM719" s="20" t="str">
        <f>""</f>
        <v/>
      </c>
    </row>
    <row r="720" spans="1:39" ht="15.75" customHeight="1" x14ac:dyDescent="0.25">
      <c r="A720" s="17" t="str">
        <f>IF('Step 15 - Final Approval'!B17="","","Active")</f>
        <v/>
      </c>
      <c r="B720" s="18" t="str">
        <f>IF('Step 15 - Final Approval'!B17="","",'Step 15 - Final Approval'!B17)</f>
        <v/>
      </c>
      <c r="C720" s="18" t="str">
        <f>IF('Step 15 - Final Approval'!B17="","",'Step 15 - Final Approval'!B17)</f>
        <v/>
      </c>
      <c r="D720" s="17" t="str">
        <f>IF('Step 15 - Final Approval'!B17="","",'Step 15 - Final Approval'!G17)</f>
        <v/>
      </c>
      <c r="E720" s="17" t="str">
        <f>IF('Step 15 - Final Approval'!B17="","",'Step 15 - Final Approval'!H17)</f>
        <v/>
      </c>
      <c r="F720" s="18" t="str">
        <f>IF('Step 15 - Final Approval'!B17="","",IF('Step 15 - Final Approval'!C17="","","Fund Code"))</f>
        <v/>
      </c>
      <c r="G720" s="17" t="str">
        <f>IF('Step 15 - Final Approval'!B17="","",IF('Step 15 - Final Approval'!C17="","","Equals"))</f>
        <v/>
      </c>
      <c r="H720" s="18" t="str">
        <f>IF('Step 15 - Final Approval'!B17="","",IF('Step 15 - Final Approval'!C17="","",'Step 15 - Final Approval'!C17))</f>
        <v/>
      </c>
      <c r="I720" s="18" t="str">
        <f>IF('Step 15 - Final Approval'!B17="","","Organization Code")</f>
        <v/>
      </c>
      <c r="J720" s="17" t="str">
        <f>IF('Step 15 - Final Approval'!B17="","","Equals")</f>
        <v/>
      </c>
      <c r="K720" s="18" t="str">
        <f>IF('Step 15 - Final Approval'!B17="","",'Step 15 - Final Approval'!D17)</f>
        <v/>
      </c>
      <c r="L720" s="18" t="str">
        <f>IF('Step 15 - Final Approval'!B17="","","Other Criteria")</f>
        <v/>
      </c>
      <c r="M720" s="17" t="str">
        <f>IF('Step 15 - Final Approval'!B17="","","Equals")</f>
        <v/>
      </c>
      <c r="N720" s="18" t="str">
        <f>IF('Step 15 - Final Approval'!B17="","",'Step 15 - Final Approval'!E17)</f>
        <v/>
      </c>
      <c r="O720" s="18" t="str">
        <f>IF('Step 15 - Final Approval'!B17="","",IF('Step 15 - Final Approval'!F17="","","Total"))</f>
        <v/>
      </c>
      <c r="P720" s="17" t="str">
        <f>IF('Step 15 - Final Approval'!B17="","",IF('Step 15 - Final Approval'!F17="","","&gt;="))</f>
        <v/>
      </c>
      <c r="Q720" s="18" t="str">
        <f>IF('Step 15 - Final Approval'!B17="","",IF('Step 15 - Final Approval'!F17="","",'Step 15 - Final Approval'!F17))</f>
        <v/>
      </c>
      <c r="R720" s="18" t="str">
        <f>""</f>
        <v/>
      </c>
      <c r="S720" s="18" t="str">
        <f>""</f>
        <v/>
      </c>
      <c r="T720" s="18" t="str">
        <f>""</f>
        <v/>
      </c>
      <c r="U720" s="18" t="str">
        <f>IF('Step 15 - Final Approval'!B17="","",'Step 15 - Final Approval'!I17)</f>
        <v/>
      </c>
      <c r="V720" s="17" t="str">
        <f>IF('Step 15 - Final Approval'!B17="","",'Step 15 - Final Approval'!K17)</f>
        <v/>
      </c>
      <c r="W720" s="18" t="str">
        <f>IF('Step 15 - Final Approval'!B17="","",'Step 15 - Final Approval'!L17)</f>
        <v/>
      </c>
      <c r="X720" s="17" t="str">
        <f>IF('Step 15 - Final Approval'!B17="","",'Step 15 - Final Approval'!N17)</f>
        <v/>
      </c>
      <c r="Y720" s="18" t="str">
        <f>""</f>
        <v/>
      </c>
      <c r="Z720" s="18" t="str">
        <f>""</f>
        <v/>
      </c>
      <c r="AA720" s="18" t="str">
        <f>""</f>
        <v/>
      </c>
      <c r="AB720" s="18" t="str">
        <f>""</f>
        <v/>
      </c>
      <c r="AC720" s="18" t="str">
        <f>""</f>
        <v/>
      </c>
      <c r="AD720" s="18" t="str">
        <f>""</f>
        <v/>
      </c>
      <c r="AE720" s="18" t="str">
        <f>""</f>
        <v/>
      </c>
      <c r="AF720" s="18" t="str">
        <f>""</f>
        <v/>
      </c>
      <c r="AG720" s="18" t="str">
        <f>""</f>
        <v/>
      </c>
      <c r="AH720" s="18" t="str">
        <f>""</f>
        <v/>
      </c>
      <c r="AI720" s="18" t="str">
        <f>""</f>
        <v/>
      </c>
      <c r="AJ720" s="18" t="str">
        <f>""</f>
        <v/>
      </c>
      <c r="AK720" s="18" t="str">
        <f>""</f>
        <v/>
      </c>
      <c r="AL720" s="18" t="str">
        <f>""</f>
        <v/>
      </c>
      <c r="AM720" s="18" t="str">
        <f>""</f>
        <v/>
      </c>
    </row>
    <row r="721" spans="1:39" ht="15.75" customHeight="1" x14ac:dyDescent="0.25">
      <c r="A721" s="19" t="str">
        <f>IF('Step 15 - Final Approval'!B18="","","Active")</f>
        <v/>
      </c>
      <c r="B721" s="20" t="str">
        <f>IF('Step 15 - Final Approval'!B18="","",'Step 15 - Final Approval'!B18)</f>
        <v/>
      </c>
      <c r="C721" s="20" t="str">
        <f>IF('Step 15 - Final Approval'!B18="","",'Step 15 - Final Approval'!B18)</f>
        <v/>
      </c>
      <c r="D721" s="19" t="str">
        <f>IF('Step 15 - Final Approval'!B18="","",'Step 15 - Final Approval'!G18)</f>
        <v/>
      </c>
      <c r="E721" s="19" t="str">
        <f>IF('Step 15 - Final Approval'!B18="","",'Step 15 - Final Approval'!H18)</f>
        <v/>
      </c>
      <c r="F721" s="20" t="str">
        <f>IF('Step 15 - Final Approval'!B18="","",IF('Step 15 - Final Approval'!C18="","","Fund Code"))</f>
        <v/>
      </c>
      <c r="G721" s="19" t="str">
        <f>IF('Step 15 - Final Approval'!B18="","",IF('Step 15 - Final Approval'!C18="","","Equals"))</f>
        <v/>
      </c>
      <c r="H721" s="20" t="str">
        <f>IF('Step 15 - Final Approval'!B18="","",IF('Step 15 - Final Approval'!C18="","",'Step 15 - Final Approval'!C18))</f>
        <v/>
      </c>
      <c r="I721" s="20" t="str">
        <f>IF('Step 15 - Final Approval'!B18="","","Organization Code")</f>
        <v/>
      </c>
      <c r="J721" s="19" t="str">
        <f>IF('Step 15 - Final Approval'!B18="","","Equals")</f>
        <v/>
      </c>
      <c r="K721" s="20" t="str">
        <f>IF('Step 15 - Final Approval'!B18="","",'Step 15 - Final Approval'!D18)</f>
        <v/>
      </c>
      <c r="L721" s="20" t="str">
        <f>IF('Step 15 - Final Approval'!B18="","","Other Criteria")</f>
        <v/>
      </c>
      <c r="M721" s="19" t="str">
        <f>IF('Step 15 - Final Approval'!B18="","","Equals")</f>
        <v/>
      </c>
      <c r="N721" s="20" t="str">
        <f>IF('Step 15 - Final Approval'!B18="","",'Step 15 - Final Approval'!E18)</f>
        <v/>
      </c>
      <c r="O721" s="20" t="str">
        <f>IF('Step 15 - Final Approval'!B18="","",IF('Step 15 - Final Approval'!F18="","","Total"))</f>
        <v/>
      </c>
      <c r="P721" s="19" t="str">
        <f>IF('Step 15 - Final Approval'!B18="","",IF('Step 15 - Final Approval'!F18="","","&gt;="))</f>
        <v/>
      </c>
      <c r="Q721" s="20" t="str">
        <f>IF('Step 15 - Final Approval'!B18="","",IF('Step 15 - Final Approval'!F18="","",'Step 15 - Final Approval'!F18))</f>
        <v/>
      </c>
      <c r="R721" s="20" t="str">
        <f>""</f>
        <v/>
      </c>
      <c r="S721" s="20" t="str">
        <f>""</f>
        <v/>
      </c>
      <c r="T721" s="20" t="str">
        <f>""</f>
        <v/>
      </c>
      <c r="U721" s="20" t="str">
        <f>IF('Step 15 - Final Approval'!B18="","",'Step 15 - Final Approval'!I18)</f>
        <v/>
      </c>
      <c r="V721" s="19" t="str">
        <f>IF('Step 15 - Final Approval'!B18="","",'Step 15 - Final Approval'!K18)</f>
        <v/>
      </c>
      <c r="W721" s="20" t="str">
        <f>IF('Step 15 - Final Approval'!B18="","",'Step 15 - Final Approval'!L18)</f>
        <v/>
      </c>
      <c r="X721" s="19" t="str">
        <f>IF('Step 15 - Final Approval'!B18="","",'Step 15 - Final Approval'!N18)</f>
        <v/>
      </c>
      <c r="Y721" s="20" t="str">
        <f>""</f>
        <v/>
      </c>
      <c r="Z721" s="20" t="str">
        <f>""</f>
        <v/>
      </c>
      <c r="AA721" s="20" t="str">
        <f>""</f>
        <v/>
      </c>
      <c r="AB721" s="20" t="str">
        <f>""</f>
        <v/>
      </c>
      <c r="AC721" s="20" t="str">
        <f>""</f>
        <v/>
      </c>
      <c r="AD721" s="20" t="str">
        <f>""</f>
        <v/>
      </c>
      <c r="AE721" s="20" t="str">
        <f>""</f>
        <v/>
      </c>
      <c r="AF721" s="20" t="str">
        <f>""</f>
        <v/>
      </c>
      <c r="AG721" s="20" t="str">
        <f>""</f>
        <v/>
      </c>
      <c r="AH721" s="20" t="str">
        <f>""</f>
        <v/>
      </c>
      <c r="AI721" s="20" t="str">
        <f>""</f>
        <v/>
      </c>
      <c r="AJ721" s="20" t="str">
        <f>""</f>
        <v/>
      </c>
      <c r="AK721" s="20" t="str">
        <f>""</f>
        <v/>
      </c>
      <c r="AL721" s="20" t="str">
        <f>""</f>
        <v/>
      </c>
      <c r="AM721" s="20" t="str">
        <f>""</f>
        <v/>
      </c>
    </row>
    <row r="722" spans="1:39" ht="15.75" customHeight="1" x14ac:dyDescent="0.25">
      <c r="A722" s="17" t="str">
        <f>IF('Step 15 - Final Approval'!B19="","","Active")</f>
        <v/>
      </c>
      <c r="B722" s="18" t="str">
        <f>IF('Step 15 - Final Approval'!B19="","",'Step 15 - Final Approval'!B19)</f>
        <v/>
      </c>
      <c r="C722" s="18" t="str">
        <f>IF('Step 15 - Final Approval'!B19="","",'Step 15 - Final Approval'!B19)</f>
        <v/>
      </c>
      <c r="D722" s="17" t="str">
        <f>IF('Step 15 - Final Approval'!B19="","",'Step 15 - Final Approval'!G19)</f>
        <v/>
      </c>
      <c r="E722" s="17" t="str">
        <f>IF('Step 15 - Final Approval'!B19="","",'Step 15 - Final Approval'!H19)</f>
        <v/>
      </c>
      <c r="F722" s="18" t="str">
        <f>IF('Step 15 - Final Approval'!B19="","",IF('Step 15 - Final Approval'!C19="","","Fund Code"))</f>
        <v/>
      </c>
      <c r="G722" s="17" t="str">
        <f>IF('Step 15 - Final Approval'!B19="","",IF('Step 15 - Final Approval'!C19="","","Equals"))</f>
        <v/>
      </c>
      <c r="H722" s="18" t="str">
        <f>IF('Step 15 - Final Approval'!B19="","",IF('Step 15 - Final Approval'!C19="","",'Step 15 - Final Approval'!C19))</f>
        <v/>
      </c>
      <c r="I722" s="18" t="str">
        <f>IF('Step 15 - Final Approval'!B19="","","Organization Code")</f>
        <v/>
      </c>
      <c r="J722" s="17" t="str">
        <f>IF('Step 15 - Final Approval'!B19="","","Equals")</f>
        <v/>
      </c>
      <c r="K722" s="18" t="str">
        <f>IF('Step 15 - Final Approval'!B19="","",'Step 15 - Final Approval'!D19)</f>
        <v/>
      </c>
      <c r="L722" s="18" t="str">
        <f>IF('Step 15 - Final Approval'!B19="","","Other Criteria")</f>
        <v/>
      </c>
      <c r="M722" s="17" t="str">
        <f>IF('Step 15 - Final Approval'!B19="","","Equals")</f>
        <v/>
      </c>
      <c r="N722" s="18" t="str">
        <f>IF('Step 15 - Final Approval'!B19="","",'Step 15 - Final Approval'!E19)</f>
        <v/>
      </c>
      <c r="O722" s="18" t="str">
        <f>IF('Step 15 - Final Approval'!B19="","",IF('Step 15 - Final Approval'!F19="","","Total"))</f>
        <v/>
      </c>
      <c r="P722" s="17" t="str">
        <f>IF('Step 15 - Final Approval'!B19="","",IF('Step 15 - Final Approval'!F19="","","&gt;="))</f>
        <v/>
      </c>
      <c r="Q722" s="18" t="str">
        <f>IF('Step 15 - Final Approval'!B19="","",IF('Step 15 - Final Approval'!F19="","",'Step 15 - Final Approval'!F19))</f>
        <v/>
      </c>
      <c r="R722" s="18" t="str">
        <f>""</f>
        <v/>
      </c>
      <c r="S722" s="18" t="str">
        <f>""</f>
        <v/>
      </c>
      <c r="T722" s="18" t="str">
        <f>""</f>
        <v/>
      </c>
      <c r="U722" s="18" t="str">
        <f>IF('Step 15 - Final Approval'!B19="","",'Step 15 - Final Approval'!I19)</f>
        <v/>
      </c>
      <c r="V722" s="17" t="str">
        <f>IF('Step 15 - Final Approval'!B19="","",'Step 15 - Final Approval'!K19)</f>
        <v/>
      </c>
      <c r="W722" s="18" t="str">
        <f>IF('Step 15 - Final Approval'!B19="","",'Step 15 - Final Approval'!L19)</f>
        <v/>
      </c>
      <c r="X722" s="17" t="str">
        <f>IF('Step 15 - Final Approval'!B19="","",'Step 15 - Final Approval'!N19)</f>
        <v/>
      </c>
      <c r="Y722" s="18" t="str">
        <f>""</f>
        <v/>
      </c>
      <c r="Z722" s="18" t="str">
        <f>""</f>
        <v/>
      </c>
      <c r="AA722" s="18" t="str">
        <f>""</f>
        <v/>
      </c>
      <c r="AB722" s="18" t="str">
        <f>""</f>
        <v/>
      </c>
      <c r="AC722" s="18" t="str">
        <f>""</f>
        <v/>
      </c>
      <c r="AD722" s="18" t="str">
        <f>""</f>
        <v/>
      </c>
      <c r="AE722" s="18" t="str">
        <f>""</f>
        <v/>
      </c>
      <c r="AF722" s="18" t="str">
        <f>""</f>
        <v/>
      </c>
      <c r="AG722" s="18" t="str">
        <f>""</f>
        <v/>
      </c>
      <c r="AH722" s="18" t="str">
        <f>""</f>
        <v/>
      </c>
      <c r="AI722" s="18" t="str">
        <f>""</f>
        <v/>
      </c>
      <c r="AJ722" s="18" t="str">
        <f>""</f>
        <v/>
      </c>
      <c r="AK722" s="18" t="str">
        <f>""</f>
        <v/>
      </c>
      <c r="AL722" s="18" t="str">
        <f>""</f>
        <v/>
      </c>
      <c r="AM722" s="18" t="str">
        <f>""</f>
        <v/>
      </c>
    </row>
    <row r="723" spans="1:39" ht="15.75" customHeight="1" x14ac:dyDescent="0.25">
      <c r="A723" s="19" t="str">
        <f>IF('Step 15 - Final Approval'!B20="","","Active")</f>
        <v/>
      </c>
      <c r="B723" s="20" t="str">
        <f>IF('Step 15 - Final Approval'!B20="","",'Step 15 - Final Approval'!B20)</f>
        <v/>
      </c>
      <c r="C723" s="20" t="str">
        <f>IF('Step 15 - Final Approval'!B20="","",'Step 15 - Final Approval'!B20)</f>
        <v/>
      </c>
      <c r="D723" s="19" t="str">
        <f>IF('Step 15 - Final Approval'!B20="","",'Step 15 - Final Approval'!G20)</f>
        <v/>
      </c>
      <c r="E723" s="19" t="str">
        <f>IF('Step 15 - Final Approval'!B20="","",'Step 15 - Final Approval'!H20)</f>
        <v/>
      </c>
      <c r="F723" s="20" t="str">
        <f>IF('Step 15 - Final Approval'!B20="","",IF('Step 15 - Final Approval'!C20="","","Fund Code"))</f>
        <v/>
      </c>
      <c r="G723" s="19" t="str">
        <f>IF('Step 15 - Final Approval'!B20="","",IF('Step 15 - Final Approval'!C20="","","Equals"))</f>
        <v/>
      </c>
      <c r="H723" s="20" t="str">
        <f>IF('Step 15 - Final Approval'!B20="","",IF('Step 15 - Final Approval'!C20="","",'Step 15 - Final Approval'!C20))</f>
        <v/>
      </c>
      <c r="I723" s="20" t="str">
        <f>IF('Step 15 - Final Approval'!B20="","","Organization Code")</f>
        <v/>
      </c>
      <c r="J723" s="19" t="str">
        <f>IF('Step 15 - Final Approval'!B20="","","Equals")</f>
        <v/>
      </c>
      <c r="K723" s="20" t="str">
        <f>IF('Step 15 - Final Approval'!B20="","",'Step 15 - Final Approval'!D20)</f>
        <v/>
      </c>
      <c r="L723" s="20" t="str">
        <f>IF('Step 15 - Final Approval'!B20="","","Other Criteria")</f>
        <v/>
      </c>
      <c r="M723" s="19" t="str">
        <f>IF('Step 15 - Final Approval'!B20="","","Equals")</f>
        <v/>
      </c>
      <c r="N723" s="20" t="str">
        <f>IF('Step 15 - Final Approval'!B20="","",'Step 15 - Final Approval'!E20)</f>
        <v/>
      </c>
      <c r="O723" s="20" t="str">
        <f>IF('Step 15 - Final Approval'!B20="","",IF('Step 15 - Final Approval'!F20="","","Total"))</f>
        <v/>
      </c>
      <c r="P723" s="19" t="str">
        <f>IF('Step 15 - Final Approval'!B20="","",IF('Step 15 - Final Approval'!F20="","","&gt;="))</f>
        <v/>
      </c>
      <c r="Q723" s="20" t="str">
        <f>IF('Step 15 - Final Approval'!B20="","",IF('Step 15 - Final Approval'!F20="","",'Step 15 - Final Approval'!F20))</f>
        <v/>
      </c>
      <c r="R723" s="20" t="str">
        <f>""</f>
        <v/>
      </c>
      <c r="S723" s="20" t="str">
        <f>""</f>
        <v/>
      </c>
      <c r="T723" s="20" t="str">
        <f>""</f>
        <v/>
      </c>
      <c r="U723" s="20" t="str">
        <f>IF('Step 15 - Final Approval'!B20="","",'Step 15 - Final Approval'!I20)</f>
        <v/>
      </c>
      <c r="V723" s="19" t="str">
        <f>IF('Step 15 - Final Approval'!B20="","",'Step 15 - Final Approval'!K20)</f>
        <v/>
      </c>
      <c r="W723" s="20" t="str">
        <f>IF('Step 15 - Final Approval'!B20="","",'Step 15 - Final Approval'!L20)</f>
        <v/>
      </c>
      <c r="X723" s="19" t="str">
        <f>IF('Step 15 - Final Approval'!B20="","",'Step 15 - Final Approval'!N20)</f>
        <v/>
      </c>
      <c r="Y723" s="20" t="str">
        <f>""</f>
        <v/>
      </c>
      <c r="Z723" s="20" t="str">
        <f>""</f>
        <v/>
      </c>
      <c r="AA723" s="20" t="str">
        <f>""</f>
        <v/>
      </c>
      <c r="AB723" s="20" t="str">
        <f>""</f>
        <v/>
      </c>
      <c r="AC723" s="20" t="str">
        <f>""</f>
        <v/>
      </c>
      <c r="AD723" s="20" t="str">
        <f>""</f>
        <v/>
      </c>
      <c r="AE723" s="20" t="str">
        <f>""</f>
        <v/>
      </c>
      <c r="AF723" s="20" t="str">
        <f>""</f>
        <v/>
      </c>
      <c r="AG723" s="20" t="str">
        <f>""</f>
        <v/>
      </c>
      <c r="AH723" s="20" t="str">
        <f>""</f>
        <v/>
      </c>
      <c r="AI723" s="20" t="str">
        <f>""</f>
        <v/>
      </c>
      <c r="AJ723" s="20" t="str">
        <f>""</f>
        <v/>
      </c>
      <c r="AK723" s="20" t="str">
        <f>""</f>
        <v/>
      </c>
      <c r="AL723" s="20" t="str">
        <f>""</f>
        <v/>
      </c>
      <c r="AM723" s="20" t="str">
        <f>""</f>
        <v/>
      </c>
    </row>
    <row r="724" spans="1:39" ht="15.75" customHeight="1" x14ac:dyDescent="0.25">
      <c r="A724" s="17" t="str">
        <f>IF('Step 15 - Final Approval'!B21="","","Active")</f>
        <v/>
      </c>
      <c r="B724" s="18" t="str">
        <f>IF('Step 15 - Final Approval'!B21="","",'Step 15 - Final Approval'!B21)</f>
        <v/>
      </c>
      <c r="C724" s="18" t="str">
        <f>IF('Step 15 - Final Approval'!B21="","",'Step 15 - Final Approval'!B21)</f>
        <v/>
      </c>
      <c r="D724" s="17" t="str">
        <f>IF('Step 15 - Final Approval'!B21="","",'Step 15 - Final Approval'!G21)</f>
        <v/>
      </c>
      <c r="E724" s="17" t="str">
        <f>IF('Step 15 - Final Approval'!B21="","",'Step 15 - Final Approval'!H21)</f>
        <v/>
      </c>
      <c r="F724" s="18" t="str">
        <f>IF('Step 15 - Final Approval'!B21="","",IF('Step 15 - Final Approval'!C21="","","Fund Code"))</f>
        <v/>
      </c>
      <c r="G724" s="17" t="str">
        <f>IF('Step 15 - Final Approval'!B21="","",IF('Step 15 - Final Approval'!C21="","","Equals"))</f>
        <v/>
      </c>
      <c r="H724" s="18" t="str">
        <f>IF('Step 15 - Final Approval'!B21="","",IF('Step 15 - Final Approval'!C21="","",'Step 15 - Final Approval'!C21))</f>
        <v/>
      </c>
      <c r="I724" s="18" t="str">
        <f>IF('Step 15 - Final Approval'!B21="","","Organization Code")</f>
        <v/>
      </c>
      <c r="J724" s="17" t="str">
        <f>IF('Step 15 - Final Approval'!B21="","","Equals")</f>
        <v/>
      </c>
      <c r="K724" s="18" t="str">
        <f>IF('Step 15 - Final Approval'!B21="","",'Step 15 - Final Approval'!D21)</f>
        <v/>
      </c>
      <c r="L724" s="18" t="str">
        <f>IF('Step 15 - Final Approval'!B21="","","Other Criteria")</f>
        <v/>
      </c>
      <c r="M724" s="17" t="str">
        <f>IF('Step 15 - Final Approval'!B21="","","Equals")</f>
        <v/>
      </c>
      <c r="N724" s="18" t="str">
        <f>IF('Step 15 - Final Approval'!B21="","",'Step 15 - Final Approval'!E21)</f>
        <v/>
      </c>
      <c r="O724" s="18" t="str">
        <f>IF('Step 15 - Final Approval'!B21="","",IF('Step 15 - Final Approval'!F21="","","Total"))</f>
        <v/>
      </c>
      <c r="P724" s="17" t="str">
        <f>IF('Step 15 - Final Approval'!B21="","",IF('Step 15 - Final Approval'!F21="","","&gt;="))</f>
        <v/>
      </c>
      <c r="Q724" s="18" t="str">
        <f>IF('Step 15 - Final Approval'!B21="","",IF('Step 15 - Final Approval'!F21="","",'Step 15 - Final Approval'!F21))</f>
        <v/>
      </c>
      <c r="R724" s="18" t="str">
        <f>""</f>
        <v/>
      </c>
      <c r="S724" s="18" t="str">
        <f>""</f>
        <v/>
      </c>
      <c r="T724" s="18" t="str">
        <f>""</f>
        <v/>
      </c>
      <c r="U724" s="18" t="str">
        <f>IF('Step 15 - Final Approval'!B21="","",'Step 15 - Final Approval'!I21)</f>
        <v/>
      </c>
      <c r="V724" s="17" t="str">
        <f>IF('Step 15 - Final Approval'!B21="","",'Step 15 - Final Approval'!K21)</f>
        <v/>
      </c>
      <c r="W724" s="18" t="str">
        <f>IF('Step 15 - Final Approval'!B21="","",'Step 15 - Final Approval'!L21)</f>
        <v/>
      </c>
      <c r="X724" s="17" t="str">
        <f>IF('Step 15 - Final Approval'!B21="","",'Step 15 - Final Approval'!N21)</f>
        <v/>
      </c>
      <c r="Y724" s="18" t="str">
        <f>""</f>
        <v/>
      </c>
      <c r="Z724" s="18" t="str">
        <f>""</f>
        <v/>
      </c>
      <c r="AA724" s="18" t="str">
        <f>""</f>
        <v/>
      </c>
      <c r="AB724" s="18" t="str">
        <f>""</f>
        <v/>
      </c>
      <c r="AC724" s="18" t="str">
        <f>""</f>
        <v/>
      </c>
      <c r="AD724" s="18" t="str">
        <f>""</f>
        <v/>
      </c>
      <c r="AE724" s="18" t="str">
        <f>""</f>
        <v/>
      </c>
      <c r="AF724" s="18" t="str">
        <f>""</f>
        <v/>
      </c>
      <c r="AG724" s="18" t="str">
        <f>""</f>
        <v/>
      </c>
      <c r="AH724" s="18" t="str">
        <f>""</f>
        <v/>
      </c>
      <c r="AI724" s="18" t="str">
        <f>""</f>
        <v/>
      </c>
      <c r="AJ724" s="18" t="str">
        <f>""</f>
        <v/>
      </c>
      <c r="AK724" s="18" t="str">
        <f>""</f>
        <v/>
      </c>
      <c r="AL724" s="18" t="str">
        <f>""</f>
        <v/>
      </c>
      <c r="AM724" s="18" t="str">
        <f>""</f>
        <v/>
      </c>
    </row>
    <row r="725" spans="1:39" ht="15.75" customHeight="1" x14ac:dyDescent="0.25">
      <c r="A725" s="19" t="str">
        <f>IF('Step 15 - Final Approval'!B22="","","Active")</f>
        <v/>
      </c>
      <c r="B725" s="20" t="str">
        <f>IF('Step 15 - Final Approval'!B22="","",'Step 15 - Final Approval'!B22)</f>
        <v/>
      </c>
      <c r="C725" s="20" t="str">
        <f>IF('Step 15 - Final Approval'!B22="","",'Step 15 - Final Approval'!B22)</f>
        <v/>
      </c>
      <c r="D725" s="19" t="str">
        <f>IF('Step 15 - Final Approval'!B22="","",'Step 15 - Final Approval'!G22)</f>
        <v/>
      </c>
      <c r="E725" s="19" t="str">
        <f>IF('Step 15 - Final Approval'!B22="","",'Step 15 - Final Approval'!H22)</f>
        <v/>
      </c>
      <c r="F725" s="20" t="str">
        <f>IF('Step 15 - Final Approval'!B22="","",IF('Step 15 - Final Approval'!C22="","","Fund Code"))</f>
        <v/>
      </c>
      <c r="G725" s="19" t="str">
        <f>IF('Step 15 - Final Approval'!B22="","",IF('Step 15 - Final Approval'!C22="","","Equals"))</f>
        <v/>
      </c>
      <c r="H725" s="20" t="str">
        <f>IF('Step 15 - Final Approval'!B22="","",IF('Step 15 - Final Approval'!C22="","",'Step 15 - Final Approval'!C22))</f>
        <v/>
      </c>
      <c r="I725" s="20" t="str">
        <f>IF('Step 15 - Final Approval'!B22="","","Organization Code")</f>
        <v/>
      </c>
      <c r="J725" s="19" t="str">
        <f>IF('Step 15 - Final Approval'!B22="","","Equals")</f>
        <v/>
      </c>
      <c r="K725" s="20" t="str">
        <f>IF('Step 15 - Final Approval'!B22="","",'Step 15 - Final Approval'!D22)</f>
        <v/>
      </c>
      <c r="L725" s="20" t="str">
        <f>IF('Step 15 - Final Approval'!B22="","","Other Criteria")</f>
        <v/>
      </c>
      <c r="M725" s="19" t="str">
        <f>IF('Step 15 - Final Approval'!B22="","","Equals")</f>
        <v/>
      </c>
      <c r="N725" s="20" t="str">
        <f>IF('Step 15 - Final Approval'!B22="","",'Step 15 - Final Approval'!E22)</f>
        <v/>
      </c>
      <c r="O725" s="20" t="str">
        <f>IF('Step 15 - Final Approval'!B22="","",IF('Step 15 - Final Approval'!F22="","","Total"))</f>
        <v/>
      </c>
      <c r="P725" s="19" t="str">
        <f>IF('Step 15 - Final Approval'!B22="","",IF('Step 15 - Final Approval'!F22="","","&gt;="))</f>
        <v/>
      </c>
      <c r="Q725" s="20" t="str">
        <f>IF('Step 15 - Final Approval'!B22="","",IF('Step 15 - Final Approval'!F22="","",'Step 15 - Final Approval'!F22))</f>
        <v/>
      </c>
      <c r="R725" s="20" t="str">
        <f>""</f>
        <v/>
      </c>
      <c r="S725" s="20" t="str">
        <f>""</f>
        <v/>
      </c>
      <c r="T725" s="20" t="str">
        <f>""</f>
        <v/>
      </c>
      <c r="U725" s="20" t="str">
        <f>IF('Step 15 - Final Approval'!B22="","",'Step 15 - Final Approval'!I22)</f>
        <v/>
      </c>
      <c r="V725" s="19" t="str">
        <f>IF('Step 15 - Final Approval'!B22="","",'Step 15 - Final Approval'!K22)</f>
        <v/>
      </c>
      <c r="W725" s="20" t="str">
        <f>IF('Step 15 - Final Approval'!B22="","",'Step 15 - Final Approval'!L22)</f>
        <v/>
      </c>
      <c r="X725" s="19" t="str">
        <f>IF('Step 15 - Final Approval'!B22="","",'Step 15 - Final Approval'!N22)</f>
        <v/>
      </c>
      <c r="Y725" s="20" t="str">
        <f>""</f>
        <v/>
      </c>
      <c r="Z725" s="20" t="str">
        <f>""</f>
        <v/>
      </c>
      <c r="AA725" s="20" t="str">
        <f>""</f>
        <v/>
      </c>
      <c r="AB725" s="20" t="str">
        <f>""</f>
        <v/>
      </c>
      <c r="AC725" s="20" t="str">
        <f>""</f>
        <v/>
      </c>
      <c r="AD725" s="20" t="str">
        <f>""</f>
        <v/>
      </c>
      <c r="AE725" s="20" t="str">
        <f>""</f>
        <v/>
      </c>
      <c r="AF725" s="20" t="str">
        <f>""</f>
        <v/>
      </c>
      <c r="AG725" s="20" t="str">
        <f>""</f>
        <v/>
      </c>
      <c r="AH725" s="20" t="str">
        <f>""</f>
        <v/>
      </c>
      <c r="AI725" s="20" t="str">
        <f>""</f>
        <v/>
      </c>
      <c r="AJ725" s="20" t="str">
        <f>""</f>
        <v/>
      </c>
      <c r="AK725" s="20" t="str">
        <f>""</f>
        <v/>
      </c>
      <c r="AL725" s="20" t="str">
        <f>""</f>
        <v/>
      </c>
      <c r="AM725" s="20" t="str">
        <f>""</f>
        <v/>
      </c>
    </row>
    <row r="726" spans="1:39" ht="15.75" customHeight="1" x14ac:dyDescent="0.25">
      <c r="A726" s="17" t="str">
        <f>IF('Step 15 - Final Approval'!B23="","","Active")</f>
        <v/>
      </c>
      <c r="B726" s="18" t="str">
        <f>IF('Step 15 - Final Approval'!B23="","",'Step 15 - Final Approval'!B23)</f>
        <v/>
      </c>
      <c r="C726" s="18" t="str">
        <f>IF('Step 15 - Final Approval'!B23="","",'Step 15 - Final Approval'!B23)</f>
        <v/>
      </c>
      <c r="D726" s="17" t="str">
        <f>IF('Step 15 - Final Approval'!B23="","",'Step 15 - Final Approval'!G23)</f>
        <v/>
      </c>
      <c r="E726" s="17" t="str">
        <f>IF('Step 15 - Final Approval'!B23="","",'Step 15 - Final Approval'!H23)</f>
        <v/>
      </c>
      <c r="F726" s="18" t="str">
        <f>IF('Step 15 - Final Approval'!B23="","",IF('Step 15 - Final Approval'!C23="","","Fund Code"))</f>
        <v/>
      </c>
      <c r="G726" s="17" t="str">
        <f>IF('Step 15 - Final Approval'!B23="","",IF('Step 15 - Final Approval'!C23="","","Equals"))</f>
        <v/>
      </c>
      <c r="H726" s="18" t="str">
        <f>IF('Step 15 - Final Approval'!B23="","",IF('Step 15 - Final Approval'!C23="","",'Step 15 - Final Approval'!C23))</f>
        <v/>
      </c>
      <c r="I726" s="18" t="str">
        <f>IF('Step 15 - Final Approval'!B23="","","Organization Code")</f>
        <v/>
      </c>
      <c r="J726" s="17" t="str">
        <f>IF('Step 15 - Final Approval'!B23="","","Equals")</f>
        <v/>
      </c>
      <c r="K726" s="18" t="str">
        <f>IF('Step 15 - Final Approval'!B23="","",'Step 15 - Final Approval'!D23)</f>
        <v/>
      </c>
      <c r="L726" s="18" t="str">
        <f>IF('Step 15 - Final Approval'!B23="","","Other Criteria")</f>
        <v/>
      </c>
      <c r="M726" s="17" t="str">
        <f>IF('Step 15 - Final Approval'!B23="","","Equals")</f>
        <v/>
      </c>
      <c r="N726" s="18" t="str">
        <f>IF('Step 15 - Final Approval'!B23="","",'Step 15 - Final Approval'!E23)</f>
        <v/>
      </c>
      <c r="O726" s="18" t="str">
        <f>IF('Step 15 - Final Approval'!B23="","",IF('Step 15 - Final Approval'!F23="","","Total"))</f>
        <v/>
      </c>
      <c r="P726" s="17" t="str">
        <f>IF('Step 15 - Final Approval'!B23="","",IF('Step 15 - Final Approval'!F23="","","&gt;="))</f>
        <v/>
      </c>
      <c r="Q726" s="18" t="str">
        <f>IF('Step 15 - Final Approval'!B23="","",IF('Step 15 - Final Approval'!F23="","",'Step 15 - Final Approval'!F23))</f>
        <v/>
      </c>
      <c r="R726" s="18" t="str">
        <f>""</f>
        <v/>
      </c>
      <c r="S726" s="18" t="str">
        <f>""</f>
        <v/>
      </c>
      <c r="T726" s="18" t="str">
        <f>""</f>
        <v/>
      </c>
      <c r="U726" s="18" t="str">
        <f>IF('Step 15 - Final Approval'!B23="","",'Step 15 - Final Approval'!I23)</f>
        <v/>
      </c>
      <c r="V726" s="17" t="str">
        <f>IF('Step 15 - Final Approval'!B23="","",'Step 15 - Final Approval'!K23)</f>
        <v/>
      </c>
      <c r="W726" s="18" t="str">
        <f>IF('Step 15 - Final Approval'!B23="","",'Step 15 - Final Approval'!L23)</f>
        <v/>
      </c>
      <c r="X726" s="17" t="str">
        <f>IF('Step 15 - Final Approval'!B23="","",'Step 15 - Final Approval'!N23)</f>
        <v/>
      </c>
      <c r="Y726" s="18" t="str">
        <f>""</f>
        <v/>
      </c>
      <c r="Z726" s="18" t="str">
        <f>""</f>
        <v/>
      </c>
      <c r="AA726" s="18" t="str">
        <f>""</f>
        <v/>
      </c>
      <c r="AB726" s="18" t="str">
        <f>""</f>
        <v/>
      </c>
      <c r="AC726" s="18" t="str">
        <f>""</f>
        <v/>
      </c>
      <c r="AD726" s="18" t="str">
        <f>""</f>
        <v/>
      </c>
      <c r="AE726" s="18" t="str">
        <f>""</f>
        <v/>
      </c>
      <c r="AF726" s="18" t="str">
        <f>""</f>
        <v/>
      </c>
      <c r="AG726" s="18" t="str">
        <f>""</f>
        <v/>
      </c>
      <c r="AH726" s="18" t="str">
        <f>""</f>
        <v/>
      </c>
      <c r="AI726" s="18" t="str">
        <f>""</f>
        <v/>
      </c>
      <c r="AJ726" s="18" t="str">
        <f>""</f>
        <v/>
      </c>
      <c r="AK726" s="18" t="str">
        <f>""</f>
        <v/>
      </c>
      <c r="AL726" s="18" t="str">
        <f>""</f>
        <v/>
      </c>
      <c r="AM726" s="18" t="str">
        <f>""</f>
        <v/>
      </c>
    </row>
    <row r="727" spans="1:39" ht="15.75" customHeight="1" x14ac:dyDescent="0.25">
      <c r="A727" s="19" t="str">
        <f>IF('Step 15 - Final Approval'!B24="","","Active")</f>
        <v/>
      </c>
      <c r="B727" s="20" t="str">
        <f>IF('Step 15 - Final Approval'!B24="","",'Step 15 - Final Approval'!B24)</f>
        <v/>
      </c>
      <c r="C727" s="20" t="str">
        <f>IF('Step 15 - Final Approval'!B24="","",'Step 15 - Final Approval'!B24)</f>
        <v/>
      </c>
      <c r="D727" s="19" t="str">
        <f>IF('Step 15 - Final Approval'!B24="","",'Step 15 - Final Approval'!G24)</f>
        <v/>
      </c>
      <c r="E727" s="19" t="str">
        <f>IF('Step 15 - Final Approval'!B24="","",'Step 15 - Final Approval'!H24)</f>
        <v/>
      </c>
      <c r="F727" s="20" t="str">
        <f>IF('Step 15 - Final Approval'!B24="","",IF('Step 15 - Final Approval'!C24="","","Fund Code"))</f>
        <v/>
      </c>
      <c r="G727" s="19" t="str">
        <f>IF('Step 15 - Final Approval'!B24="","",IF('Step 15 - Final Approval'!C24="","","Equals"))</f>
        <v/>
      </c>
      <c r="H727" s="20" t="str">
        <f>IF('Step 15 - Final Approval'!B24="","",IF('Step 15 - Final Approval'!C24="","",'Step 15 - Final Approval'!C24))</f>
        <v/>
      </c>
      <c r="I727" s="20" t="str">
        <f>IF('Step 15 - Final Approval'!B24="","","Organization Code")</f>
        <v/>
      </c>
      <c r="J727" s="19" t="str">
        <f>IF('Step 15 - Final Approval'!B24="","","Equals")</f>
        <v/>
      </c>
      <c r="K727" s="20" t="str">
        <f>IF('Step 15 - Final Approval'!B24="","",'Step 15 - Final Approval'!D24)</f>
        <v/>
      </c>
      <c r="L727" s="20" t="str">
        <f>IF('Step 15 - Final Approval'!B24="","","Other Criteria")</f>
        <v/>
      </c>
      <c r="M727" s="19" t="str">
        <f>IF('Step 15 - Final Approval'!B24="","","Equals")</f>
        <v/>
      </c>
      <c r="N727" s="20" t="str">
        <f>IF('Step 15 - Final Approval'!B24="","",'Step 15 - Final Approval'!E24)</f>
        <v/>
      </c>
      <c r="O727" s="20" t="str">
        <f>IF('Step 15 - Final Approval'!B24="","",IF('Step 15 - Final Approval'!F24="","","Total"))</f>
        <v/>
      </c>
      <c r="P727" s="19" t="str">
        <f>IF('Step 15 - Final Approval'!B24="","",IF('Step 15 - Final Approval'!F24="","","&gt;="))</f>
        <v/>
      </c>
      <c r="Q727" s="20" t="str">
        <f>IF('Step 15 - Final Approval'!B24="","",IF('Step 15 - Final Approval'!F24="","",'Step 15 - Final Approval'!F24))</f>
        <v/>
      </c>
      <c r="R727" s="20" t="str">
        <f>""</f>
        <v/>
      </c>
      <c r="S727" s="20" t="str">
        <f>""</f>
        <v/>
      </c>
      <c r="T727" s="20" t="str">
        <f>""</f>
        <v/>
      </c>
      <c r="U727" s="20" t="str">
        <f>IF('Step 15 - Final Approval'!B24="","",'Step 15 - Final Approval'!I24)</f>
        <v/>
      </c>
      <c r="V727" s="19" t="str">
        <f>IF('Step 15 - Final Approval'!B24="","",'Step 15 - Final Approval'!K24)</f>
        <v/>
      </c>
      <c r="W727" s="20" t="str">
        <f>IF('Step 15 - Final Approval'!B24="","",'Step 15 - Final Approval'!L24)</f>
        <v/>
      </c>
      <c r="X727" s="19" t="str">
        <f>IF('Step 15 - Final Approval'!B24="","",'Step 15 - Final Approval'!N24)</f>
        <v/>
      </c>
      <c r="Y727" s="20" t="str">
        <f>""</f>
        <v/>
      </c>
      <c r="Z727" s="20" t="str">
        <f>""</f>
        <v/>
      </c>
      <c r="AA727" s="20" t="str">
        <f>""</f>
        <v/>
      </c>
      <c r="AB727" s="20" t="str">
        <f>""</f>
        <v/>
      </c>
      <c r="AC727" s="20" t="str">
        <f>""</f>
        <v/>
      </c>
      <c r="AD727" s="20" t="str">
        <f>""</f>
        <v/>
      </c>
      <c r="AE727" s="20" t="str">
        <f>""</f>
        <v/>
      </c>
      <c r="AF727" s="20" t="str">
        <f>""</f>
        <v/>
      </c>
      <c r="AG727" s="20" t="str">
        <f>""</f>
        <v/>
      </c>
      <c r="AH727" s="20" t="str">
        <f>""</f>
        <v/>
      </c>
      <c r="AI727" s="20" t="str">
        <f>""</f>
        <v/>
      </c>
      <c r="AJ727" s="20" t="str">
        <f>""</f>
        <v/>
      </c>
      <c r="AK727" s="20" t="str">
        <f>""</f>
        <v/>
      </c>
      <c r="AL727" s="20" t="str">
        <f>""</f>
        <v/>
      </c>
      <c r="AM727" s="20" t="str">
        <f>""</f>
        <v/>
      </c>
    </row>
    <row r="728" spans="1:39" ht="15.75" customHeight="1" x14ac:dyDescent="0.25">
      <c r="A728" s="17" t="str">
        <f>IF('Step 15 - Final Approval'!B25="","","Active")</f>
        <v/>
      </c>
      <c r="B728" s="18" t="str">
        <f>IF('Step 15 - Final Approval'!B25="","",'Step 15 - Final Approval'!B25)</f>
        <v/>
      </c>
      <c r="C728" s="18" t="str">
        <f>IF('Step 15 - Final Approval'!B25="","",'Step 15 - Final Approval'!B25)</f>
        <v/>
      </c>
      <c r="D728" s="17" t="str">
        <f>IF('Step 15 - Final Approval'!B25="","",'Step 15 - Final Approval'!G25)</f>
        <v/>
      </c>
      <c r="E728" s="17" t="str">
        <f>IF('Step 15 - Final Approval'!B25="","",'Step 15 - Final Approval'!H25)</f>
        <v/>
      </c>
      <c r="F728" s="18" t="str">
        <f>IF('Step 15 - Final Approval'!B25="","",IF('Step 15 - Final Approval'!C25="","","Fund Code"))</f>
        <v/>
      </c>
      <c r="G728" s="17" t="str">
        <f>IF('Step 15 - Final Approval'!B25="","",IF('Step 15 - Final Approval'!C25="","","Equals"))</f>
        <v/>
      </c>
      <c r="H728" s="18" t="str">
        <f>IF('Step 15 - Final Approval'!B25="","",IF('Step 15 - Final Approval'!C25="","",'Step 15 - Final Approval'!C25))</f>
        <v/>
      </c>
      <c r="I728" s="18" t="str">
        <f>IF('Step 15 - Final Approval'!B25="","","Organization Code")</f>
        <v/>
      </c>
      <c r="J728" s="17" t="str">
        <f>IF('Step 15 - Final Approval'!B25="","","Equals")</f>
        <v/>
      </c>
      <c r="K728" s="18" t="str">
        <f>IF('Step 15 - Final Approval'!B25="","",'Step 15 - Final Approval'!D25)</f>
        <v/>
      </c>
      <c r="L728" s="18" t="str">
        <f>IF('Step 15 - Final Approval'!B25="","","Other Criteria")</f>
        <v/>
      </c>
      <c r="M728" s="17" t="str">
        <f>IF('Step 15 - Final Approval'!B25="","","Equals")</f>
        <v/>
      </c>
      <c r="N728" s="18" t="str">
        <f>IF('Step 15 - Final Approval'!B25="","",'Step 15 - Final Approval'!E25)</f>
        <v/>
      </c>
      <c r="O728" s="18" t="str">
        <f>IF('Step 15 - Final Approval'!B25="","",IF('Step 15 - Final Approval'!F25="","","Total"))</f>
        <v/>
      </c>
      <c r="P728" s="17" t="str">
        <f>IF('Step 15 - Final Approval'!B25="","",IF('Step 15 - Final Approval'!F25="","","&gt;="))</f>
        <v/>
      </c>
      <c r="Q728" s="18" t="str">
        <f>IF('Step 15 - Final Approval'!B25="","",IF('Step 15 - Final Approval'!F25="","",'Step 15 - Final Approval'!F25))</f>
        <v/>
      </c>
      <c r="R728" s="18" t="str">
        <f>""</f>
        <v/>
      </c>
      <c r="S728" s="18" t="str">
        <f>""</f>
        <v/>
      </c>
      <c r="T728" s="18" t="str">
        <f>""</f>
        <v/>
      </c>
      <c r="U728" s="18" t="str">
        <f>IF('Step 15 - Final Approval'!B25="","",'Step 15 - Final Approval'!I25)</f>
        <v/>
      </c>
      <c r="V728" s="17" t="str">
        <f>IF('Step 15 - Final Approval'!B25="","",'Step 15 - Final Approval'!K25)</f>
        <v/>
      </c>
      <c r="W728" s="18" t="str">
        <f>IF('Step 15 - Final Approval'!B25="","",'Step 15 - Final Approval'!L25)</f>
        <v/>
      </c>
      <c r="X728" s="17" t="str">
        <f>IF('Step 15 - Final Approval'!B25="","",'Step 15 - Final Approval'!N25)</f>
        <v/>
      </c>
      <c r="Y728" s="18" t="str">
        <f>""</f>
        <v/>
      </c>
      <c r="Z728" s="18" t="str">
        <f>""</f>
        <v/>
      </c>
      <c r="AA728" s="18" t="str">
        <f>""</f>
        <v/>
      </c>
      <c r="AB728" s="18" t="str">
        <f>""</f>
        <v/>
      </c>
      <c r="AC728" s="18" t="str">
        <f>""</f>
        <v/>
      </c>
      <c r="AD728" s="18" t="str">
        <f>""</f>
        <v/>
      </c>
      <c r="AE728" s="18" t="str">
        <f>""</f>
        <v/>
      </c>
      <c r="AF728" s="18" t="str">
        <f>""</f>
        <v/>
      </c>
      <c r="AG728" s="18" t="str">
        <f>""</f>
        <v/>
      </c>
      <c r="AH728" s="18" t="str">
        <f>""</f>
        <v/>
      </c>
      <c r="AI728" s="18" t="str">
        <f>""</f>
        <v/>
      </c>
      <c r="AJ728" s="18" t="str">
        <f>""</f>
        <v/>
      </c>
      <c r="AK728" s="18" t="str">
        <f>""</f>
        <v/>
      </c>
      <c r="AL728" s="18" t="str">
        <f>""</f>
        <v/>
      </c>
      <c r="AM728" s="18" t="str">
        <f>""</f>
        <v/>
      </c>
    </row>
    <row r="729" spans="1:39" ht="15.75" customHeight="1" x14ac:dyDescent="0.25">
      <c r="A729" s="19" t="str">
        <f>IF('Step 15 - Final Approval'!B26="","","Active")</f>
        <v/>
      </c>
      <c r="B729" s="20" t="str">
        <f>IF('Step 15 - Final Approval'!B26="","",'Step 15 - Final Approval'!B26)</f>
        <v/>
      </c>
      <c r="C729" s="20" t="str">
        <f>IF('Step 15 - Final Approval'!B26="","",'Step 15 - Final Approval'!B26)</f>
        <v/>
      </c>
      <c r="D729" s="19" t="str">
        <f>IF('Step 15 - Final Approval'!B26="","",'Step 15 - Final Approval'!G26)</f>
        <v/>
      </c>
      <c r="E729" s="19" t="str">
        <f>IF('Step 15 - Final Approval'!B26="","",'Step 15 - Final Approval'!H26)</f>
        <v/>
      </c>
      <c r="F729" s="20" t="str">
        <f>IF('Step 15 - Final Approval'!B26="","",IF('Step 15 - Final Approval'!C26="","","Fund Code"))</f>
        <v/>
      </c>
      <c r="G729" s="19" t="str">
        <f>IF('Step 15 - Final Approval'!B26="","",IF('Step 15 - Final Approval'!C26="","","Equals"))</f>
        <v/>
      </c>
      <c r="H729" s="20" t="str">
        <f>IF('Step 15 - Final Approval'!B26="","",IF('Step 15 - Final Approval'!C26="","",'Step 15 - Final Approval'!C26))</f>
        <v/>
      </c>
      <c r="I729" s="20" t="str">
        <f>IF('Step 15 - Final Approval'!B26="","","Organization Code")</f>
        <v/>
      </c>
      <c r="J729" s="19" t="str">
        <f>IF('Step 15 - Final Approval'!B26="","","Equals")</f>
        <v/>
      </c>
      <c r="K729" s="20" t="str">
        <f>IF('Step 15 - Final Approval'!B26="","",'Step 15 - Final Approval'!D26)</f>
        <v/>
      </c>
      <c r="L729" s="20" t="str">
        <f>IF('Step 15 - Final Approval'!B26="","","Other Criteria")</f>
        <v/>
      </c>
      <c r="M729" s="19" t="str">
        <f>IF('Step 15 - Final Approval'!B26="","","Equals")</f>
        <v/>
      </c>
      <c r="N729" s="20" t="str">
        <f>IF('Step 15 - Final Approval'!B26="","",'Step 15 - Final Approval'!E26)</f>
        <v/>
      </c>
      <c r="O729" s="20" t="str">
        <f>IF('Step 15 - Final Approval'!B26="","",IF('Step 15 - Final Approval'!F26="","","Total"))</f>
        <v/>
      </c>
      <c r="P729" s="19" t="str">
        <f>IF('Step 15 - Final Approval'!B26="","",IF('Step 15 - Final Approval'!F26="","","&gt;="))</f>
        <v/>
      </c>
      <c r="Q729" s="20" t="str">
        <f>IF('Step 15 - Final Approval'!B26="","",IF('Step 15 - Final Approval'!F26="","",'Step 15 - Final Approval'!F26))</f>
        <v/>
      </c>
      <c r="R729" s="20" t="str">
        <f>""</f>
        <v/>
      </c>
      <c r="S729" s="20" t="str">
        <f>""</f>
        <v/>
      </c>
      <c r="T729" s="20" t="str">
        <f>""</f>
        <v/>
      </c>
      <c r="U729" s="20" t="str">
        <f>IF('Step 15 - Final Approval'!B26="","",'Step 15 - Final Approval'!I26)</f>
        <v/>
      </c>
      <c r="V729" s="19" t="str">
        <f>IF('Step 15 - Final Approval'!B26="","",'Step 15 - Final Approval'!K26)</f>
        <v/>
      </c>
      <c r="W729" s="20" t="str">
        <f>IF('Step 15 - Final Approval'!B26="","",'Step 15 - Final Approval'!L26)</f>
        <v/>
      </c>
      <c r="X729" s="19" t="str">
        <f>IF('Step 15 - Final Approval'!B26="","",'Step 15 - Final Approval'!N26)</f>
        <v/>
      </c>
      <c r="Y729" s="20" t="str">
        <f>""</f>
        <v/>
      </c>
      <c r="Z729" s="20" t="str">
        <f>""</f>
        <v/>
      </c>
      <c r="AA729" s="20" t="str">
        <f>""</f>
        <v/>
      </c>
      <c r="AB729" s="20" t="str">
        <f>""</f>
        <v/>
      </c>
      <c r="AC729" s="20" t="str">
        <f>""</f>
        <v/>
      </c>
      <c r="AD729" s="20" t="str">
        <f>""</f>
        <v/>
      </c>
      <c r="AE729" s="20" t="str">
        <f>""</f>
        <v/>
      </c>
      <c r="AF729" s="20" t="str">
        <f>""</f>
        <v/>
      </c>
      <c r="AG729" s="20" t="str">
        <f>""</f>
        <v/>
      </c>
      <c r="AH729" s="20" t="str">
        <f>""</f>
        <v/>
      </c>
      <c r="AI729" s="20" t="str">
        <f>""</f>
        <v/>
      </c>
      <c r="AJ729" s="20" t="str">
        <f>""</f>
        <v/>
      </c>
      <c r="AK729" s="20" t="str">
        <f>""</f>
        <v/>
      </c>
      <c r="AL729" s="20" t="str">
        <f>""</f>
        <v/>
      </c>
      <c r="AM729" s="20" t="str">
        <f>""</f>
        <v/>
      </c>
    </row>
    <row r="730" spans="1:39" ht="15.75" customHeight="1" x14ac:dyDescent="0.25">
      <c r="A730" s="17" t="str">
        <f>IF('Step 15 - Final Approval'!B27="","","Active")</f>
        <v/>
      </c>
      <c r="B730" s="18" t="str">
        <f>IF('Step 15 - Final Approval'!B27="","",'Step 15 - Final Approval'!B27)</f>
        <v/>
      </c>
      <c r="C730" s="18" t="str">
        <f>IF('Step 15 - Final Approval'!B27="","",'Step 15 - Final Approval'!B27)</f>
        <v/>
      </c>
      <c r="D730" s="17" t="str">
        <f>IF('Step 15 - Final Approval'!B27="","",'Step 15 - Final Approval'!G27)</f>
        <v/>
      </c>
      <c r="E730" s="17" t="str">
        <f>IF('Step 15 - Final Approval'!B27="","",'Step 15 - Final Approval'!H27)</f>
        <v/>
      </c>
      <c r="F730" s="18" t="str">
        <f>IF('Step 15 - Final Approval'!B27="","",IF('Step 15 - Final Approval'!C27="","","Fund Code"))</f>
        <v/>
      </c>
      <c r="G730" s="17" t="str">
        <f>IF('Step 15 - Final Approval'!B27="","",IF('Step 15 - Final Approval'!C27="","","Equals"))</f>
        <v/>
      </c>
      <c r="H730" s="18" t="str">
        <f>IF('Step 15 - Final Approval'!B27="","",IF('Step 15 - Final Approval'!C27="","",'Step 15 - Final Approval'!C27))</f>
        <v/>
      </c>
      <c r="I730" s="18" t="str">
        <f>IF('Step 15 - Final Approval'!B27="","","Organization Code")</f>
        <v/>
      </c>
      <c r="J730" s="17" t="str">
        <f>IF('Step 15 - Final Approval'!B27="","","Equals")</f>
        <v/>
      </c>
      <c r="K730" s="18" t="str">
        <f>IF('Step 15 - Final Approval'!B27="","",'Step 15 - Final Approval'!D27)</f>
        <v/>
      </c>
      <c r="L730" s="18" t="str">
        <f>IF('Step 15 - Final Approval'!B27="","","Other Criteria")</f>
        <v/>
      </c>
      <c r="M730" s="17" t="str">
        <f>IF('Step 15 - Final Approval'!B27="","","Equals")</f>
        <v/>
      </c>
      <c r="N730" s="18" t="str">
        <f>IF('Step 15 - Final Approval'!B27="","",'Step 15 - Final Approval'!E27)</f>
        <v/>
      </c>
      <c r="O730" s="18" t="str">
        <f>IF('Step 15 - Final Approval'!B27="","",IF('Step 15 - Final Approval'!F27="","","Total"))</f>
        <v/>
      </c>
      <c r="P730" s="17" t="str">
        <f>IF('Step 15 - Final Approval'!B27="","",IF('Step 15 - Final Approval'!F27="","","&gt;="))</f>
        <v/>
      </c>
      <c r="Q730" s="18" t="str">
        <f>IF('Step 15 - Final Approval'!B27="","",IF('Step 15 - Final Approval'!F27="","",'Step 15 - Final Approval'!F27))</f>
        <v/>
      </c>
      <c r="R730" s="18" t="str">
        <f>""</f>
        <v/>
      </c>
      <c r="S730" s="18" t="str">
        <f>""</f>
        <v/>
      </c>
      <c r="T730" s="18" t="str">
        <f>""</f>
        <v/>
      </c>
      <c r="U730" s="18" t="str">
        <f>IF('Step 15 - Final Approval'!B27="","",'Step 15 - Final Approval'!I27)</f>
        <v/>
      </c>
      <c r="V730" s="17" t="str">
        <f>IF('Step 15 - Final Approval'!B27="","",'Step 15 - Final Approval'!K27)</f>
        <v/>
      </c>
      <c r="W730" s="18" t="str">
        <f>IF('Step 15 - Final Approval'!B27="","",'Step 15 - Final Approval'!L27)</f>
        <v/>
      </c>
      <c r="X730" s="17" t="str">
        <f>IF('Step 15 - Final Approval'!B27="","",'Step 15 - Final Approval'!N27)</f>
        <v/>
      </c>
      <c r="Y730" s="18" t="str">
        <f>""</f>
        <v/>
      </c>
      <c r="Z730" s="18" t="str">
        <f>""</f>
        <v/>
      </c>
      <c r="AA730" s="18" t="str">
        <f>""</f>
        <v/>
      </c>
      <c r="AB730" s="18" t="str">
        <f>""</f>
        <v/>
      </c>
      <c r="AC730" s="18" t="str">
        <f>""</f>
        <v/>
      </c>
      <c r="AD730" s="18" t="str">
        <f>""</f>
        <v/>
      </c>
      <c r="AE730" s="18" t="str">
        <f>""</f>
        <v/>
      </c>
      <c r="AF730" s="18" t="str">
        <f>""</f>
        <v/>
      </c>
      <c r="AG730" s="18" t="str">
        <f>""</f>
        <v/>
      </c>
      <c r="AH730" s="18" t="str">
        <f>""</f>
        <v/>
      </c>
      <c r="AI730" s="18" t="str">
        <f>""</f>
        <v/>
      </c>
      <c r="AJ730" s="18" t="str">
        <f>""</f>
        <v/>
      </c>
      <c r="AK730" s="18" t="str">
        <f>""</f>
        <v/>
      </c>
      <c r="AL730" s="18" t="str">
        <f>""</f>
        <v/>
      </c>
      <c r="AM730" s="18" t="str">
        <f>""</f>
        <v/>
      </c>
    </row>
    <row r="731" spans="1:39" ht="15.75" customHeight="1" x14ac:dyDescent="0.25">
      <c r="A731" s="19" t="str">
        <f>IF('Step 15 - Final Approval'!B28="","","Active")</f>
        <v/>
      </c>
      <c r="B731" s="20" t="str">
        <f>IF('Step 15 - Final Approval'!B28="","",'Step 15 - Final Approval'!B28)</f>
        <v/>
      </c>
      <c r="C731" s="20" t="str">
        <f>IF('Step 15 - Final Approval'!B28="","",'Step 15 - Final Approval'!B28)</f>
        <v/>
      </c>
      <c r="D731" s="19" t="str">
        <f>IF('Step 15 - Final Approval'!B28="","",'Step 15 - Final Approval'!G28)</f>
        <v/>
      </c>
      <c r="E731" s="19" t="str">
        <f>IF('Step 15 - Final Approval'!B28="","",'Step 15 - Final Approval'!H28)</f>
        <v/>
      </c>
      <c r="F731" s="20" t="str">
        <f>IF('Step 15 - Final Approval'!B28="","",IF('Step 15 - Final Approval'!C28="","","Fund Code"))</f>
        <v/>
      </c>
      <c r="G731" s="19" t="str">
        <f>IF('Step 15 - Final Approval'!B28="","",IF('Step 15 - Final Approval'!C28="","","Equals"))</f>
        <v/>
      </c>
      <c r="H731" s="20" t="str">
        <f>IF('Step 15 - Final Approval'!B28="","",IF('Step 15 - Final Approval'!C28="","",'Step 15 - Final Approval'!C28))</f>
        <v/>
      </c>
      <c r="I731" s="20" t="str">
        <f>IF('Step 15 - Final Approval'!B28="","","Organization Code")</f>
        <v/>
      </c>
      <c r="J731" s="19" t="str">
        <f>IF('Step 15 - Final Approval'!B28="","","Equals")</f>
        <v/>
      </c>
      <c r="K731" s="20" t="str">
        <f>IF('Step 15 - Final Approval'!B28="","",'Step 15 - Final Approval'!D28)</f>
        <v/>
      </c>
      <c r="L731" s="20" t="str">
        <f>IF('Step 15 - Final Approval'!B28="","","Other Criteria")</f>
        <v/>
      </c>
      <c r="M731" s="19" t="str">
        <f>IF('Step 15 - Final Approval'!B28="","","Equals")</f>
        <v/>
      </c>
      <c r="N731" s="20" t="str">
        <f>IF('Step 15 - Final Approval'!B28="","",'Step 15 - Final Approval'!E28)</f>
        <v/>
      </c>
      <c r="O731" s="20" t="str">
        <f>IF('Step 15 - Final Approval'!B28="","",IF('Step 15 - Final Approval'!F28="","","Total"))</f>
        <v/>
      </c>
      <c r="P731" s="19" t="str">
        <f>IF('Step 15 - Final Approval'!B28="","",IF('Step 15 - Final Approval'!F28="","","&gt;="))</f>
        <v/>
      </c>
      <c r="Q731" s="20" t="str">
        <f>IF('Step 15 - Final Approval'!B28="","",IF('Step 15 - Final Approval'!F28="","",'Step 15 - Final Approval'!F28))</f>
        <v/>
      </c>
      <c r="R731" s="20" t="str">
        <f>""</f>
        <v/>
      </c>
      <c r="S731" s="20" t="str">
        <f>""</f>
        <v/>
      </c>
      <c r="T731" s="20" t="str">
        <f>""</f>
        <v/>
      </c>
      <c r="U731" s="20" t="str">
        <f>IF('Step 15 - Final Approval'!B28="","",'Step 15 - Final Approval'!I28)</f>
        <v/>
      </c>
      <c r="V731" s="19" t="str">
        <f>IF('Step 15 - Final Approval'!B28="","",'Step 15 - Final Approval'!K28)</f>
        <v/>
      </c>
      <c r="W731" s="20" t="str">
        <f>IF('Step 15 - Final Approval'!B28="","",'Step 15 - Final Approval'!L28)</f>
        <v/>
      </c>
      <c r="X731" s="19" t="str">
        <f>IF('Step 15 - Final Approval'!B28="","",'Step 15 - Final Approval'!N28)</f>
        <v/>
      </c>
      <c r="Y731" s="20" t="str">
        <f>""</f>
        <v/>
      </c>
      <c r="Z731" s="20" t="str">
        <f>""</f>
        <v/>
      </c>
      <c r="AA731" s="20" t="str">
        <f>""</f>
        <v/>
      </c>
      <c r="AB731" s="20" t="str">
        <f>""</f>
        <v/>
      </c>
      <c r="AC731" s="20" t="str">
        <f>""</f>
        <v/>
      </c>
      <c r="AD731" s="20" t="str">
        <f>""</f>
        <v/>
      </c>
      <c r="AE731" s="20" t="str">
        <f>""</f>
        <v/>
      </c>
      <c r="AF731" s="20" t="str">
        <f>""</f>
        <v/>
      </c>
      <c r="AG731" s="20" t="str">
        <f>""</f>
        <v/>
      </c>
      <c r="AH731" s="20" t="str">
        <f>""</f>
        <v/>
      </c>
      <c r="AI731" s="20" t="str">
        <f>""</f>
        <v/>
      </c>
      <c r="AJ731" s="20" t="str">
        <f>""</f>
        <v/>
      </c>
      <c r="AK731" s="20" t="str">
        <f>""</f>
        <v/>
      </c>
      <c r="AL731" s="20" t="str">
        <f>""</f>
        <v/>
      </c>
      <c r="AM731" s="20" t="str">
        <f>""</f>
        <v/>
      </c>
    </row>
    <row r="732" spans="1:39" ht="15.75" customHeight="1" x14ac:dyDescent="0.25">
      <c r="A732" s="17" t="str">
        <f>IF('Step 15 - Final Approval'!B29="","","Active")</f>
        <v/>
      </c>
      <c r="B732" s="18" t="str">
        <f>IF('Step 15 - Final Approval'!B29="","",'Step 15 - Final Approval'!B29)</f>
        <v/>
      </c>
      <c r="C732" s="18" t="str">
        <f>IF('Step 15 - Final Approval'!B29="","",'Step 15 - Final Approval'!B29)</f>
        <v/>
      </c>
      <c r="D732" s="17" t="str">
        <f>IF('Step 15 - Final Approval'!B29="","",'Step 15 - Final Approval'!G29)</f>
        <v/>
      </c>
      <c r="E732" s="17" t="str">
        <f>IF('Step 15 - Final Approval'!B29="","",'Step 15 - Final Approval'!H29)</f>
        <v/>
      </c>
      <c r="F732" s="18" t="str">
        <f>IF('Step 15 - Final Approval'!B29="","",IF('Step 15 - Final Approval'!C29="","","Fund Code"))</f>
        <v/>
      </c>
      <c r="G732" s="17" t="str">
        <f>IF('Step 15 - Final Approval'!B29="","",IF('Step 15 - Final Approval'!C29="","","Equals"))</f>
        <v/>
      </c>
      <c r="H732" s="18" t="str">
        <f>IF('Step 15 - Final Approval'!B29="","",IF('Step 15 - Final Approval'!C29="","",'Step 15 - Final Approval'!C29))</f>
        <v/>
      </c>
      <c r="I732" s="18" t="str">
        <f>IF('Step 15 - Final Approval'!B29="","","Organization Code")</f>
        <v/>
      </c>
      <c r="J732" s="17" t="str">
        <f>IF('Step 15 - Final Approval'!B29="","","Equals")</f>
        <v/>
      </c>
      <c r="K732" s="18" t="str">
        <f>IF('Step 15 - Final Approval'!B29="","",'Step 15 - Final Approval'!D29)</f>
        <v/>
      </c>
      <c r="L732" s="18" t="str">
        <f>IF('Step 15 - Final Approval'!B29="","","Other Criteria")</f>
        <v/>
      </c>
      <c r="M732" s="17" t="str">
        <f>IF('Step 15 - Final Approval'!B29="","","Equals")</f>
        <v/>
      </c>
      <c r="N732" s="18" t="str">
        <f>IF('Step 15 - Final Approval'!B29="","",'Step 15 - Final Approval'!E29)</f>
        <v/>
      </c>
      <c r="O732" s="18" t="str">
        <f>IF('Step 15 - Final Approval'!B29="","",IF('Step 15 - Final Approval'!F29="","","Total"))</f>
        <v/>
      </c>
      <c r="P732" s="17" t="str">
        <f>IF('Step 15 - Final Approval'!B29="","",IF('Step 15 - Final Approval'!F29="","","&gt;="))</f>
        <v/>
      </c>
      <c r="Q732" s="18" t="str">
        <f>IF('Step 15 - Final Approval'!B29="","",IF('Step 15 - Final Approval'!F29="","",'Step 15 - Final Approval'!F29))</f>
        <v/>
      </c>
      <c r="R732" s="18" t="str">
        <f>""</f>
        <v/>
      </c>
      <c r="S732" s="18" t="str">
        <f>""</f>
        <v/>
      </c>
      <c r="T732" s="18" t="str">
        <f>""</f>
        <v/>
      </c>
      <c r="U732" s="18" t="str">
        <f>IF('Step 15 - Final Approval'!B29="","",'Step 15 - Final Approval'!I29)</f>
        <v/>
      </c>
      <c r="V732" s="17" t="str">
        <f>IF('Step 15 - Final Approval'!B29="","",'Step 15 - Final Approval'!K29)</f>
        <v/>
      </c>
      <c r="W732" s="18" t="str">
        <f>IF('Step 15 - Final Approval'!B29="","",'Step 15 - Final Approval'!L29)</f>
        <v/>
      </c>
      <c r="X732" s="17" t="str">
        <f>IF('Step 15 - Final Approval'!B29="","",'Step 15 - Final Approval'!N29)</f>
        <v/>
      </c>
      <c r="Y732" s="18" t="str">
        <f>""</f>
        <v/>
      </c>
      <c r="Z732" s="18" t="str">
        <f>""</f>
        <v/>
      </c>
      <c r="AA732" s="18" t="str">
        <f>""</f>
        <v/>
      </c>
      <c r="AB732" s="18" t="str">
        <f>""</f>
        <v/>
      </c>
      <c r="AC732" s="18" t="str">
        <f>""</f>
        <v/>
      </c>
      <c r="AD732" s="18" t="str">
        <f>""</f>
        <v/>
      </c>
      <c r="AE732" s="18" t="str">
        <f>""</f>
        <v/>
      </c>
      <c r="AF732" s="18" t="str">
        <f>""</f>
        <v/>
      </c>
      <c r="AG732" s="18" t="str">
        <f>""</f>
        <v/>
      </c>
      <c r="AH732" s="18" t="str">
        <f>""</f>
        <v/>
      </c>
      <c r="AI732" s="18" t="str">
        <f>""</f>
        <v/>
      </c>
      <c r="AJ732" s="18" t="str">
        <f>""</f>
        <v/>
      </c>
      <c r="AK732" s="18" t="str">
        <f>""</f>
        <v/>
      </c>
      <c r="AL732" s="18" t="str">
        <f>""</f>
        <v/>
      </c>
      <c r="AM732" s="18" t="str">
        <f>""</f>
        <v/>
      </c>
    </row>
    <row r="733" spans="1:39" ht="15.75" customHeight="1" x14ac:dyDescent="0.25">
      <c r="A733" s="19" t="str">
        <f>IF('Step 15 - Final Approval'!B30="","","Active")</f>
        <v/>
      </c>
      <c r="B733" s="20" t="str">
        <f>IF('Step 15 - Final Approval'!B30="","",'Step 15 - Final Approval'!B30)</f>
        <v/>
      </c>
      <c r="C733" s="20" t="str">
        <f>IF('Step 15 - Final Approval'!B30="","",'Step 15 - Final Approval'!B30)</f>
        <v/>
      </c>
      <c r="D733" s="19" t="str">
        <f>IF('Step 15 - Final Approval'!B30="","",'Step 15 - Final Approval'!G30)</f>
        <v/>
      </c>
      <c r="E733" s="19" t="str">
        <f>IF('Step 15 - Final Approval'!B30="","",'Step 15 - Final Approval'!H30)</f>
        <v/>
      </c>
      <c r="F733" s="20" t="str">
        <f>IF('Step 15 - Final Approval'!B30="","",IF('Step 15 - Final Approval'!C30="","","Fund Code"))</f>
        <v/>
      </c>
      <c r="G733" s="19" t="str">
        <f>IF('Step 15 - Final Approval'!B30="","",IF('Step 15 - Final Approval'!C30="","","Equals"))</f>
        <v/>
      </c>
      <c r="H733" s="20" t="str">
        <f>IF('Step 15 - Final Approval'!B30="","",IF('Step 15 - Final Approval'!C30="","",'Step 15 - Final Approval'!C30))</f>
        <v/>
      </c>
      <c r="I733" s="20" t="str">
        <f>IF('Step 15 - Final Approval'!B30="","","Organization Code")</f>
        <v/>
      </c>
      <c r="J733" s="19" t="str">
        <f>IF('Step 15 - Final Approval'!B30="","","Equals")</f>
        <v/>
      </c>
      <c r="K733" s="20" t="str">
        <f>IF('Step 15 - Final Approval'!B30="","",'Step 15 - Final Approval'!D30)</f>
        <v/>
      </c>
      <c r="L733" s="20" t="str">
        <f>IF('Step 15 - Final Approval'!B30="","","Other Criteria")</f>
        <v/>
      </c>
      <c r="M733" s="19" t="str">
        <f>IF('Step 15 - Final Approval'!B30="","","Equals")</f>
        <v/>
      </c>
      <c r="N733" s="20" t="str">
        <f>IF('Step 15 - Final Approval'!B30="","",'Step 15 - Final Approval'!E30)</f>
        <v/>
      </c>
      <c r="O733" s="20" t="str">
        <f>IF('Step 15 - Final Approval'!B30="","",IF('Step 15 - Final Approval'!F30="","","Total"))</f>
        <v/>
      </c>
      <c r="P733" s="19" t="str">
        <f>IF('Step 15 - Final Approval'!B30="","",IF('Step 15 - Final Approval'!F30="","","&gt;="))</f>
        <v/>
      </c>
      <c r="Q733" s="20" t="str">
        <f>IF('Step 15 - Final Approval'!B30="","",IF('Step 15 - Final Approval'!F30="","",'Step 15 - Final Approval'!F30))</f>
        <v/>
      </c>
      <c r="R733" s="20" t="str">
        <f>""</f>
        <v/>
      </c>
      <c r="S733" s="20" t="str">
        <f>""</f>
        <v/>
      </c>
      <c r="T733" s="20" t="str">
        <f>""</f>
        <v/>
      </c>
      <c r="U733" s="20" t="str">
        <f>IF('Step 15 - Final Approval'!B30="","",'Step 15 - Final Approval'!I30)</f>
        <v/>
      </c>
      <c r="V733" s="19" t="str">
        <f>IF('Step 15 - Final Approval'!B30="","",'Step 15 - Final Approval'!K30)</f>
        <v/>
      </c>
      <c r="W733" s="20" t="str">
        <f>IF('Step 15 - Final Approval'!B30="","",'Step 15 - Final Approval'!L30)</f>
        <v/>
      </c>
      <c r="X733" s="19" t="str">
        <f>IF('Step 15 - Final Approval'!B30="","",'Step 15 - Final Approval'!N30)</f>
        <v/>
      </c>
      <c r="Y733" s="20" t="str">
        <f>""</f>
        <v/>
      </c>
      <c r="Z733" s="20" t="str">
        <f>""</f>
        <v/>
      </c>
      <c r="AA733" s="20" t="str">
        <f>""</f>
        <v/>
      </c>
      <c r="AB733" s="20" t="str">
        <f>""</f>
        <v/>
      </c>
      <c r="AC733" s="20" t="str">
        <f>""</f>
        <v/>
      </c>
      <c r="AD733" s="20" t="str">
        <f>""</f>
        <v/>
      </c>
      <c r="AE733" s="20" t="str">
        <f>""</f>
        <v/>
      </c>
      <c r="AF733" s="20" t="str">
        <f>""</f>
        <v/>
      </c>
      <c r="AG733" s="20" t="str">
        <f>""</f>
        <v/>
      </c>
      <c r="AH733" s="20" t="str">
        <f>""</f>
        <v/>
      </c>
      <c r="AI733" s="20" t="str">
        <f>""</f>
        <v/>
      </c>
      <c r="AJ733" s="20" t="str">
        <f>""</f>
        <v/>
      </c>
      <c r="AK733" s="20" t="str">
        <f>""</f>
        <v/>
      </c>
      <c r="AL733" s="20" t="str">
        <f>""</f>
        <v/>
      </c>
      <c r="AM733" s="20" t="str">
        <f>""</f>
        <v/>
      </c>
    </row>
    <row r="734" spans="1:39" ht="15.75" customHeight="1" x14ac:dyDescent="0.25">
      <c r="A734" s="17" t="str">
        <f>IF('Step 15 - Final Approval'!B31="","","Active")</f>
        <v/>
      </c>
      <c r="B734" s="18" t="str">
        <f>IF('Step 15 - Final Approval'!B31="","",'Step 15 - Final Approval'!B31)</f>
        <v/>
      </c>
      <c r="C734" s="18" t="str">
        <f>IF('Step 15 - Final Approval'!B31="","",'Step 15 - Final Approval'!B31)</f>
        <v/>
      </c>
      <c r="D734" s="17" t="str">
        <f>IF('Step 15 - Final Approval'!B31="","",'Step 15 - Final Approval'!G31)</f>
        <v/>
      </c>
      <c r="E734" s="17" t="str">
        <f>IF('Step 15 - Final Approval'!B31="","",'Step 15 - Final Approval'!H31)</f>
        <v/>
      </c>
      <c r="F734" s="18" t="str">
        <f>IF('Step 15 - Final Approval'!B31="","",IF('Step 15 - Final Approval'!C31="","","Fund Code"))</f>
        <v/>
      </c>
      <c r="G734" s="17" t="str">
        <f>IF('Step 15 - Final Approval'!B31="","",IF('Step 15 - Final Approval'!C31="","","Equals"))</f>
        <v/>
      </c>
      <c r="H734" s="18" t="str">
        <f>IF('Step 15 - Final Approval'!B31="","",IF('Step 15 - Final Approval'!C31="","",'Step 15 - Final Approval'!C31))</f>
        <v/>
      </c>
      <c r="I734" s="18" t="str">
        <f>IF('Step 15 - Final Approval'!B31="","","Organization Code")</f>
        <v/>
      </c>
      <c r="J734" s="17" t="str">
        <f>IF('Step 15 - Final Approval'!B31="","","Equals")</f>
        <v/>
      </c>
      <c r="K734" s="18" t="str">
        <f>IF('Step 15 - Final Approval'!B31="","",'Step 15 - Final Approval'!D31)</f>
        <v/>
      </c>
      <c r="L734" s="18" t="str">
        <f>IF('Step 15 - Final Approval'!B31="","","Other Criteria")</f>
        <v/>
      </c>
      <c r="M734" s="17" t="str">
        <f>IF('Step 15 - Final Approval'!B31="","","Equals")</f>
        <v/>
      </c>
      <c r="N734" s="18" t="str">
        <f>IF('Step 15 - Final Approval'!B31="","",'Step 15 - Final Approval'!E31)</f>
        <v/>
      </c>
      <c r="O734" s="18" t="str">
        <f>IF('Step 15 - Final Approval'!B31="","",IF('Step 15 - Final Approval'!F31="","","Total"))</f>
        <v/>
      </c>
      <c r="P734" s="17" t="str">
        <f>IF('Step 15 - Final Approval'!B31="","",IF('Step 15 - Final Approval'!F31="","","&gt;="))</f>
        <v/>
      </c>
      <c r="Q734" s="18" t="str">
        <f>IF('Step 15 - Final Approval'!B31="","",IF('Step 15 - Final Approval'!F31="","",'Step 15 - Final Approval'!F31))</f>
        <v/>
      </c>
      <c r="R734" s="18" t="str">
        <f>""</f>
        <v/>
      </c>
      <c r="S734" s="18" t="str">
        <f>""</f>
        <v/>
      </c>
      <c r="T734" s="18" t="str">
        <f>""</f>
        <v/>
      </c>
      <c r="U734" s="18" t="str">
        <f>IF('Step 15 - Final Approval'!B31="","",'Step 15 - Final Approval'!I31)</f>
        <v/>
      </c>
      <c r="V734" s="17" t="str">
        <f>IF('Step 15 - Final Approval'!B31="","",'Step 15 - Final Approval'!K31)</f>
        <v/>
      </c>
      <c r="W734" s="18" t="str">
        <f>IF('Step 15 - Final Approval'!B31="","",'Step 15 - Final Approval'!L31)</f>
        <v/>
      </c>
      <c r="X734" s="17" t="str">
        <f>IF('Step 15 - Final Approval'!B31="","",'Step 15 - Final Approval'!N31)</f>
        <v/>
      </c>
      <c r="Y734" s="18" t="str">
        <f>""</f>
        <v/>
      </c>
      <c r="Z734" s="18" t="str">
        <f>""</f>
        <v/>
      </c>
      <c r="AA734" s="18" t="str">
        <f>""</f>
        <v/>
      </c>
      <c r="AB734" s="18" t="str">
        <f>""</f>
        <v/>
      </c>
      <c r="AC734" s="18" t="str">
        <f>""</f>
        <v/>
      </c>
      <c r="AD734" s="18" t="str">
        <f>""</f>
        <v/>
      </c>
      <c r="AE734" s="18" t="str">
        <f>""</f>
        <v/>
      </c>
      <c r="AF734" s="18" t="str">
        <f>""</f>
        <v/>
      </c>
      <c r="AG734" s="18" t="str">
        <f>""</f>
        <v/>
      </c>
      <c r="AH734" s="18" t="str">
        <f>""</f>
        <v/>
      </c>
      <c r="AI734" s="18" t="str">
        <f>""</f>
        <v/>
      </c>
      <c r="AJ734" s="18" t="str">
        <f>""</f>
        <v/>
      </c>
      <c r="AK734" s="18" t="str">
        <f>""</f>
        <v/>
      </c>
      <c r="AL734" s="18" t="str">
        <f>""</f>
        <v/>
      </c>
      <c r="AM734" s="18" t="str">
        <f>""</f>
        <v/>
      </c>
    </row>
    <row r="735" spans="1:39" ht="15.75" customHeight="1" x14ac:dyDescent="0.25">
      <c r="A735" s="19" t="str">
        <f>IF('Step 15 - Final Approval'!B32="","","Active")</f>
        <v/>
      </c>
      <c r="B735" s="20" t="str">
        <f>IF('Step 15 - Final Approval'!B32="","",'Step 15 - Final Approval'!B32)</f>
        <v/>
      </c>
      <c r="C735" s="20" t="str">
        <f>IF('Step 15 - Final Approval'!B32="","",'Step 15 - Final Approval'!B32)</f>
        <v/>
      </c>
      <c r="D735" s="19" t="str">
        <f>IF('Step 15 - Final Approval'!B32="","",'Step 15 - Final Approval'!G32)</f>
        <v/>
      </c>
      <c r="E735" s="19" t="str">
        <f>IF('Step 15 - Final Approval'!B32="","",'Step 15 - Final Approval'!H32)</f>
        <v/>
      </c>
      <c r="F735" s="20" t="str">
        <f>IF('Step 15 - Final Approval'!B32="","",IF('Step 15 - Final Approval'!C32="","","Fund Code"))</f>
        <v/>
      </c>
      <c r="G735" s="19" t="str">
        <f>IF('Step 15 - Final Approval'!B32="","",IF('Step 15 - Final Approval'!C32="","","Equals"))</f>
        <v/>
      </c>
      <c r="H735" s="20" t="str">
        <f>IF('Step 15 - Final Approval'!B32="","",IF('Step 15 - Final Approval'!C32="","",'Step 15 - Final Approval'!C32))</f>
        <v/>
      </c>
      <c r="I735" s="20" t="str">
        <f>IF('Step 15 - Final Approval'!B32="","","Organization Code")</f>
        <v/>
      </c>
      <c r="J735" s="19" t="str">
        <f>IF('Step 15 - Final Approval'!B32="","","Equals")</f>
        <v/>
      </c>
      <c r="K735" s="20" t="str">
        <f>IF('Step 15 - Final Approval'!B32="","",'Step 15 - Final Approval'!D32)</f>
        <v/>
      </c>
      <c r="L735" s="20" t="str">
        <f>IF('Step 15 - Final Approval'!B32="","","Other Criteria")</f>
        <v/>
      </c>
      <c r="M735" s="19" t="str">
        <f>IF('Step 15 - Final Approval'!B32="","","Equals")</f>
        <v/>
      </c>
      <c r="N735" s="20" t="str">
        <f>IF('Step 15 - Final Approval'!B32="","",'Step 15 - Final Approval'!E32)</f>
        <v/>
      </c>
      <c r="O735" s="20" t="str">
        <f>IF('Step 15 - Final Approval'!B32="","",IF('Step 15 - Final Approval'!F32="","","Total"))</f>
        <v/>
      </c>
      <c r="P735" s="19" t="str">
        <f>IF('Step 15 - Final Approval'!B32="","",IF('Step 15 - Final Approval'!F32="","","&gt;="))</f>
        <v/>
      </c>
      <c r="Q735" s="20" t="str">
        <f>IF('Step 15 - Final Approval'!B32="","",IF('Step 15 - Final Approval'!F32="","",'Step 15 - Final Approval'!F32))</f>
        <v/>
      </c>
      <c r="R735" s="20" t="str">
        <f>""</f>
        <v/>
      </c>
      <c r="S735" s="20" t="str">
        <f>""</f>
        <v/>
      </c>
      <c r="T735" s="20" t="str">
        <f>""</f>
        <v/>
      </c>
      <c r="U735" s="20" t="str">
        <f>IF('Step 15 - Final Approval'!B32="","",'Step 15 - Final Approval'!I32)</f>
        <v/>
      </c>
      <c r="V735" s="19" t="str">
        <f>IF('Step 15 - Final Approval'!B32="","",'Step 15 - Final Approval'!K32)</f>
        <v/>
      </c>
      <c r="W735" s="20" t="str">
        <f>IF('Step 15 - Final Approval'!B32="","",'Step 15 - Final Approval'!L32)</f>
        <v/>
      </c>
      <c r="X735" s="19" t="str">
        <f>IF('Step 15 - Final Approval'!B32="","",'Step 15 - Final Approval'!N32)</f>
        <v/>
      </c>
      <c r="Y735" s="20" t="str">
        <f>""</f>
        <v/>
      </c>
      <c r="Z735" s="20" t="str">
        <f>""</f>
        <v/>
      </c>
      <c r="AA735" s="20" t="str">
        <f>""</f>
        <v/>
      </c>
      <c r="AB735" s="20" t="str">
        <f>""</f>
        <v/>
      </c>
      <c r="AC735" s="20" t="str">
        <f>""</f>
        <v/>
      </c>
      <c r="AD735" s="20" t="str">
        <f>""</f>
        <v/>
      </c>
      <c r="AE735" s="20" t="str">
        <f>""</f>
        <v/>
      </c>
      <c r="AF735" s="20" t="str">
        <f>""</f>
        <v/>
      </c>
      <c r="AG735" s="20" t="str">
        <f>""</f>
        <v/>
      </c>
      <c r="AH735" s="20" t="str">
        <f>""</f>
        <v/>
      </c>
      <c r="AI735" s="20" t="str">
        <f>""</f>
        <v/>
      </c>
      <c r="AJ735" s="20" t="str">
        <f>""</f>
        <v/>
      </c>
      <c r="AK735" s="20" t="str">
        <f>""</f>
        <v/>
      </c>
      <c r="AL735" s="20" t="str">
        <f>""</f>
        <v/>
      </c>
      <c r="AM735" s="20" t="str">
        <f>""</f>
        <v/>
      </c>
    </row>
    <row r="736" spans="1:39" ht="15.75" customHeight="1" x14ac:dyDescent="0.25">
      <c r="A736" s="17" t="str">
        <f>IF('Step 15 - Final Approval'!B33="","","Active")</f>
        <v/>
      </c>
      <c r="B736" s="18" t="str">
        <f>IF('Step 15 - Final Approval'!B33="","",'Step 15 - Final Approval'!B33)</f>
        <v/>
      </c>
      <c r="C736" s="18" t="str">
        <f>IF('Step 15 - Final Approval'!B33="","",'Step 15 - Final Approval'!B33)</f>
        <v/>
      </c>
      <c r="D736" s="17" t="str">
        <f>IF('Step 15 - Final Approval'!B33="","",'Step 15 - Final Approval'!G33)</f>
        <v/>
      </c>
      <c r="E736" s="17" t="str">
        <f>IF('Step 15 - Final Approval'!B33="","",'Step 15 - Final Approval'!H33)</f>
        <v/>
      </c>
      <c r="F736" s="18" t="str">
        <f>IF('Step 15 - Final Approval'!B33="","",IF('Step 15 - Final Approval'!C33="","","Fund Code"))</f>
        <v/>
      </c>
      <c r="G736" s="17" t="str">
        <f>IF('Step 15 - Final Approval'!B33="","",IF('Step 15 - Final Approval'!C33="","","Equals"))</f>
        <v/>
      </c>
      <c r="H736" s="18" t="str">
        <f>IF('Step 15 - Final Approval'!B33="","",IF('Step 15 - Final Approval'!C33="","",'Step 15 - Final Approval'!C33))</f>
        <v/>
      </c>
      <c r="I736" s="18" t="str">
        <f>IF('Step 15 - Final Approval'!B33="","","Organization Code")</f>
        <v/>
      </c>
      <c r="J736" s="17" t="str">
        <f>IF('Step 15 - Final Approval'!B33="","","Equals")</f>
        <v/>
      </c>
      <c r="K736" s="18" t="str">
        <f>IF('Step 15 - Final Approval'!B33="","",'Step 15 - Final Approval'!D33)</f>
        <v/>
      </c>
      <c r="L736" s="18" t="str">
        <f>IF('Step 15 - Final Approval'!B33="","","Other Criteria")</f>
        <v/>
      </c>
      <c r="M736" s="17" t="str">
        <f>IF('Step 15 - Final Approval'!B33="","","Equals")</f>
        <v/>
      </c>
      <c r="N736" s="18" t="str">
        <f>IF('Step 15 - Final Approval'!B33="","",'Step 15 - Final Approval'!E33)</f>
        <v/>
      </c>
      <c r="O736" s="18" t="str">
        <f>IF('Step 15 - Final Approval'!B33="","",IF('Step 15 - Final Approval'!F33="","","Total"))</f>
        <v/>
      </c>
      <c r="P736" s="17" t="str">
        <f>IF('Step 15 - Final Approval'!B33="","",IF('Step 15 - Final Approval'!F33="","","&gt;="))</f>
        <v/>
      </c>
      <c r="Q736" s="18" t="str">
        <f>IF('Step 15 - Final Approval'!B33="","",IF('Step 15 - Final Approval'!F33="","",'Step 15 - Final Approval'!F33))</f>
        <v/>
      </c>
      <c r="R736" s="18" t="str">
        <f>""</f>
        <v/>
      </c>
      <c r="S736" s="18" t="str">
        <f>""</f>
        <v/>
      </c>
      <c r="T736" s="18" t="str">
        <f>""</f>
        <v/>
      </c>
      <c r="U736" s="18" t="str">
        <f>IF('Step 15 - Final Approval'!B33="","",'Step 15 - Final Approval'!I33)</f>
        <v/>
      </c>
      <c r="V736" s="17" t="str">
        <f>IF('Step 15 - Final Approval'!B33="","",'Step 15 - Final Approval'!K33)</f>
        <v/>
      </c>
      <c r="W736" s="18" t="str">
        <f>IF('Step 15 - Final Approval'!B33="","",'Step 15 - Final Approval'!L33)</f>
        <v/>
      </c>
      <c r="X736" s="17" t="str">
        <f>IF('Step 15 - Final Approval'!B33="","",'Step 15 - Final Approval'!N33)</f>
        <v/>
      </c>
      <c r="Y736" s="18" t="str">
        <f>""</f>
        <v/>
      </c>
      <c r="Z736" s="18" t="str">
        <f>""</f>
        <v/>
      </c>
      <c r="AA736" s="18" t="str">
        <f>""</f>
        <v/>
      </c>
      <c r="AB736" s="18" t="str">
        <f>""</f>
        <v/>
      </c>
      <c r="AC736" s="18" t="str">
        <f>""</f>
        <v/>
      </c>
      <c r="AD736" s="18" t="str">
        <f>""</f>
        <v/>
      </c>
      <c r="AE736" s="18" t="str">
        <f>""</f>
        <v/>
      </c>
      <c r="AF736" s="18" t="str">
        <f>""</f>
        <v/>
      </c>
      <c r="AG736" s="18" t="str">
        <f>""</f>
        <v/>
      </c>
      <c r="AH736" s="18" t="str">
        <f>""</f>
        <v/>
      </c>
      <c r="AI736" s="18" t="str">
        <f>""</f>
        <v/>
      </c>
      <c r="AJ736" s="18" t="str">
        <f>""</f>
        <v/>
      </c>
      <c r="AK736" s="18" t="str">
        <f>""</f>
        <v/>
      </c>
      <c r="AL736" s="18" t="str">
        <f>""</f>
        <v/>
      </c>
      <c r="AM736" s="18" t="str">
        <f>""</f>
        <v/>
      </c>
    </row>
    <row r="737" spans="1:39" ht="15.75" customHeight="1" x14ac:dyDescent="0.25">
      <c r="A737" s="19" t="str">
        <f>IF('Step 15 - Final Approval'!B34="","","Active")</f>
        <v/>
      </c>
      <c r="B737" s="20" t="str">
        <f>IF('Step 15 - Final Approval'!B34="","",'Step 15 - Final Approval'!B34)</f>
        <v/>
      </c>
      <c r="C737" s="20" t="str">
        <f>IF('Step 15 - Final Approval'!B34="","",'Step 15 - Final Approval'!B34)</f>
        <v/>
      </c>
      <c r="D737" s="19" t="str">
        <f>IF('Step 15 - Final Approval'!B34="","",'Step 15 - Final Approval'!G34)</f>
        <v/>
      </c>
      <c r="E737" s="19" t="str">
        <f>IF('Step 15 - Final Approval'!B34="","",'Step 15 - Final Approval'!H34)</f>
        <v/>
      </c>
      <c r="F737" s="20" t="str">
        <f>IF('Step 15 - Final Approval'!B34="","",IF('Step 15 - Final Approval'!C34="","","Fund Code"))</f>
        <v/>
      </c>
      <c r="G737" s="19" t="str">
        <f>IF('Step 15 - Final Approval'!B34="","",IF('Step 15 - Final Approval'!C34="","","Equals"))</f>
        <v/>
      </c>
      <c r="H737" s="20" t="str">
        <f>IF('Step 15 - Final Approval'!B34="","",IF('Step 15 - Final Approval'!C34="","",'Step 15 - Final Approval'!C34))</f>
        <v/>
      </c>
      <c r="I737" s="20" t="str">
        <f>IF('Step 15 - Final Approval'!B34="","","Organization Code")</f>
        <v/>
      </c>
      <c r="J737" s="19" t="str">
        <f>IF('Step 15 - Final Approval'!B34="","","Equals")</f>
        <v/>
      </c>
      <c r="K737" s="20" t="str">
        <f>IF('Step 15 - Final Approval'!B34="","",'Step 15 - Final Approval'!D34)</f>
        <v/>
      </c>
      <c r="L737" s="20" t="str">
        <f>IF('Step 15 - Final Approval'!B34="","","Other Criteria")</f>
        <v/>
      </c>
      <c r="M737" s="19" t="str">
        <f>IF('Step 15 - Final Approval'!B34="","","Equals")</f>
        <v/>
      </c>
      <c r="N737" s="20" t="str">
        <f>IF('Step 15 - Final Approval'!B34="","",'Step 15 - Final Approval'!E34)</f>
        <v/>
      </c>
      <c r="O737" s="20" t="str">
        <f>IF('Step 15 - Final Approval'!B34="","",IF('Step 15 - Final Approval'!F34="","","Total"))</f>
        <v/>
      </c>
      <c r="P737" s="19" t="str">
        <f>IF('Step 15 - Final Approval'!B34="","",IF('Step 15 - Final Approval'!F34="","","&gt;="))</f>
        <v/>
      </c>
      <c r="Q737" s="20" t="str">
        <f>IF('Step 15 - Final Approval'!B34="","",IF('Step 15 - Final Approval'!F34="","",'Step 15 - Final Approval'!F34))</f>
        <v/>
      </c>
      <c r="R737" s="20" t="str">
        <f>""</f>
        <v/>
      </c>
      <c r="S737" s="20" t="str">
        <f>""</f>
        <v/>
      </c>
      <c r="T737" s="20" t="str">
        <f>""</f>
        <v/>
      </c>
      <c r="U737" s="20" t="str">
        <f>IF('Step 15 - Final Approval'!B34="","",'Step 15 - Final Approval'!I34)</f>
        <v/>
      </c>
      <c r="V737" s="19" t="str">
        <f>IF('Step 15 - Final Approval'!B34="","",'Step 15 - Final Approval'!K34)</f>
        <v/>
      </c>
      <c r="W737" s="20" t="str">
        <f>IF('Step 15 - Final Approval'!B34="","",'Step 15 - Final Approval'!L34)</f>
        <v/>
      </c>
      <c r="X737" s="19" t="str">
        <f>IF('Step 15 - Final Approval'!B34="","",'Step 15 - Final Approval'!N34)</f>
        <v/>
      </c>
      <c r="Y737" s="20" t="str">
        <f>""</f>
        <v/>
      </c>
      <c r="Z737" s="20" t="str">
        <f>""</f>
        <v/>
      </c>
      <c r="AA737" s="20" t="str">
        <f>""</f>
        <v/>
      </c>
      <c r="AB737" s="20" t="str">
        <f>""</f>
        <v/>
      </c>
      <c r="AC737" s="20" t="str">
        <f>""</f>
        <v/>
      </c>
      <c r="AD737" s="20" t="str">
        <f>""</f>
        <v/>
      </c>
      <c r="AE737" s="20" t="str">
        <f>""</f>
        <v/>
      </c>
      <c r="AF737" s="20" t="str">
        <f>""</f>
        <v/>
      </c>
      <c r="AG737" s="20" t="str">
        <f>""</f>
        <v/>
      </c>
      <c r="AH737" s="20" t="str">
        <f>""</f>
        <v/>
      </c>
      <c r="AI737" s="20" t="str">
        <f>""</f>
        <v/>
      </c>
      <c r="AJ737" s="20" t="str">
        <f>""</f>
        <v/>
      </c>
      <c r="AK737" s="20" t="str">
        <f>""</f>
        <v/>
      </c>
      <c r="AL737" s="20" t="str">
        <f>""</f>
        <v/>
      </c>
      <c r="AM737" s="20" t="str">
        <f>""</f>
        <v/>
      </c>
    </row>
    <row r="738" spans="1:39" ht="15.75" customHeight="1" x14ac:dyDescent="0.25">
      <c r="A738" s="17" t="str">
        <f>IF('Step 15 - Final Approval'!B35="","","Active")</f>
        <v/>
      </c>
      <c r="B738" s="18" t="str">
        <f>IF('Step 15 - Final Approval'!B35="","",'Step 15 - Final Approval'!B35)</f>
        <v/>
      </c>
      <c r="C738" s="18" t="str">
        <f>IF('Step 15 - Final Approval'!B35="","",'Step 15 - Final Approval'!B35)</f>
        <v/>
      </c>
      <c r="D738" s="17" t="str">
        <f>IF('Step 15 - Final Approval'!B35="","",'Step 15 - Final Approval'!G35)</f>
        <v/>
      </c>
      <c r="E738" s="17" t="str">
        <f>IF('Step 15 - Final Approval'!B35="","",'Step 15 - Final Approval'!H35)</f>
        <v/>
      </c>
      <c r="F738" s="18" t="str">
        <f>IF('Step 15 - Final Approval'!B35="","",IF('Step 15 - Final Approval'!C35="","","Fund Code"))</f>
        <v/>
      </c>
      <c r="G738" s="17" t="str">
        <f>IF('Step 15 - Final Approval'!B35="","",IF('Step 15 - Final Approval'!C35="","","Equals"))</f>
        <v/>
      </c>
      <c r="H738" s="18" t="str">
        <f>IF('Step 15 - Final Approval'!B35="","",IF('Step 15 - Final Approval'!C35="","",'Step 15 - Final Approval'!C35))</f>
        <v/>
      </c>
      <c r="I738" s="18" t="str">
        <f>IF('Step 15 - Final Approval'!B35="","","Organization Code")</f>
        <v/>
      </c>
      <c r="J738" s="17" t="str">
        <f>IF('Step 15 - Final Approval'!B35="","","Equals")</f>
        <v/>
      </c>
      <c r="K738" s="18" t="str">
        <f>IF('Step 15 - Final Approval'!B35="","",'Step 15 - Final Approval'!D35)</f>
        <v/>
      </c>
      <c r="L738" s="18" t="str">
        <f>IF('Step 15 - Final Approval'!B35="","","Other Criteria")</f>
        <v/>
      </c>
      <c r="M738" s="17" t="str">
        <f>IF('Step 15 - Final Approval'!B35="","","Equals")</f>
        <v/>
      </c>
      <c r="N738" s="18" t="str">
        <f>IF('Step 15 - Final Approval'!B35="","",'Step 15 - Final Approval'!E35)</f>
        <v/>
      </c>
      <c r="O738" s="18" t="str">
        <f>IF('Step 15 - Final Approval'!B35="","",IF('Step 15 - Final Approval'!F35="","","Total"))</f>
        <v/>
      </c>
      <c r="P738" s="17" t="str">
        <f>IF('Step 15 - Final Approval'!B35="","",IF('Step 15 - Final Approval'!F35="","","&gt;="))</f>
        <v/>
      </c>
      <c r="Q738" s="18" t="str">
        <f>IF('Step 15 - Final Approval'!B35="","",IF('Step 15 - Final Approval'!F35="","",'Step 15 - Final Approval'!F35))</f>
        <v/>
      </c>
      <c r="R738" s="18" t="str">
        <f>""</f>
        <v/>
      </c>
      <c r="S738" s="18" t="str">
        <f>""</f>
        <v/>
      </c>
      <c r="T738" s="18" t="str">
        <f>""</f>
        <v/>
      </c>
      <c r="U738" s="18" t="str">
        <f>IF('Step 15 - Final Approval'!B35="","",'Step 15 - Final Approval'!I35)</f>
        <v/>
      </c>
      <c r="V738" s="17" t="str">
        <f>IF('Step 15 - Final Approval'!B35="","",'Step 15 - Final Approval'!K35)</f>
        <v/>
      </c>
      <c r="W738" s="18" t="str">
        <f>IF('Step 15 - Final Approval'!B35="","",'Step 15 - Final Approval'!L35)</f>
        <v/>
      </c>
      <c r="X738" s="17" t="str">
        <f>IF('Step 15 - Final Approval'!B35="","",'Step 15 - Final Approval'!N35)</f>
        <v/>
      </c>
      <c r="Y738" s="18" t="str">
        <f>""</f>
        <v/>
      </c>
      <c r="Z738" s="18" t="str">
        <f>""</f>
        <v/>
      </c>
      <c r="AA738" s="18" t="str">
        <f>""</f>
        <v/>
      </c>
      <c r="AB738" s="18" t="str">
        <f>""</f>
        <v/>
      </c>
      <c r="AC738" s="18" t="str">
        <f>""</f>
        <v/>
      </c>
      <c r="AD738" s="18" t="str">
        <f>""</f>
        <v/>
      </c>
      <c r="AE738" s="18" t="str">
        <f>""</f>
        <v/>
      </c>
      <c r="AF738" s="18" t="str">
        <f>""</f>
        <v/>
      </c>
      <c r="AG738" s="18" t="str">
        <f>""</f>
        <v/>
      </c>
      <c r="AH738" s="18" t="str">
        <f>""</f>
        <v/>
      </c>
      <c r="AI738" s="18" t="str">
        <f>""</f>
        <v/>
      </c>
      <c r="AJ738" s="18" t="str">
        <f>""</f>
        <v/>
      </c>
      <c r="AK738" s="18" t="str">
        <f>""</f>
        <v/>
      </c>
      <c r="AL738" s="18" t="str">
        <f>""</f>
        <v/>
      </c>
      <c r="AM738" s="18" t="str">
        <f>""</f>
        <v/>
      </c>
    </row>
    <row r="739" spans="1:39" ht="15.75" customHeight="1" x14ac:dyDescent="0.25">
      <c r="A739" s="19" t="str">
        <f>IF('Step 15 - Final Approval'!B36="","","Active")</f>
        <v/>
      </c>
      <c r="B739" s="20" t="str">
        <f>IF('Step 15 - Final Approval'!B36="","",'Step 15 - Final Approval'!B36)</f>
        <v/>
      </c>
      <c r="C739" s="20" t="str">
        <f>IF('Step 15 - Final Approval'!B36="","",'Step 15 - Final Approval'!B36)</f>
        <v/>
      </c>
      <c r="D739" s="19" t="str">
        <f>IF('Step 15 - Final Approval'!B36="","",'Step 15 - Final Approval'!G36)</f>
        <v/>
      </c>
      <c r="E739" s="19" t="str">
        <f>IF('Step 15 - Final Approval'!B36="","",'Step 15 - Final Approval'!H36)</f>
        <v/>
      </c>
      <c r="F739" s="20" t="str">
        <f>IF('Step 15 - Final Approval'!B36="","",IF('Step 15 - Final Approval'!C36="","","Fund Code"))</f>
        <v/>
      </c>
      <c r="G739" s="19" t="str">
        <f>IF('Step 15 - Final Approval'!B36="","",IF('Step 15 - Final Approval'!C36="","","Equals"))</f>
        <v/>
      </c>
      <c r="H739" s="20" t="str">
        <f>IF('Step 15 - Final Approval'!B36="","",IF('Step 15 - Final Approval'!C36="","",'Step 15 - Final Approval'!C36))</f>
        <v/>
      </c>
      <c r="I739" s="20" t="str">
        <f>IF('Step 15 - Final Approval'!B36="","","Organization Code")</f>
        <v/>
      </c>
      <c r="J739" s="19" t="str">
        <f>IF('Step 15 - Final Approval'!B36="","","Equals")</f>
        <v/>
      </c>
      <c r="K739" s="20" t="str">
        <f>IF('Step 15 - Final Approval'!B36="","",'Step 15 - Final Approval'!D36)</f>
        <v/>
      </c>
      <c r="L739" s="20" t="str">
        <f>IF('Step 15 - Final Approval'!B36="","","Other Criteria")</f>
        <v/>
      </c>
      <c r="M739" s="19" t="str">
        <f>IF('Step 15 - Final Approval'!B36="","","Equals")</f>
        <v/>
      </c>
      <c r="N739" s="20" t="str">
        <f>IF('Step 15 - Final Approval'!B36="","",'Step 15 - Final Approval'!E36)</f>
        <v/>
      </c>
      <c r="O739" s="20" t="str">
        <f>IF('Step 15 - Final Approval'!B36="","",IF('Step 15 - Final Approval'!F36="","","Total"))</f>
        <v/>
      </c>
      <c r="P739" s="19" t="str">
        <f>IF('Step 15 - Final Approval'!B36="","",IF('Step 15 - Final Approval'!F36="","","&gt;="))</f>
        <v/>
      </c>
      <c r="Q739" s="20" t="str">
        <f>IF('Step 15 - Final Approval'!B36="","",IF('Step 15 - Final Approval'!F36="","",'Step 15 - Final Approval'!F36))</f>
        <v/>
      </c>
      <c r="R739" s="20" t="str">
        <f>""</f>
        <v/>
      </c>
      <c r="S739" s="20" t="str">
        <f>""</f>
        <v/>
      </c>
      <c r="T739" s="20" t="str">
        <f>""</f>
        <v/>
      </c>
      <c r="U739" s="20" t="str">
        <f>IF('Step 15 - Final Approval'!B36="","",'Step 15 - Final Approval'!I36)</f>
        <v/>
      </c>
      <c r="V739" s="19" t="str">
        <f>IF('Step 15 - Final Approval'!B36="","",'Step 15 - Final Approval'!K36)</f>
        <v/>
      </c>
      <c r="W739" s="20" t="str">
        <f>IF('Step 15 - Final Approval'!B36="","",'Step 15 - Final Approval'!L36)</f>
        <v/>
      </c>
      <c r="X739" s="19" t="str">
        <f>IF('Step 15 - Final Approval'!B36="","",'Step 15 - Final Approval'!N36)</f>
        <v/>
      </c>
      <c r="Y739" s="20" t="str">
        <f>""</f>
        <v/>
      </c>
      <c r="Z739" s="20" t="str">
        <f>""</f>
        <v/>
      </c>
      <c r="AA739" s="20" t="str">
        <f>""</f>
        <v/>
      </c>
      <c r="AB739" s="20" t="str">
        <f>""</f>
        <v/>
      </c>
      <c r="AC739" s="20" t="str">
        <f>""</f>
        <v/>
      </c>
      <c r="AD739" s="20" t="str">
        <f>""</f>
        <v/>
      </c>
      <c r="AE739" s="20" t="str">
        <f>""</f>
        <v/>
      </c>
      <c r="AF739" s="20" t="str">
        <f>""</f>
        <v/>
      </c>
      <c r="AG739" s="20" t="str">
        <f>""</f>
        <v/>
      </c>
      <c r="AH739" s="20" t="str">
        <f>""</f>
        <v/>
      </c>
      <c r="AI739" s="20" t="str">
        <f>""</f>
        <v/>
      </c>
      <c r="AJ739" s="20" t="str">
        <f>""</f>
        <v/>
      </c>
      <c r="AK739" s="20" t="str">
        <f>""</f>
        <v/>
      </c>
      <c r="AL739" s="20" t="str">
        <f>""</f>
        <v/>
      </c>
      <c r="AM739" s="20" t="str">
        <f>""</f>
        <v/>
      </c>
    </row>
    <row r="740" spans="1:39" ht="15.75" customHeight="1" x14ac:dyDescent="0.25">
      <c r="A740" s="17" t="str">
        <f>IF('Step 15 - Final Approval'!B37="","","Active")</f>
        <v/>
      </c>
      <c r="B740" s="18" t="str">
        <f>IF('Step 15 - Final Approval'!B37="","",'Step 15 - Final Approval'!B37)</f>
        <v/>
      </c>
      <c r="C740" s="18" t="str">
        <f>IF('Step 15 - Final Approval'!B37="","",'Step 15 - Final Approval'!B37)</f>
        <v/>
      </c>
      <c r="D740" s="17" t="str">
        <f>IF('Step 15 - Final Approval'!B37="","",'Step 15 - Final Approval'!G37)</f>
        <v/>
      </c>
      <c r="E740" s="17" t="str">
        <f>IF('Step 15 - Final Approval'!B37="","",'Step 15 - Final Approval'!H37)</f>
        <v/>
      </c>
      <c r="F740" s="18" t="str">
        <f>IF('Step 15 - Final Approval'!B37="","",IF('Step 15 - Final Approval'!C37="","","Fund Code"))</f>
        <v/>
      </c>
      <c r="G740" s="17" t="str">
        <f>IF('Step 15 - Final Approval'!B37="","",IF('Step 15 - Final Approval'!C37="","","Equals"))</f>
        <v/>
      </c>
      <c r="H740" s="18" t="str">
        <f>IF('Step 15 - Final Approval'!B37="","",IF('Step 15 - Final Approval'!C37="","",'Step 15 - Final Approval'!C37))</f>
        <v/>
      </c>
      <c r="I740" s="18" t="str">
        <f>IF('Step 15 - Final Approval'!B37="","","Organization Code")</f>
        <v/>
      </c>
      <c r="J740" s="17" t="str">
        <f>IF('Step 15 - Final Approval'!B37="","","Equals")</f>
        <v/>
      </c>
      <c r="K740" s="18" t="str">
        <f>IF('Step 15 - Final Approval'!B37="","",'Step 15 - Final Approval'!D37)</f>
        <v/>
      </c>
      <c r="L740" s="18" t="str">
        <f>IF('Step 15 - Final Approval'!B37="","","Other Criteria")</f>
        <v/>
      </c>
      <c r="M740" s="17" t="str">
        <f>IF('Step 15 - Final Approval'!B37="","","Equals")</f>
        <v/>
      </c>
      <c r="N740" s="18" t="str">
        <f>IF('Step 15 - Final Approval'!B37="","",'Step 15 - Final Approval'!E37)</f>
        <v/>
      </c>
      <c r="O740" s="18" t="str">
        <f>IF('Step 15 - Final Approval'!B37="","",IF('Step 15 - Final Approval'!F37="","","Total"))</f>
        <v/>
      </c>
      <c r="P740" s="17" t="str">
        <f>IF('Step 15 - Final Approval'!B37="","",IF('Step 15 - Final Approval'!F37="","","&gt;="))</f>
        <v/>
      </c>
      <c r="Q740" s="18" t="str">
        <f>IF('Step 15 - Final Approval'!B37="","",IF('Step 15 - Final Approval'!F37="","",'Step 15 - Final Approval'!F37))</f>
        <v/>
      </c>
      <c r="R740" s="18" t="str">
        <f>""</f>
        <v/>
      </c>
      <c r="S740" s="18" t="str">
        <f>""</f>
        <v/>
      </c>
      <c r="T740" s="18" t="str">
        <f>""</f>
        <v/>
      </c>
      <c r="U740" s="18" t="str">
        <f>IF('Step 15 - Final Approval'!B37="","",'Step 15 - Final Approval'!I37)</f>
        <v/>
      </c>
      <c r="V740" s="17" t="str">
        <f>IF('Step 15 - Final Approval'!B37="","",'Step 15 - Final Approval'!K37)</f>
        <v/>
      </c>
      <c r="W740" s="18" t="str">
        <f>IF('Step 15 - Final Approval'!B37="","",'Step 15 - Final Approval'!L37)</f>
        <v/>
      </c>
      <c r="X740" s="17" t="str">
        <f>IF('Step 15 - Final Approval'!B37="","",'Step 15 - Final Approval'!N37)</f>
        <v/>
      </c>
      <c r="Y740" s="18" t="str">
        <f>""</f>
        <v/>
      </c>
      <c r="Z740" s="18" t="str">
        <f>""</f>
        <v/>
      </c>
      <c r="AA740" s="18" t="str">
        <f>""</f>
        <v/>
      </c>
      <c r="AB740" s="18" t="str">
        <f>""</f>
        <v/>
      </c>
      <c r="AC740" s="18" t="str">
        <f>""</f>
        <v/>
      </c>
      <c r="AD740" s="18" t="str">
        <f>""</f>
        <v/>
      </c>
      <c r="AE740" s="18" t="str">
        <f>""</f>
        <v/>
      </c>
      <c r="AF740" s="18" t="str">
        <f>""</f>
        <v/>
      </c>
      <c r="AG740" s="18" t="str">
        <f>""</f>
        <v/>
      </c>
      <c r="AH740" s="18" t="str">
        <f>""</f>
        <v/>
      </c>
      <c r="AI740" s="18" t="str">
        <f>""</f>
        <v/>
      </c>
      <c r="AJ740" s="18" t="str">
        <f>""</f>
        <v/>
      </c>
      <c r="AK740" s="18" t="str">
        <f>""</f>
        <v/>
      </c>
      <c r="AL740" s="18" t="str">
        <f>""</f>
        <v/>
      </c>
      <c r="AM740" s="18" t="str">
        <f>""</f>
        <v/>
      </c>
    </row>
    <row r="741" spans="1:39" ht="15.75" customHeight="1" x14ac:dyDescent="0.25">
      <c r="A741" s="19" t="str">
        <f>IF('Step 15 - Final Approval'!B38="","","Active")</f>
        <v/>
      </c>
      <c r="B741" s="20" t="str">
        <f>IF('Step 15 - Final Approval'!B38="","",'Step 15 - Final Approval'!B38)</f>
        <v/>
      </c>
      <c r="C741" s="20" t="str">
        <f>IF('Step 15 - Final Approval'!B38="","",'Step 15 - Final Approval'!B38)</f>
        <v/>
      </c>
      <c r="D741" s="19" t="str">
        <f>IF('Step 15 - Final Approval'!B38="","",'Step 15 - Final Approval'!G38)</f>
        <v/>
      </c>
      <c r="E741" s="19" t="str">
        <f>IF('Step 15 - Final Approval'!B38="","",'Step 15 - Final Approval'!H38)</f>
        <v/>
      </c>
      <c r="F741" s="20" t="str">
        <f>IF('Step 15 - Final Approval'!B38="","",IF('Step 15 - Final Approval'!C38="","","Fund Code"))</f>
        <v/>
      </c>
      <c r="G741" s="19" t="str">
        <f>IF('Step 15 - Final Approval'!B38="","",IF('Step 15 - Final Approval'!C38="","","Equals"))</f>
        <v/>
      </c>
      <c r="H741" s="20" t="str">
        <f>IF('Step 15 - Final Approval'!B38="","",IF('Step 15 - Final Approval'!C38="","",'Step 15 - Final Approval'!C38))</f>
        <v/>
      </c>
      <c r="I741" s="20" t="str">
        <f>IF('Step 15 - Final Approval'!B38="","","Organization Code")</f>
        <v/>
      </c>
      <c r="J741" s="19" t="str">
        <f>IF('Step 15 - Final Approval'!B38="","","Equals")</f>
        <v/>
      </c>
      <c r="K741" s="20" t="str">
        <f>IF('Step 15 - Final Approval'!B38="","",'Step 15 - Final Approval'!D38)</f>
        <v/>
      </c>
      <c r="L741" s="20" t="str">
        <f>IF('Step 15 - Final Approval'!B38="","","Other Criteria")</f>
        <v/>
      </c>
      <c r="M741" s="19" t="str">
        <f>IF('Step 15 - Final Approval'!B38="","","Equals")</f>
        <v/>
      </c>
      <c r="N741" s="20" t="str">
        <f>IF('Step 15 - Final Approval'!B38="","",'Step 15 - Final Approval'!E38)</f>
        <v/>
      </c>
      <c r="O741" s="20" t="str">
        <f>IF('Step 15 - Final Approval'!B38="","",IF('Step 15 - Final Approval'!F38="","","Total"))</f>
        <v/>
      </c>
      <c r="P741" s="19" t="str">
        <f>IF('Step 15 - Final Approval'!B38="","",IF('Step 15 - Final Approval'!F38="","","&gt;="))</f>
        <v/>
      </c>
      <c r="Q741" s="20" t="str">
        <f>IF('Step 15 - Final Approval'!B38="","",IF('Step 15 - Final Approval'!F38="","",'Step 15 - Final Approval'!F38))</f>
        <v/>
      </c>
      <c r="R741" s="20" t="str">
        <f>""</f>
        <v/>
      </c>
      <c r="S741" s="20" t="str">
        <f>""</f>
        <v/>
      </c>
      <c r="T741" s="20" t="str">
        <f>""</f>
        <v/>
      </c>
      <c r="U741" s="20" t="str">
        <f>IF('Step 15 - Final Approval'!B38="","",'Step 15 - Final Approval'!I38)</f>
        <v/>
      </c>
      <c r="V741" s="19" t="str">
        <f>IF('Step 15 - Final Approval'!B38="","",'Step 15 - Final Approval'!K38)</f>
        <v/>
      </c>
      <c r="W741" s="20" t="str">
        <f>IF('Step 15 - Final Approval'!B38="","",'Step 15 - Final Approval'!L38)</f>
        <v/>
      </c>
      <c r="X741" s="19" t="str">
        <f>IF('Step 15 - Final Approval'!B38="","",'Step 15 - Final Approval'!N38)</f>
        <v/>
      </c>
      <c r="Y741" s="20" t="str">
        <f>""</f>
        <v/>
      </c>
      <c r="Z741" s="20" t="str">
        <f>""</f>
        <v/>
      </c>
      <c r="AA741" s="20" t="str">
        <f>""</f>
        <v/>
      </c>
      <c r="AB741" s="20" t="str">
        <f>""</f>
        <v/>
      </c>
      <c r="AC741" s="20" t="str">
        <f>""</f>
        <v/>
      </c>
      <c r="AD741" s="20" t="str">
        <f>""</f>
        <v/>
      </c>
      <c r="AE741" s="20" t="str">
        <f>""</f>
        <v/>
      </c>
      <c r="AF741" s="20" t="str">
        <f>""</f>
        <v/>
      </c>
      <c r="AG741" s="20" t="str">
        <f>""</f>
        <v/>
      </c>
      <c r="AH741" s="20" t="str">
        <f>""</f>
        <v/>
      </c>
      <c r="AI741" s="20" t="str">
        <f>""</f>
        <v/>
      </c>
      <c r="AJ741" s="20" t="str">
        <f>""</f>
        <v/>
      </c>
      <c r="AK741" s="20" t="str">
        <f>""</f>
        <v/>
      </c>
      <c r="AL741" s="20" t="str">
        <f>""</f>
        <v/>
      </c>
      <c r="AM741" s="20" t="str">
        <f>""</f>
        <v/>
      </c>
    </row>
    <row r="742" spans="1:39" ht="15.75" customHeight="1" x14ac:dyDescent="0.25">
      <c r="A742" s="17" t="str">
        <f>IF('Step 15 - Final Approval'!B39="","","Active")</f>
        <v/>
      </c>
      <c r="B742" s="18" t="str">
        <f>IF('Step 15 - Final Approval'!B39="","",'Step 15 - Final Approval'!B39)</f>
        <v/>
      </c>
      <c r="C742" s="18" t="str">
        <f>IF('Step 15 - Final Approval'!B39="","",'Step 15 - Final Approval'!B39)</f>
        <v/>
      </c>
      <c r="D742" s="17" t="str">
        <f>IF('Step 15 - Final Approval'!B39="","",'Step 15 - Final Approval'!G39)</f>
        <v/>
      </c>
      <c r="E742" s="17" t="str">
        <f>IF('Step 15 - Final Approval'!B39="","",'Step 15 - Final Approval'!H39)</f>
        <v/>
      </c>
      <c r="F742" s="18" t="str">
        <f>IF('Step 15 - Final Approval'!B39="","",IF('Step 15 - Final Approval'!C39="","","Fund Code"))</f>
        <v/>
      </c>
      <c r="G742" s="17" t="str">
        <f>IF('Step 15 - Final Approval'!B39="","",IF('Step 15 - Final Approval'!C39="","","Equals"))</f>
        <v/>
      </c>
      <c r="H742" s="18" t="str">
        <f>IF('Step 15 - Final Approval'!B39="","",IF('Step 15 - Final Approval'!C39="","",'Step 15 - Final Approval'!C39))</f>
        <v/>
      </c>
      <c r="I742" s="18" t="str">
        <f>IF('Step 15 - Final Approval'!B39="","","Organization Code")</f>
        <v/>
      </c>
      <c r="J742" s="17" t="str">
        <f>IF('Step 15 - Final Approval'!B39="","","Equals")</f>
        <v/>
      </c>
      <c r="K742" s="18" t="str">
        <f>IF('Step 15 - Final Approval'!B39="","",'Step 15 - Final Approval'!D39)</f>
        <v/>
      </c>
      <c r="L742" s="18" t="str">
        <f>IF('Step 15 - Final Approval'!B39="","","Other Criteria")</f>
        <v/>
      </c>
      <c r="M742" s="17" t="str">
        <f>IF('Step 15 - Final Approval'!B39="","","Equals")</f>
        <v/>
      </c>
      <c r="N742" s="18" t="str">
        <f>IF('Step 15 - Final Approval'!B39="","",'Step 15 - Final Approval'!E39)</f>
        <v/>
      </c>
      <c r="O742" s="18" t="str">
        <f>IF('Step 15 - Final Approval'!B39="","",IF('Step 15 - Final Approval'!F39="","","Total"))</f>
        <v/>
      </c>
      <c r="P742" s="17" t="str">
        <f>IF('Step 15 - Final Approval'!B39="","",IF('Step 15 - Final Approval'!F39="","","&gt;="))</f>
        <v/>
      </c>
      <c r="Q742" s="18" t="str">
        <f>IF('Step 15 - Final Approval'!B39="","",IF('Step 15 - Final Approval'!F39="","",'Step 15 - Final Approval'!F39))</f>
        <v/>
      </c>
      <c r="R742" s="18" t="str">
        <f>""</f>
        <v/>
      </c>
      <c r="S742" s="18" t="str">
        <f>""</f>
        <v/>
      </c>
      <c r="T742" s="18" t="str">
        <f>""</f>
        <v/>
      </c>
      <c r="U742" s="18" t="str">
        <f>IF('Step 15 - Final Approval'!B39="","",'Step 15 - Final Approval'!I39)</f>
        <v/>
      </c>
      <c r="V742" s="17" t="str">
        <f>IF('Step 15 - Final Approval'!B39="","",'Step 15 - Final Approval'!K39)</f>
        <v/>
      </c>
      <c r="W742" s="18" t="str">
        <f>IF('Step 15 - Final Approval'!B39="","",'Step 15 - Final Approval'!L39)</f>
        <v/>
      </c>
      <c r="X742" s="17" t="str">
        <f>IF('Step 15 - Final Approval'!B39="","",'Step 15 - Final Approval'!N39)</f>
        <v/>
      </c>
      <c r="Y742" s="18" t="str">
        <f>""</f>
        <v/>
      </c>
      <c r="Z742" s="18" t="str">
        <f>""</f>
        <v/>
      </c>
      <c r="AA742" s="18" t="str">
        <f>""</f>
        <v/>
      </c>
      <c r="AB742" s="18" t="str">
        <f>""</f>
        <v/>
      </c>
      <c r="AC742" s="18" t="str">
        <f>""</f>
        <v/>
      </c>
      <c r="AD742" s="18" t="str">
        <f>""</f>
        <v/>
      </c>
      <c r="AE742" s="18" t="str">
        <f>""</f>
        <v/>
      </c>
      <c r="AF742" s="18" t="str">
        <f>""</f>
        <v/>
      </c>
      <c r="AG742" s="18" t="str">
        <f>""</f>
        <v/>
      </c>
      <c r="AH742" s="18" t="str">
        <f>""</f>
        <v/>
      </c>
      <c r="AI742" s="18" t="str">
        <f>""</f>
        <v/>
      </c>
      <c r="AJ742" s="18" t="str">
        <f>""</f>
        <v/>
      </c>
      <c r="AK742" s="18" t="str">
        <f>""</f>
        <v/>
      </c>
      <c r="AL742" s="18" t="str">
        <f>""</f>
        <v/>
      </c>
      <c r="AM742" s="18" t="str">
        <f>""</f>
        <v/>
      </c>
    </row>
    <row r="743" spans="1:39" ht="15.75" customHeight="1" x14ac:dyDescent="0.25">
      <c r="A743" s="19" t="str">
        <f>IF('Step 15 - Final Approval'!B40="","","Active")</f>
        <v/>
      </c>
      <c r="B743" s="20" t="str">
        <f>IF('Step 15 - Final Approval'!B40="","",'Step 15 - Final Approval'!B40)</f>
        <v/>
      </c>
      <c r="C743" s="20" t="str">
        <f>IF('Step 15 - Final Approval'!B40="","",'Step 15 - Final Approval'!B40)</f>
        <v/>
      </c>
      <c r="D743" s="19" t="str">
        <f>IF('Step 15 - Final Approval'!B40="","",'Step 15 - Final Approval'!G40)</f>
        <v/>
      </c>
      <c r="E743" s="19" t="str">
        <f>IF('Step 15 - Final Approval'!B40="","",'Step 15 - Final Approval'!H40)</f>
        <v/>
      </c>
      <c r="F743" s="20" t="str">
        <f>IF('Step 15 - Final Approval'!B40="","",IF('Step 15 - Final Approval'!C40="","","Fund Code"))</f>
        <v/>
      </c>
      <c r="G743" s="19" t="str">
        <f>IF('Step 15 - Final Approval'!B40="","",IF('Step 15 - Final Approval'!C40="","","Equals"))</f>
        <v/>
      </c>
      <c r="H743" s="20" t="str">
        <f>IF('Step 15 - Final Approval'!B40="","",IF('Step 15 - Final Approval'!C40="","",'Step 15 - Final Approval'!C40))</f>
        <v/>
      </c>
      <c r="I743" s="20" t="str">
        <f>IF('Step 15 - Final Approval'!B40="","","Organization Code")</f>
        <v/>
      </c>
      <c r="J743" s="19" t="str">
        <f>IF('Step 15 - Final Approval'!B40="","","Equals")</f>
        <v/>
      </c>
      <c r="K743" s="20" t="str">
        <f>IF('Step 15 - Final Approval'!B40="","",'Step 15 - Final Approval'!D40)</f>
        <v/>
      </c>
      <c r="L743" s="20" t="str">
        <f>IF('Step 15 - Final Approval'!B40="","","Other Criteria")</f>
        <v/>
      </c>
      <c r="M743" s="19" t="str">
        <f>IF('Step 15 - Final Approval'!B40="","","Equals")</f>
        <v/>
      </c>
      <c r="N743" s="20" t="str">
        <f>IF('Step 15 - Final Approval'!B40="","",'Step 15 - Final Approval'!E40)</f>
        <v/>
      </c>
      <c r="O743" s="20" t="str">
        <f>IF('Step 15 - Final Approval'!B40="","",IF('Step 15 - Final Approval'!F40="","","Total"))</f>
        <v/>
      </c>
      <c r="P743" s="19" t="str">
        <f>IF('Step 15 - Final Approval'!B40="","",IF('Step 15 - Final Approval'!F40="","","&gt;="))</f>
        <v/>
      </c>
      <c r="Q743" s="20" t="str">
        <f>IF('Step 15 - Final Approval'!B40="","",IF('Step 15 - Final Approval'!F40="","",'Step 15 - Final Approval'!F40))</f>
        <v/>
      </c>
      <c r="R743" s="20" t="str">
        <f>""</f>
        <v/>
      </c>
      <c r="S743" s="20" t="str">
        <f>""</f>
        <v/>
      </c>
      <c r="T743" s="20" t="str">
        <f>""</f>
        <v/>
      </c>
      <c r="U743" s="20" t="str">
        <f>IF('Step 15 - Final Approval'!B40="","",'Step 15 - Final Approval'!I40)</f>
        <v/>
      </c>
      <c r="V743" s="19" t="str">
        <f>IF('Step 15 - Final Approval'!B40="","",'Step 15 - Final Approval'!K40)</f>
        <v/>
      </c>
      <c r="W743" s="20" t="str">
        <f>IF('Step 15 - Final Approval'!B40="","",'Step 15 - Final Approval'!L40)</f>
        <v/>
      </c>
      <c r="X743" s="19" t="str">
        <f>IF('Step 15 - Final Approval'!B40="","",'Step 15 - Final Approval'!N40)</f>
        <v/>
      </c>
      <c r="Y743" s="20" t="str">
        <f>""</f>
        <v/>
      </c>
      <c r="Z743" s="20" t="str">
        <f>""</f>
        <v/>
      </c>
      <c r="AA743" s="20" t="str">
        <f>""</f>
        <v/>
      </c>
      <c r="AB743" s="20" t="str">
        <f>""</f>
        <v/>
      </c>
      <c r="AC743" s="20" t="str">
        <f>""</f>
        <v/>
      </c>
      <c r="AD743" s="20" t="str">
        <f>""</f>
        <v/>
      </c>
      <c r="AE743" s="20" t="str">
        <f>""</f>
        <v/>
      </c>
      <c r="AF743" s="20" t="str">
        <f>""</f>
        <v/>
      </c>
      <c r="AG743" s="20" t="str">
        <f>""</f>
        <v/>
      </c>
      <c r="AH743" s="20" t="str">
        <f>""</f>
        <v/>
      </c>
      <c r="AI743" s="20" t="str">
        <f>""</f>
        <v/>
      </c>
      <c r="AJ743" s="20" t="str">
        <f>""</f>
        <v/>
      </c>
      <c r="AK743" s="20" t="str">
        <f>""</f>
        <v/>
      </c>
      <c r="AL743" s="20" t="str">
        <f>""</f>
        <v/>
      </c>
      <c r="AM743" s="20" t="str">
        <f>""</f>
        <v/>
      </c>
    </row>
    <row r="744" spans="1:39" ht="15.75" customHeight="1" x14ac:dyDescent="0.25">
      <c r="A744" s="17" t="str">
        <f>IF('Step 15 - Final Approval'!B41="","","Active")</f>
        <v/>
      </c>
      <c r="B744" s="18" t="str">
        <f>IF('Step 15 - Final Approval'!B41="","",'Step 15 - Final Approval'!B41)</f>
        <v/>
      </c>
      <c r="C744" s="18" t="str">
        <f>IF('Step 15 - Final Approval'!B41="","",'Step 15 - Final Approval'!B41)</f>
        <v/>
      </c>
      <c r="D744" s="17" t="str">
        <f>IF('Step 15 - Final Approval'!B41="","",'Step 15 - Final Approval'!G41)</f>
        <v/>
      </c>
      <c r="E744" s="17" t="str">
        <f>IF('Step 15 - Final Approval'!B41="","",'Step 15 - Final Approval'!H41)</f>
        <v/>
      </c>
      <c r="F744" s="18" t="str">
        <f>IF('Step 15 - Final Approval'!B41="","",IF('Step 15 - Final Approval'!C41="","","Fund Code"))</f>
        <v/>
      </c>
      <c r="G744" s="17" t="str">
        <f>IF('Step 15 - Final Approval'!B41="","",IF('Step 15 - Final Approval'!C41="","","Equals"))</f>
        <v/>
      </c>
      <c r="H744" s="18" t="str">
        <f>IF('Step 15 - Final Approval'!B41="","",IF('Step 15 - Final Approval'!C41="","",'Step 15 - Final Approval'!C41))</f>
        <v/>
      </c>
      <c r="I744" s="18" t="str">
        <f>IF('Step 15 - Final Approval'!B41="","","Organization Code")</f>
        <v/>
      </c>
      <c r="J744" s="17" t="str">
        <f>IF('Step 15 - Final Approval'!B41="","","Equals")</f>
        <v/>
      </c>
      <c r="K744" s="18" t="str">
        <f>IF('Step 15 - Final Approval'!B41="","",'Step 15 - Final Approval'!D41)</f>
        <v/>
      </c>
      <c r="L744" s="18" t="str">
        <f>IF('Step 15 - Final Approval'!B41="","","Other Criteria")</f>
        <v/>
      </c>
      <c r="M744" s="17" t="str">
        <f>IF('Step 15 - Final Approval'!B41="","","Equals")</f>
        <v/>
      </c>
      <c r="N744" s="18" t="str">
        <f>IF('Step 15 - Final Approval'!B41="","",'Step 15 - Final Approval'!E41)</f>
        <v/>
      </c>
      <c r="O744" s="18" t="str">
        <f>IF('Step 15 - Final Approval'!B41="","",IF('Step 15 - Final Approval'!F41="","","Total"))</f>
        <v/>
      </c>
      <c r="P744" s="17" t="str">
        <f>IF('Step 15 - Final Approval'!B41="","",IF('Step 15 - Final Approval'!F41="","","&gt;="))</f>
        <v/>
      </c>
      <c r="Q744" s="18" t="str">
        <f>IF('Step 15 - Final Approval'!B41="","",IF('Step 15 - Final Approval'!F41="","",'Step 15 - Final Approval'!F41))</f>
        <v/>
      </c>
      <c r="R744" s="18" t="str">
        <f>""</f>
        <v/>
      </c>
      <c r="S744" s="18" t="str">
        <f>""</f>
        <v/>
      </c>
      <c r="T744" s="18" t="str">
        <f>""</f>
        <v/>
      </c>
      <c r="U744" s="18" t="str">
        <f>IF('Step 15 - Final Approval'!B41="","",'Step 15 - Final Approval'!I41)</f>
        <v/>
      </c>
      <c r="V744" s="17" t="str">
        <f>IF('Step 15 - Final Approval'!B41="","",'Step 15 - Final Approval'!K41)</f>
        <v/>
      </c>
      <c r="W744" s="18" t="str">
        <f>IF('Step 15 - Final Approval'!B41="","",'Step 15 - Final Approval'!L41)</f>
        <v/>
      </c>
      <c r="X744" s="17" t="str">
        <f>IF('Step 15 - Final Approval'!B41="","",'Step 15 - Final Approval'!N41)</f>
        <v/>
      </c>
      <c r="Y744" s="18" t="str">
        <f>""</f>
        <v/>
      </c>
      <c r="Z744" s="18" t="str">
        <f>""</f>
        <v/>
      </c>
      <c r="AA744" s="18" t="str">
        <f>""</f>
        <v/>
      </c>
      <c r="AB744" s="18" t="str">
        <f>""</f>
        <v/>
      </c>
      <c r="AC744" s="18" t="str">
        <f>""</f>
        <v/>
      </c>
      <c r="AD744" s="18" t="str">
        <f>""</f>
        <v/>
      </c>
      <c r="AE744" s="18" t="str">
        <f>""</f>
        <v/>
      </c>
      <c r="AF744" s="18" t="str">
        <f>""</f>
        <v/>
      </c>
      <c r="AG744" s="18" t="str">
        <f>""</f>
        <v/>
      </c>
      <c r="AH744" s="18" t="str">
        <f>""</f>
        <v/>
      </c>
      <c r="AI744" s="18" t="str">
        <f>""</f>
        <v/>
      </c>
      <c r="AJ744" s="18" t="str">
        <f>""</f>
        <v/>
      </c>
      <c r="AK744" s="18" t="str">
        <f>""</f>
        <v/>
      </c>
      <c r="AL744" s="18" t="str">
        <f>""</f>
        <v/>
      </c>
      <c r="AM744" s="18" t="str">
        <f>""</f>
        <v/>
      </c>
    </row>
    <row r="745" spans="1:39" ht="15.75" customHeight="1" x14ac:dyDescent="0.25">
      <c r="A745" s="19" t="str">
        <f>IF('Step 15 - Final Approval'!B42="","","Active")</f>
        <v/>
      </c>
      <c r="B745" s="20" t="str">
        <f>IF('Step 15 - Final Approval'!B42="","",'Step 15 - Final Approval'!B42)</f>
        <v/>
      </c>
      <c r="C745" s="20" t="str">
        <f>IF('Step 15 - Final Approval'!B42="","",'Step 15 - Final Approval'!B42)</f>
        <v/>
      </c>
      <c r="D745" s="19" t="str">
        <f>IF('Step 15 - Final Approval'!B42="","",'Step 15 - Final Approval'!G42)</f>
        <v/>
      </c>
      <c r="E745" s="19" t="str">
        <f>IF('Step 15 - Final Approval'!B42="","",'Step 15 - Final Approval'!H42)</f>
        <v/>
      </c>
      <c r="F745" s="20" t="str">
        <f>IF('Step 15 - Final Approval'!B42="","",IF('Step 15 - Final Approval'!C42="","","Fund Code"))</f>
        <v/>
      </c>
      <c r="G745" s="19" t="str">
        <f>IF('Step 15 - Final Approval'!B42="","",IF('Step 15 - Final Approval'!C42="","","Equals"))</f>
        <v/>
      </c>
      <c r="H745" s="20" t="str">
        <f>IF('Step 15 - Final Approval'!B42="","",IF('Step 15 - Final Approval'!C42="","",'Step 15 - Final Approval'!C42))</f>
        <v/>
      </c>
      <c r="I745" s="20" t="str">
        <f>IF('Step 15 - Final Approval'!B42="","","Organization Code")</f>
        <v/>
      </c>
      <c r="J745" s="19" t="str">
        <f>IF('Step 15 - Final Approval'!B42="","","Equals")</f>
        <v/>
      </c>
      <c r="K745" s="20" t="str">
        <f>IF('Step 15 - Final Approval'!B42="","",'Step 15 - Final Approval'!D42)</f>
        <v/>
      </c>
      <c r="L745" s="20" t="str">
        <f>IF('Step 15 - Final Approval'!B42="","","Other Criteria")</f>
        <v/>
      </c>
      <c r="M745" s="19" t="str">
        <f>IF('Step 15 - Final Approval'!B42="","","Equals")</f>
        <v/>
      </c>
      <c r="N745" s="20" t="str">
        <f>IF('Step 15 - Final Approval'!B42="","",'Step 15 - Final Approval'!E42)</f>
        <v/>
      </c>
      <c r="O745" s="20" t="str">
        <f>IF('Step 15 - Final Approval'!B42="","",IF('Step 15 - Final Approval'!F42="","","Total"))</f>
        <v/>
      </c>
      <c r="P745" s="19" t="str">
        <f>IF('Step 15 - Final Approval'!B42="","",IF('Step 15 - Final Approval'!F42="","","&gt;="))</f>
        <v/>
      </c>
      <c r="Q745" s="20" t="str">
        <f>IF('Step 15 - Final Approval'!B42="","",IF('Step 15 - Final Approval'!F42="","",'Step 15 - Final Approval'!F42))</f>
        <v/>
      </c>
      <c r="R745" s="20" t="str">
        <f>""</f>
        <v/>
      </c>
      <c r="S745" s="20" t="str">
        <f>""</f>
        <v/>
      </c>
      <c r="T745" s="20" t="str">
        <f>""</f>
        <v/>
      </c>
      <c r="U745" s="20" t="str">
        <f>IF('Step 15 - Final Approval'!B42="","",'Step 15 - Final Approval'!I42)</f>
        <v/>
      </c>
      <c r="V745" s="19" t="str">
        <f>IF('Step 15 - Final Approval'!B42="","",'Step 15 - Final Approval'!K42)</f>
        <v/>
      </c>
      <c r="W745" s="20" t="str">
        <f>IF('Step 15 - Final Approval'!B42="","",'Step 15 - Final Approval'!L42)</f>
        <v/>
      </c>
      <c r="X745" s="19" t="str">
        <f>IF('Step 15 - Final Approval'!B42="","",'Step 15 - Final Approval'!N42)</f>
        <v/>
      </c>
      <c r="Y745" s="20" t="str">
        <f>""</f>
        <v/>
      </c>
      <c r="Z745" s="20" t="str">
        <f>""</f>
        <v/>
      </c>
      <c r="AA745" s="20" t="str">
        <f>""</f>
        <v/>
      </c>
      <c r="AB745" s="20" t="str">
        <f>""</f>
        <v/>
      </c>
      <c r="AC745" s="20" t="str">
        <f>""</f>
        <v/>
      </c>
      <c r="AD745" s="20" t="str">
        <f>""</f>
        <v/>
      </c>
      <c r="AE745" s="20" t="str">
        <f>""</f>
        <v/>
      </c>
      <c r="AF745" s="20" t="str">
        <f>""</f>
        <v/>
      </c>
      <c r="AG745" s="20" t="str">
        <f>""</f>
        <v/>
      </c>
      <c r="AH745" s="20" t="str">
        <f>""</f>
        <v/>
      </c>
      <c r="AI745" s="20" t="str">
        <f>""</f>
        <v/>
      </c>
      <c r="AJ745" s="20" t="str">
        <f>""</f>
        <v/>
      </c>
      <c r="AK745" s="20" t="str">
        <f>""</f>
        <v/>
      </c>
      <c r="AL745" s="20" t="str">
        <f>""</f>
        <v/>
      </c>
      <c r="AM745" s="20" t="str">
        <f>""</f>
        <v/>
      </c>
    </row>
    <row r="746" spans="1:39" ht="15.75" customHeight="1" x14ac:dyDescent="0.25">
      <c r="A746" s="17" t="str">
        <f>IF('Step 15 - Final Approval'!B43="","","Active")</f>
        <v/>
      </c>
      <c r="B746" s="18" t="str">
        <f>IF('Step 15 - Final Approval'!B43="","",'Step 15 - Final Approval'!B43)</f>
        <v/>
      </c>
      <c r="C746" s="18" t="str">
        <f>IF('Step 15 - Final Approval'!B43="","",'Step 15 - Final Approval'!B43)</f>
        <v/>
      </c>
      <c r="D746" s="17" t="str">
        <f>IF('Step 15 - Final Approval'!B43="","",'Step 15 - Final Approval'!G43)</f>
        <v/>
      </c>
      <c r="E746" s="17" t="str">
        <f>IF('Step 15 - Final Approval'!B43="","",'Step 15 - Final Approval'!H43)</f>
        <v/>
      </c>
      <c r="F746" s="18" t="str">
        <f>IF('Step 15 - Final Approval'!B43="","",IF('Step 15 - Final Approval'!C43="","","Fund Code"))</f>
        <v/>
      </c>
      <c r="G746" s="17" t="str">
        <f>IF('Step 15 - Final Approval'!B43="","",IF('Step 15 - Final Approval'!C43="","","Equals"))</f>
        <v/>
      </c>
      <c r="H746" s="18" t="str">
        <f>IF('Step 15 - Final Approval'!B43="","",IF('Step 15 - Final Approval'!C43="","",'Step 15 - Final Approval'!C43))</f>
        <v/>
      </c>
      <c r="I746" s="18" t="str">
        <f>IF('Step 15 - Final Approval'!B43="","","Organization Code")</f>
        <v/>
      </c>
      <c r="J746" s="17" t="str">
        <f>IF('Step 15 - Final Approval'!B43="","","Equals")</f>
        <v/>
      </c>
      <c r="K746" s="18" t="str">
        <f>IF('Step 15 - Final Approval'!B43="","",'Step 15 - Final Approval'!D43)</f>
        <v/>
      </c>
      <c r="L746" s="18" t="str">
        <f>IF('Step 15 - Final Approval'!B43="","","Other Criteria")</f>
        <v/>
      </c>
      <c r="M746" s="17" t="str">
        <f>IF('Step 15 - Final Approval'!B43="","","Equals")</f>
        <v/>
      </c>
      <c r="N746" s="18" t="str">
        <f>IF('Step 15 - Final Approval'!B43="","",'Step 15 - Final Approval'!E43)</f>
        <v/>
      </c>
      <c r="O746" s="18" t="str">
        <f>IF('Step 15 - Final Approval'!B43="","",IF('Step 15 - Final Approval'!F43="","","Total"))</f>
        <v/>
      </c>
      <c r="P746" s="17" t="str">
        <f>IF('Step 15 - Final Approval'!B43="","",IF('Step 15 - Final Approval'!F43="","","&gt;="))</f>
        <v/>
      </c>
      <c r="Q746" s="18" t="str">
        <f>IF('Step 15 - Final Approval'!B43="","",IF('Step 15 - Final Approval'!F43="","",'Step 15 - Final Approval'!F43))</f>
        <v/>
      </c>
      <c r="R746" s="18" t="str">
        <f>""</f>
        <v/>
      </c>
      <c r="S746" s="18" t="str">
        <f>""</f>
        <v/>
      </c>
      <c r="T746" s="18" t="str">
        <f>""</f>
        <v/>
      </c>
      <c r="U746" s="18" t="str">
        <f>IF('Step 15 - Final Approval'!B43="","",'Step 15 - Final Approval'!I43)</f>
        <v/>
      </c>
      <c r="V746" s="17" t="str">
        <f>IF('Step 15 - Final Approval'!B43="","",'Step 15 - Final Approval'!K43)</f>
        <v/>
      </c>
      <c r="W746" s="18" t="str">
        <f>IF('Step 15 - Final Approval'!B43="","",'Step 15 - Final Approval'!L43)</f>
        <v/>
      </c>
      <c r="X746" s="17" t="str">
        <f>IF('Step 15 - Final Approval'!B43="","",'Step 15 - Final Approval'!N43)</f>
        <v/>
      </c>
      <c r="Y746" s="18" t="str">
        <f>""</f>
        <v/>
      </c>
      <c r="Z746" s="18" t="str">
        <f>""</f>
        <v/>
      </c>
      <c r="AA746" s="18" t="str">
        <f>""</f>
        <v/>
      </c>
      <c r="AB746" s="18" t="str">
        <f>""</f>
        <v/>
      </c>
      <c r="AC746" s="18" t="str">
        <f>""</f>
        <v/>
      </c>
      <c r="AD746" s="18" t="str">
        <f>""</f>
        <v/>
      </c>
      <c r="AE746" s="18" t="str">
        <f>""</f>
        <v/>
      </c>
      <c r="AF746" s="18" t="str">
        <f>""</f>
        <v/>
      </c>
      <c r="AG746" s="18" t="str">
        <f>""</f>
        <v/>
      </c>
      <c r="AH746" s="18" t="str">
        <f>""</f>
        <v/>
      </c>
      <c r="AI746" s="18" t="str">
        <f>""</f>
        <v/>
      </c>
      <c r="AJ746" s="18" t="str">
        <f>""</f>
        <v/>
      </c>
      <c r="AK746" s="18" t="str">
        <f>""</f>
        <v/>
      </c>
      <c r="AL746" s="18" t="str">
        <f>""</f>
        <v/>
      </c>
      <c r="AM746" s="18" t="str">
        <f>""</f>
        <v/>
      </c>
    </row>
    <row r="747" spans="1:39" ht="15.75" customHeight="1" x14ac:dyDescent="0.25">
      <c r="A747" s="19" t="str">
        <f>IF('Step 15 - Final Approval'!B44="","","Active")</f>
        <v/>
      </c>
      <c r="B747" s="20" t="str">
        <f>IF('Step 15 - Final Approval'!B44="","",'Step 15 - Final Approval'!B44)</f>
        <v/>
      </c>
      <c r="C747" s="20" t="str">
        <f>IF('Step 15 - Final Approval'!B44="","",'Step 15 - Final Approval'!B44)</f>
        <v/>
      </c>
      <c r="D747" s="19" t="str">
        <f>IF('Step 15 - Final Approval'!B44="","",'Step 15 - Final Approval'!G44)</f>
        <v/>
      </c>
      <c r="E747" s="19" t="str">
        <f>IF('Step 15 - Final Approval'!B44="","",'Step 15 - Final Approval'!H44)</f>
        <v/>
      </c>
      <c r="F747" s="20" t="str">
        <f>IF('Step 15 - Final Approval'!B44="","",IF('Step 15 - Final Approval'!C44="","","Fund Code"))</f>
        <v/>
      </c>
      <c r="G747" s="19" t="str">
        <f>IF('Step 15 - Final Approval'!B44="","",IF('Step 15 - Final Approval'!C44="","","Equals"))</f>
        <v/>
      </c>
      <c r="H747" s="20" t="str">
        <f>IF('Step 15 - Final Approval'!B44="","",IF('Step 15 - Final Approval'!C44="","",'Step 15 - Final Approval'!C44))</f>
        <v/>
      </c>
      <c r="I747" s="20" t="str">
        <f>IF('Step 15 - Final Approval'!B44="","","Organization Code")</f>
        <v/>
      </c>
      <c r="J747" s="19" t="str">
        <f>IF('Step 15 - Final Approval'!B44="","","Equals")</f>
        <v/>
      </c>
      <c r="K747" s="20" t="str">
        <f>IF('Step 15 - Final Approval'!B44="","",'Step 15 - Final Approval'!D44)</f>
        <v/>
      </c>
      <c r="L747" s="20" t="str">
        <f>IF('Step 15 - Final Approval'!B44="","","Other Criteria")</f>
        <v/>
      </c>
      <c r="M747" s="19" t="str">
        <f>IF('Step 15 - Final Approval'!B44="","","Equals")</f>
        <v/>
      </c>
      <c r="N747" s="20" t="str">
        <f>IF('Step 15 - Final Approval'!B44="","",'Step 15 - Final Approval'!E44)</f>
        <v/>
      </c>
      <c r="O747" s="20" t="str">
        <f>IF('Step 15 - Final Approval'!B44="","",IF('Step 15 - Final Approval'!F44="","","Total"))</f>
        <v/>
      </c>
      <c r="P747" s="19" t="str">
        <f>IF('Step 15 - Final Approval'!B44="","",IF('Step 15 - Final Approval'!F44="","","&gt;="))</f>
        <v/>
      </c>
      <c r="Q747" s="20" t="str">
        <f>IF('Step 15 - Final Approval'!B44="","",IF('Step 15 - Final Approval'!F44="","",'Step 15 - Final Approval'!F44))</f>
        <v/>
      </c>
      <c r="R747" s="20" t="str">
        <f>""</f>
        <v/>
      </c>
      <c r="S747" s="20" t="str">
        <f>""</f>
        <v/>
      </c>
      <c r="T747" s="20" t="str">
        <f>""</f>
        <v/>
      </c>
      <c r="U747" s="20" t="str">
        <f>IF('Step 15 - Final Approval'!B44="","",'Step 15 - Final Approval'!I44)</f>
        <v/>
      </c>
      <c r="V747" s="19" t="str">
        <f>IF('Step 15 - Final Approval'!B44="","",'Step 15 - Final Approval'!K44)</f>
        <v/>
      </c>
      <c r="W747" s="20" t="str">
        <f>IF('Step 15 - Final Approval'!B44="","",'Step 15 - Final Approval'!L44)</f>
        <v/>
      </c>
      <c r="X747" s="19" t="str">
        <f>IF('Step 15 - Final Approval'!B44="","",'Step 15 - Final Approval'!N44)</f>
        <v/>
      </c>
      <c r="Y747" s="20" t="str">
        <f>""</f>
        <v/>
      </c>
      <c r="Z747" s="20" t="str">
        <f>""</f>
        <v/>
      </c>
      <c r="AA747" s="20" t="str">
        <f>""</f>
        <v/>
      </c>
      <c r="AB747" s="20" t="str">
        <f>""</f>
        <v/>
      </c>
      <c r="AC747" s="20" t="str">
        <f>""</f>
        <v/>
      </c>
      <c r="AD747" s="20" t="str">
        <f>""</f>
        <v/>
      </c>
      <c r="AE747" s="20" t="str">
        <f>""</f>
        <v/>
      </c>
      <c r="AF747" s="20" t="str">
        <f>""</f>
        <v/>
      </c>
      <c r="AG747" s="20" t="str">
        <f>""</f>
        <v/>
      </c>
      <c r="AH747" s="20" t="str">
        <f>""</f>
        <v/>
      </c>
      <c r="AI747" s="20" t="str">
        <f>""</f>
        <v/>
      </c>
      <c r="AJ747" s="20" t="str">
        <f>""</f>
        <v/>
      </c>
      <c r="AK747" s="20" t="str">
        <f>""</f>
        <v/>
      </c>
      <c r="AL747" s="20" t="str">
        <f>""</f>
        <v/>
      </c>
      <c r="AM747" s="20" t="str">
        <f>""</f>
        <v/>
      </c>
    </row>
    <row r="748" spans="1:39" ht="15.75" customHeight="1" x14ac:dyDescent="0.25">
      <c r="A748" s="17" t="str">
        <f>IF('Step 15 - Final Approval'!B45="","","Active")</f>
        <v/>
      </c>
      <c r="B748" s="18" t="str">
        <f>IF('Step 15 - Final Approval'!B45="","",'Step 15 - Final Approval'!B45)</f>
        <v/>
      </c>
      <c r="C748" s="18" t="str">
        <f>IF('Step 15 - Final Approval'!B45="","",'Step 15 - Final Approval'!B45)</f>
        <v/>
      </c>
      <c r="D748" s="17" t="str">
        <f>IF('Step 15 - Final Approval'!B45="","",'Step 15 - Final Approval'!G45)</f>
        <v/>
      </c>
      <c r="E748" s="17" t="str">
        <f>IF('Step 15 - Final Approval'!B45="","",'Step 15 - Final Approval'!H45)</f>
        <v/>
      </c>
      <c r="F748" s="18" t="str">
        <f>IF('Step 15 - Final Approval'!B45="","",IF('Step 15 - Final Approval'!C45="","","Fund Code"))</f>
        <v/>
      </c>
      <c r="G748" s="17" t="str">
        <f>IF('Step 15 - Final Approval'!B45="","",IF('Step 15 - Final Approval'!C45="","","Equals"))</f>
        <v/>
      </c>
      <c r="H748" s="18" t="str">
        <f>IF('Step 15 - Final Approval'!B45="","",IF('Step 15 - Final Approval'!C45="","",'Step 15 - Final Approval'!C45))</f>
        <v/>
      </c>
      <c r="I748" s="18" t="str">
        <f>IF('Step 15 - Final Approval'!B45="","","Organization Code")</f>
        <v/>
      </c>
      <c r="J748" s="17" t="str">
        <f>IF('Step 15 - Final Approval'!B45="","","Equals")</f>
        <v/>
      </c>
      <c r="K748" s="18" t="str">
        <f>IF('Step 15 - Final Approval'!B45="","",'Step 15 - Final Approval'!D45)</f>
        <v/>
      </c>
      <c r="L748" s="18" t="str">
        <f>IF('Step 15 - Final Approval'!B45="","","Other Criteria")</f>
        <v/>
      </c>
      <c r="M748" s="17" t="str">
        <f>IF('Step 15 - Final Approval'!B45="","","Equals")</f>
        <v/>
      </c>
      <c r="N748" s="18" t="str">
        <f>IF('Step 15 - Final Approval'!B45="","",'Step 15 - Final Approval'!E45)</f>
        <v/>
      </c>
      <c r="O748" s="18" t="str">
        <f>IF('Step 15 - Final Approval'!B45="","",IF('Step 15 - Final Approval'!F45="","","Total"))</f>
        <v/>
      </c>
      <c r="P748" s="17" t="str">
        <f>IF('Step 15 - Final Approval'!B45="","",IF('Step 15 - Final Approval'!F45="","","&gt;="))</f>
        <v/>
      </c>
      <c r="Q748" s="18" t="str">
        <f>IF('Step 15 - Final Approval'!B45="","",IF('Step 15 - Final Approval'!F45="","",'Step 15 - Final Approval'!F45))</f>
        <v/>
      </c>
      <c r="R748" s="18" t="str">
        <f>""</f>
        <v/>
      </c>
      <c r="S748" s="18" t="str">
        <f>""</f>
        <v/>
      </c>
      <c r="T748" s="18" t="str">
        <f>""</f>
        <v/>
      </c>
      <c r="U748" s="18" t="str">
        <f>IF('Step 15 - Final Approval'!B45="","",'Step 15 - Final Approval'!I45)</f>
        <v/>
      </c>
      <c r="V748" s="17" t="str">
        <f>IF('Step 15 - Final Approval'!B45="","",'Step 15 - Final Approval'!K45)</f>
        <v/>
      </c>
      <c r="W748" s="18" t="str">
        <f>IF('Step 15 - Final Approval'!B45="","",'Step 15 - Final Approval'!L45)</f>
        <v/>
      </c>
      <c r="X748" s="17" t="str">
        <f>IF('Step 15 - Final Approval'!B45="","",'Step 15 - Final Approval'!N45)</f>
        <v/>
      </c>
      <c r="Y748" s="18" t="str">
        <f>""</f>
        <v/>
      </c>
      <c r="Z748" s="18" t="str">
        <f>""</f>
        <v/>
      </c>
      <c r="AA748" s="18" t="str">
        <f>""</f>
        <v/>
      </c>
      <c r="AB748" s="18" t="str">
        <f>""</f>
        <v/>
      </c>
      <c r="AC748" s="18" t="str">
        <f>""</f>
        <v/>
      </c>
      <c r="AD748" s="18" t="str">
        <f>""</f>
        <v/>
      </c>
      <c r="AE748" s="18" t="str">
        <f>""</f>
        <v/>
      </c>
      <c r="AF748" s="18" t="str">
        <f>""</f>
        <v/>
      </c>
      <c r="AG748" s="18" t="str">
        <f>""</f>
        <v/>
      </c>
      <c r="AH748" s="18" t="str">
        <f>""</f>
        <v/>
      </c>
      <c r="AI748" s="18" t="str">
        <f>""</f>
        <v/>
      </c>
      <c r="AJ748" s="18" t="str">
        <f>""</f>
        <v/>
      </c>
      <c r="AK748" s="18" t="str">
        <f>""</f>
        <v/>
      </c>
      <c r="AL748" s="18" t="str">
        <f>""</f>
        <v/>
      </c>
      <c r="AM748" s="18" t="str">
        <f>""</f>
        <v/>
      </c>
    </row>
    <row r="749" spans="1:39" ht="15.75" customHeight="1" x14ac:dyDescent="0.25">
      <c r="A749" s="19" t="str">
        <f>IF('Step 15 - Final Approval'!B46="","","Active")</f>
        <v/>
      </c>
      <c r="B749" s="20" t="str">
        <f>IF('Step 15 - Final Approval'!B46="","",'Step 15 - Final Approval'!B46)</f>
        <v/>
      </c>
      <c r="C749" s="20" t="str">
        <f>IF('Step 15 - Final Approval'!B46="","",'Step 15 - Final Approval'!B46)</f>
        <v/>
      </c>
      <c r="D749" s="19" t="str">
        <f>IF('Step 15 - Final Approval'!B46="","",'Step 15 - Final Approval'!G46)</f>
        <v/>
      </c>
      <c r="E749" s="19" t="str">
        <f>IF('Step 15 - Final Approval'!B46="","",'Step 15 - Final Approval'!H46)</f>
        <v/>
      </c>
      <c r="F749" s="20" t="str">
        <f>IF('Step 15 - Final Approval'!B46="","",IF('Step 15 - Final Approval'!C46="","","Fund Code"))</f>
        <v/>
      </c>
      <c r="G749" s="19" t="str">
        <f>IF('Step 15 - Final Approval'!B46="","",IF('Step 15 - Final Approval'!C46="","","Equals"))</f>
        <v/>
      </c>
      <c r="H749" s="20" t="str">
        <f>IF('Step 15 - Final Approval'!B46="","",IF('Step 15 - Final Approval'!C46="","",'Step 15 - Final Approval'!C46))</f>
        <v/>
      </c>
      <c r="I749" s="20" t="str">
        <f>IF('Step 15 - Final Approval'!B46="","","Organization Code")</f>
        <v/>
      </c>
      <c r="J749" s="19" t="str">
        <f>IF('Step 15 - Final Approval'!B46="","","Equals")</f>
        <v/>
      </c>
      <c r="K749" s="20" t="str">
        <f>IF('Step 15 - Final Approval'!B46="","",'Step 15 - Final Approval'!D46)</f>
        <v/>
      </c>
      <c r="L749" s="20" t="str">
        <f>IF('Step 15 - Final Approval'!B46="","","Other Criteria")</f>
        <v/>
      </c>
      <c r="M749" s="19" t="str">
        <f>IF('Step 15 - Final Approval'!B46="","","Equals")</f>
        <v/>
      </c>
      <c r="N749" s="20" t="str">
        <f>IF('Step 15 - Final Approval'!B46="","",'Step 15 - Final Approval'!E46)</f>
        <v/>
      </c>
      <c r="O749" s="20" t="str">
        <f>IF('Step 15 - Final Approval'!B46="","",IF('Step 15 - Final Approval'!F46="","","Total"))</f>
        <v/>
      </c>
      <c r="P749" s="19" t="str">
        <f>IF('Step 15 - Final Approval'!B46="","",IF('Step 15 - Final Approval'!F46="","","&gt;="))</f>
        <v/>
      </c>
      <c r="Q749" s="20" t="str">
        <f>IF('Step 15 - Final Approval'!B46="","",IF('Step 15 - Final Approval'!F46="","",'Step 15 - Final Approval'!F46))</f>
        <v/>
      </c>
      <c r="R749" s="20" t="str">
        <f>""</f>
        <v/>
      </c>
      <c r="S749" s="20" t="str">
        <f>""</f>
        <v/>
      </c>
      <c r="T749" s="20" t="str">
        <f>""</f>
        <v/>
      </c>
      <c r="U749" s="20" t="str">
        <f>IF('Step 15 - Final Approval'!B46="","",'Step 15 - Final Approval'!I46)</f>
        <v/>
      </c>
      <c r="V749" s="19" t="str">
        <f>IF('Step 15 - Final Approval'!B46="","",'Step 15 - Final Approval'!K46)</f>
        <v/>
      </c>
      <c r="W749" s="20" t="str">
        <f>IF('Step 15 - Final Approval'!B46="","",'Step 15 - Final Approval'!L46)</f>
        <v/>
      </c>
      <c r="X749" s="19" t="str">
        <f>IF('Step 15 - Final Approval'!B46="","",'Step 15 - Final Approval'!N46)</f>
        <v/>
      </c>
      <c r="Y749" s="20" t="str">
        <f>""</f>
        <v/>
      </c>
      <c r="Z749" s="20" t="str">
        <f>""</f>
        <v/>
      </c>
      <c r="AA749" s="20" t="str">
        <f>""</f>
        <v/>
      </c>
      <c r="AB749" s="20" t="str">
        <f>""</f>
        <v/>
      </c>
      <c r="AC749" s="20" t="str">
        <f>""</f>
        <v/>
      </c>
      <c r="AD749" s="20" t="str">
        <f>""</f>
        <v/>
      </c>
      <c r="AE749" s="20" t="str">
        <f>""</f>
        <v/>
      </c>
      <c r="AF749" s="20" t="str">
        <f>""</f>
        <v/>
      </c>
      <c r="AG749" s="20" t="str">
        <f>""</f>
        <v/>
      </c>
      <c r="AH749" s="20" t="str">
        <f>""</f>
        <v/>
      </c>
      <c r="AI749" s="20" t="str">
        <f>""</f>
        <v/>
      </c>
      <c r="AJ749" s="20" t="str">
        <f>""</f>
        <v/>
      </c>
      <c r="AK749" s="20" t="str">
        <f>""</f>
        <v/>
      </c>
      <c r="AL749" s="20" t="str">
        <f>""</f>
        <v/>
      </c>
      <c r="AM749" s="20" t="str">
        <f>""</f>
        <v/>
      </c>
    </row>
    <row r="750" spans="1:39" ht="15.75" customHeight="1" x14ac:dyDescent="0.25">
      <c r="A750" s="17" t="str">
        <f>IF('Step 15 - Final Approval'!B47="","","Active")</f>
        <v/>
      </c>
      <c r="B750" s="18" t="str">
        <f>IF('Step 15 - Final Approval'!B47="","",'Step 15 - Final Approval'!B47)</f>
        <v/>
      </c>
      <c r="C750" s="18" t="str">
        <f>IF('Step 15 - Final Approval'!B47="","",'Step 15 - Final Approval'!B47)</f>
        <v/>
      </c>
      <c r="D750" s="17" t="str">
        <f>IF('Step 15 - Final Approval'!B47="","",'Step 15 - Final Approval'!G47)</f>
        <v/>
      </c>
      <c r="E750" s="17" t="str">
        <f>IF('Step 15 - Final Approval'!B47="","",'Step 15 - Final Approval'!H47)</f>
        <v/>
      </c>
      <c r="F750" s="18" t="str">
        <f>IF('Step 15 - Final Approval'!B47="","",IF('Step 15 - Final Approval'!C47="","","Fund Code"))</f>
        <v/>
      </c>
      <c r="G750" s="17" t="str">
        <f>IF('Step 15 - Final Approval'!B47="","",IF('Step 15 - Final Approval'!C47="","","Equals"))</f>
        <v/>
      </c>
      <c r="H750" s="18" t="str">
        <f>IF('Step 15 - Final Approval'!B47="","",IF('Step 15 - Final Approval'!C47="","",'Step 15 - Final Approval'!C47))</f>
        <v/>
      </c>
      <c r="I750" s="18" t="str">
        <f>IF('Step 15 - Final Approval'!B47="","","Organization Code")</f>
        <v/>
      </c>
      <c r="J750" s="17" t="str">
        <f>IF('Step 15 - Final Approval'!B47="","","Equals")</f>
        <v/>
      </c>
      <c r="K750" s="18" t="str">
        <f>IF('Step 15 - Final Approval'!B47="","",'Step 15 - Final Approval'!D47)</f>
        <v/>
      </c>
      <c r="L750" s="18" t="str">
        <f>IF('Step 15 - Final Approval'!B47="","","Other Criteria")</f>
        <v/>
      </c>
      <c r="M750" s="17" t="str">
        <f>IF('Step 15 - Final Approval'!B47="","","Equals")</f>
        <v/>
      </c>
      <c r="N750" s="18" t="str">
        <f>IF('Step 15 - Final Approval'!B47="","",'Step 15 - Final Approval'!E47)</f>
        <v/>
      </c>
      <c r="O750" s="18" t="str">
        <f>IF('Step 15 - Final Approval'!B47="","",IF('Step 15 - Final Approval'!F47="","","Total"))</f>
        <v/>
      </c>
      <c r="P750" s="17" t="str">
        <f>IF('Step 15 - Final Approval'!B47="","",IF('Step 15 - Final Approval'!F47="","","&gt;="))</f>
        <v/>
      </c>
      <c r="Q750" s="18" t="str">
        <f>IF('Step 15 - Final Approval'!B47="","",IF('Step 15 - Final Approval'!F47="","",'Step 15 - Final Approval'!F47))</f>
        <v/>
      </c>
      <c r="R750" s="18" t="str">
        <f>""</f>
        <v/>
      </c>
      <c r="S750" s="18" t="str">
        <f>""</f>
        <v/>
      </c>
      <c r="T750" s="18" t="str">
        <f>""</f>
        <v/>
      </c>
      <c r="U750" s="18" t="str">
        <f>IF('Step 15 - Final Approval'!B47="","",'Step 15 - Final Approval'!I47)</f>
        <v/>
      </c>
      <c r="V750" s="17" t="str">
        <f>IF('Step 15 - Final Approval'!B47="","",'Step 15 - Final Approval'!K47)</f>
        <v/>
      </c>
      <c r="W750" s="18" t="str">
        <f>IF('Step 15 - Final Approval'!B47="","",'Step 15 - Final Approval'!L47)</f>
        <v/>
      </c>
      <c r="X750" s="17" t="str">
        <f>IF('Step 15 - Final Approval'!B47="","",'Step 15 - Final Approval'!N47)</f>
        <v/>
      </c>
      <c r="Y750" s="18" t="str">
        <f>""</f>
        <v/>
      </c>
      <c r="Z750" s="18" t="str">
        <f>""</f>
        <v/>
      </c>
      <c r="AA750" s="18" t="str">
        <f>""</f>
        <v/>
      </c>
      <c r="AB750" s="18" t="str">
        <f>""</f>
        <v/>
      </c>
      <c r="AC750" s="18" t="str">
        <f>""</f>
        <v/>
      </c>
      <c r="AD750" s="18" t="str">
        <f>""</f>
        <v/>
      </c>
      <c r="AE750" s="18" t="str">
        <f>""</f>
        <v/>
      </c>
      <c r="AF750" s="18" t="str">
        <f>""</f>
        <v/>
      </c>
      <c r="AG750" s="18" t="str">
        <f>""</f>
        <v/>
      </c>
      <c r="AH750" s="18" t="str">
        <f>""</f>
        <v/>
      </c>
      <c r="AI750" s="18" t="str">
        <f>""</f>
        <v/>
      </c>
      <c r="AJ750" s="18" t="str">
        <f>""</f>
        <v/>
      </c>
      <c r="AK750" s="18" t="str">
        <f>""</f>
        <v/>
      </c>
      <c r="AL750" s="18" t="str">
        <f>""</f>
        <v/>
      </c>
      <c r="AM750" s="18" t="str">
        <f>""</f>
        <v/>
      </c>
    </row>
    <row r="751" spans="1:39" ht="15.75" customHeight="1" x14ac:dyDescent="0.25">
      <c r="A751" s="19" t="str">
        <f>IF('Step 15 - Final Approval'!B48="","","Active")</f>
        <v/>
      </c>
      <c r="B751" s="20" t="str">
        <f>IF('Step 15 - Final Approval'!B48="","",'Step 15 - Final Approval'!B48)</f>
        <v/>
      </c>
      <c r="C751" s="20" t="str">
        <f>IF('Step 15 - Final Approval'!B48="","",'Step 15 - Final Approval'!B48)</f>
        <v/>
      </c>
      <c r="D751" s="19" t="str">
        <f>IF('Step 15 - Final Approval'!B48="","",'Step 15 - Final Approval'!G48)</f>
        <v/>
      </c>
      <c r="E751" s="19" t="str">
        <f>IF('Step 15 - Final Approval'!B48="","",'Step 15 - Final Approval'!H48)</f>
        <v/>
      </c>
      <c r="F751" s="20" t="str">
        <f>IF('Step 15 - Final Approval'!B48="","",IF('Step 15 - Final Approval'!C48="","","Fund Code"))</f>
        <v/>
      </c>
      <c r="G751" s="19" t="str">
        <f>IF('Step 15 - Final Approval'!B48="","",IF('Step 15 - Final Approval'!C48="","","Equals"))</f>
        <v/>
      </c>
      <c r="H751" s="20" t="str">
        <f>IF('Step 15 - Final Approval'!B48="","",IF('Step 15 - Final Approval'!C48="","",'Step 15 - Final Approval'!C48))</f>
        <v/>
      </c>
      <c r="I751" s="20" t="str">
        <f>IF('Step 15 - Final Approval'!B48="","","Organization Code")</f>
        <v/>
      </c>
      <c r="J751" s="19" t="str">
        <f>IF('Step 15 - Final Approval'!B48="","","Equals")</f>
        <v/>
      </c>
      <c r="K751" s="20" t="str">
        <f>IF('Step 15 - Final Approval'!B48="","",'Step 15 - Final Approval'!D48)</f>
        <v/>
      </c>
      <c r="L751" s="20" t="str">
        <f>IF('Step 15 - Final Approval'!B48="","","Other Criteria")</f>
        <v/>
      </c>
      <c r="M751" s="19" t="str">
        <f>IF('Step 15 - Final Approval'!B48="","","Equals")</f>
        <v/>
      </c>
      <c r="N751" s="20" t="str">
        <f>IF('Step 15 - Final Approval'!B48="","",'Step 15 - Final Approval'!E48)</f>
        <v/>
      </c>
      <c r="O751" s="20" t="str">
        <f>IF('Step 15 - Final Approval'!B48="","",IF('Step 15 - Final Approval'!F48="","","Total"))</f>
        <v/>
      </c>
      <c r="P751" s="19" t="str">
        <f>IF('Step 15 - Final Approval'!B48="","",IF('Step 15 - Final Approval'!F48="","","&gt;="))</f>
        <v/>
      </c>
      <c r="Q751" s="20" t="str">
        <f>IF('Step 15 - Final Approval'!B48="","",IF('Step 15 - Final Approval'!F48="","",'Step 15 - Final Approval'!F48))</f>
        <v/>
      </c>
      <c r="R751" s="20" t="str">
        <f>""</f>
        <v/>
      </c>
      <c r="S751" s="20" t="str">
        <f>""</f>
        <v/>
      </c>
      <c r="T751" s="20" t="str">
        <f>""</f>
        <v/>
      </c>
      <c r="U751" s="20" t="str">
        <f>IF('Step 15 - Final Approval'!B48="","",'Step 15 - Final Approval'!I48)</f>
        <v/>
      </c>
      <c r="V751" s="19" t="str">
        <f>IF('Step 15 - Final Approval'!B48="","",'Step 15 - Final Approval'!K48)</f>
        <v/>
      </c>
      <c r="W751" s="20" t="str">
        <f>IF('Step 15 - Final Approval'!B48="","",'Step 15 - Final Approval'!L48)</f>
        <v/>
      </c>
      <c r="X751" s="19" t="str">
        <f>IF('Step 15 - Final Approval'!B48="","",'Step 15 - Final Approval'!N48)</f>
        <v/>
      </c>
      <c r="Y751" s="20" t="str">
        <f>""</f>
        <v/>
      </c>
      <c r="Z751" s="20" t="str">
        <f>""</f>
        <v/>
      </c>
      <c r="AA751" s="20" t="str">
        <f>""</f>
        <v/>
      </c>
      <c r="AB751" s="20" t="str">
        <f>""</f>
        <v/>
      </c>
      <c r="AC751" s="20" t="str">
        <f>""</f>
        <v/>
      </c>
      <c r="AD751" s="20" t="str">
        <f>""</f>
        <v/>
      </c>
      <c r="AE751" s="20" t="str">
        <f>""</f>
        <v/>
      </c>
      <c r="AF751" s="20" t="str">
        <f>""</f>
        <v/>
      </c>
      <c r="AG751" s="20" t="str">
        <f>""</f>
        <v/>
      </c>
      <c r="AH751" s="20" t="str">
        <f>""</f>
        <v/>
      </c>
      <c r="AI751" s="20" t="str">
        <f>""</f>
        <v/>
      </c>
      <c r="AJ751" s="20" t="str">
        <f>""</f>
        <v/>
      </c>
      <c r="AK751" s="20" t="str">
        <f>""</f>
        <v/>
      </c>
      <c r="AL751" s="20" t="str">
        <f>""</f>
        <v/>
      </c>
      <c r="AM751" s="20" t="str">
        <f>""</f>
        <v/>
      </c>
    </row>
    <row r="752" spans="1:39" ht="15.75" customHeight="1" x14ac:dyDescent="0.25">
      <c r="A752" s="17" t="str">
        <f>IF('Step 15 - Final Approval'!B49="","","Active")</f>
        <v/>
      </c>
      <c r="B752" s="18" t="str">
        <f>IF('Step 15 - Final Approval'!B49="","",'Step 15 - Final Approval'!B49)</f>
        <v/>
      </c>
      <c r="C752" s="18" t="str">
        <f>IF('Step 15 - Final Approval'!B49="","",'Step 15 - Final Approval'!B49)</f>
        <v/>
      </c>
      <c r="D752" s="17" t="str">
        <f>IF('Step 15 - Final Approval'!B49="","",'Step 15 - Final Approval'!G49)</f>
        <v/>
      </c>
      <c r="E752" s="17" t="str">
        <f>IF('Step 15 - Final Approval'!B49="","",'Step 15 - Final Approval'!H49)</f>
        <v/>
      </c>
      <c r="F752" s="18" t="str">
        <f>IF('Step 15 - Final Approval'!B49="","",IF('Step 15 - Final Approval'!C49="","","Fund Code"))</f>
        <v/>
      </c>
      <c r="G752" s="17" t="str">
        <f>IF('Step 15 - Final Approval'!B49="","",IF('Step 15 - Final Approval'!C49="","","Equals"))</f>
        <v/>
      </c>
      <c r="H752" s="18" t="str">
        <f>IF('Step 15 - Final Approval'!B49="","",IF('Step 15 - Final Approval'!C49="","",'Step 15 - Final Approval'!C49))</f>
        <v/>
      </c>
      <c r="I752" s="18" t="str">
        <f>IF('Step 15 - Final Approval'!B49="","","Organization Code")</f>
        <v/>
      </c>
      <c r="J752" s="17" t="str">
        <f>IF('Step 15 - Final Approval'!B49="","","Equals")</f>
        <v/>
      </c>
      <c r="K752" s="18" t="str">
        <f>IF('Step 15 - Final Approval'!B49="","",'Step 15 - Final Approval'!D49)</f>
        <v/>
      </c>
      <c r="L752" s="18" t="str">
        <f>IF('Step 15 - Final Approval'!B49="","","Other Criteria")</f>
        <v/>
      </c>
      <c r="M752" s="17" t="str">
        <f>IF('Step 15 - Final Approval'!B49="","","Equals")</f>
        <v/>
      </c>
      <c r="N752" s="18" t="str">
        <f>IF('Step 15 - Final Approval'!B49="","",'Step 15 - Final Approval'!E49)</f>
        <v/>
      </c>
      <c r="O752" s="18" t="str">
        <f>IF('Step 15 - Final Approval'!B49="","",IF('Step 15 - Final Approval'!F49="","","Total"))</f>
        <v/>
      </c>
      <c r="P752" s="17" t="str">
        <f>IF('Step 15 - Final Approval'!B49="","",IF('Step 15 - Final Approval'!F49="","","&gt;="))</f>
        <v/>
      </c>
      <c r="Q752" s="18" t="str">
        <f>IF('Step 15 - Final Approval'!B49="","",IF('Step 15 - Final Approval'!F49="","",'Step 15 - Final Approval'!F49))</f>
        <v/>
      </c>
      <c r="R752" s="18" t="str">
        <f>""</f>
        <v/>
      </c>
      <c r="S752" s="18" t="str">
        <f>""</f>
        <v/>
      </c>
      <c r="T752" s="18" t="str">
        <f>""</f>
        <v/>
      </c>
      <c r="U752" s="18" t="str">
        <f>IF('Step 15 - Final Approval'!B49="","",'Step 15 - Final Approval'!I49)</f>
        <v/>
      </c>
      <c r="V752" s="17" t="str">
        <f>IF('Step 15 - Final Approval'!B49="","",'Step 15 - Final Approval'!K49)</f>
        <v/>
      </c>
      <c r="W752" s="18" t="str">
        <f>IF('Step 15 - Final Approval'!B49="","",'Step 15 - Final Approval'!L49)</f>
        <v/>
      </c>
      <c r="X752" s="17" t="str">
        <f>IF('Step 15 - Final Approval'!B49="","",'Step 15 - Final Approval'!N49)</f>
        <v/>
      </c>
      <c r="Y752" s="18" t="str">
        <f>""</f>
        <v/>
      </c>
      <c r="Z752" s="18" t="str">
        <f>""</f>
        <v/>
      </c>
      <c r="AA752" s="18" t="str">
        <f>""</f>
        <v/>
      </c>
      <c r="AB752" s="18" t="str">
        <f>""</f>
        <v/>
      </c>
      <c r="AC752" s="18" t="str">
        <f>""</f>
        <v/>
      </c>
      <c r="AD752" s="18" t="str">
        <f>""</f>
        <v/>
      </c>
      <c r="AE752" s="18" t="str">
        <f>""</f>
        <v/>
      </c>
      <c r="AF752" s="18" t="str">
        <f>""</f>
        <v/>
      </c>
      <c r="AG752" s="18" t="str">
        <f>""</f>
        <v/>
      </c>
      <c r="AH752" s="18" t="str">
        <f>""</f>
        <v/>
      </c>
      <c r="AI752" s="18" t="str">
        <f>""</f>
        <v/>
      </c>
      <c r="AJ752" s="18" t="str">
        <f>""</f>
        <v/>
      </c>
      <c r="AK752" s="18" t="str">
        <f>""</f>
        <v/>
      </c>
      <c r="AL752" s="18" t="str">
        <f>""</f>
        <v/>
      </c>
      <c r="AM752" s="18" t="str">
        <f>""</f>
        <v/>
      </c>
    </row>
    <row r="753" spans="1:39" ht="15.75" customHeight="1" x14ac:dyDescent="0.25">
      <c r="A753" s="19" t="str">
        <f>IF('Step 15 - Final Approval'!B50="","","Active")</f>
        <v/>
      </c>
      <c r="B753" s="20" t="str">
        <f>IF('Step 15 - Final Approval'!B50="","",'Step 15 - Final Approval'!B50)</f>
        <v/>
      </c>
      <c r="C753" s="20" t="str">
        <f>IF('Step 15 - Final Approval'!B50="","",'Step 15 - Final Approval'!B50)</f>
        <v/>
      </c>
      <c r="D753" s="19" t="str">
        <f>IF('Step 15 - Final Approval'!B50="","",'Step 15 - Final Approval'!G50)</f>
        <v/>
      </c>
      <c r="E753" s="19" t="str">
        <f>IF('Step 15 - Final Approval'!B50="","",'Step 15 - Final Approval'!H50)</f>
        <v/>
      </c>
      <c r="F753" s="20" t="str">
        <f>IF('Step 15 - Final Approval'!B50="","",IF('Step 15 - Final Approval'!C50="","","Fund Code"))</f>
        <v/>
      </c>
      <c r="G753" s="19" t="str">
        <f>IF('Step 15 - Final Approval'!B50="","",IF('Step 15 - Final Approval'!C50="","","Equals"))</f>
        <v/>
      </c>
      <c r="H753" s="20" t="str">
        <f>IF('Step 15 - Final Approval'!B50="","",IF('Step 15 - Final Approval'!C50="","",'Step 15 - Final Approval'!C50))</f>
        <v/>
      </c>
      <c r="I753" s="20" t="str">
        <f>IF('Step 15 - Final Approval'!B50="","","Organization Code")</f>
        <v/>
      </c>
      <c r="J753" s="19" t="str">
        <f>IF('Step 15 - Final Approval'!B50="","","Equals")</f>
        <v/>
      </c>
      <c r="K753" s="20" t="str">
        <f>IF('Step 15 - Final Approval'!B50="","",'Step 15 - Final Approval'!D50)</f>
        <v/>
      </c>
      <c r="L753" s="20" t="str">
        <f>IF('Step 15 - Final Approval'!B50="","","Other Criteria")</f>
        <v/>
      </c>
      <c r="M753" s="19" t="str">
        <f>IF('Step 15 - Final Approval'!B50="","","Equals")</f>
        <v/>
      </c>
      <c r="N753" s="20" t="str">
        <f>IF('Step 15 - Final Approval'!B50="","",'Step 15 - Final Approval'!E50)</f>
        <v/>
      </c>
      <c r="O753" s="20" t="str">
        <f>IF('Step 15 - Final Approval'!B50="","",IF('Step 15 - Final Approval'!F50="","","Total"))</f>
        <v/>
      </c>
      <c r="P753" s="19" t="str">
        <f>IF('Step 15 - Final Approval'!B50="","",IF('Step 15 - Final Approval'!F50="","","&gt;="))</f>
        <v/>
      </c>
      <c r="Q753" s="20" t="str">
        <f>IF('Step 15 - Final Approval'!B50="","",IF('Step 15 - Final Approval'!F50="","",'Step 15 - Final Approval'!F50))</f>
        <v/>
      </c>
      <c r="R753" s="20" t="str">
        <f>""</f>
        <v/>
      </c>
      <c r="S753" s="20" t="str">
        <f>""</f>
        <v/>
      </c>
      <c r="T753" s="20" t="str">
        <f>""</f>
        <v/>
      </c>
      <c r="U753" s="20" t="str">
        <f>IF('Step 15 - Final Approval'!B50="","",'Step 15 - Final Approval'!I50)</f>
        <v/>
      </c>
      <c r="V753" s="19" t="str">
        <f>IF('Step 15 - Final Approval'!B50="","",'Step 15 - Final Approval'!K50)</f>
        <v/>
      </c>
      <c r="W753" s="20" t="str">
        <f>IF('Step 15 - Final Approval'!B50="","",'Step 15 - Final Approval'!L50)</f>
        <v/>
      </c>
      <c r="X753" s="19" t="str">
        <f>IF('Step 15 - Final Approval'!B50="","",'Step 15 - Final Approval'!N50)</f>
        <v/>
      </c>
      <c r="Y753" s="20" t="str">
        <f>""</f>
        <v/>
      </c>
      <c r="Z753" s="20" t="str">
        <f>""</f>
        <v/>
      </c>
      <c r="AA753" s="20" t="str">
        <f>""</f>
        <v/>
      </c>
      <c r="AB753" s="20" t="str">
        <f>""</f>
        <v/>
      </c>
      <c r="AC753" s="20" t="str">
        <f>""</f>
        <v/>
      </c>
      <c r="AD753" s="20" t="str">
        <f>""</f>
        <v/>
      </c>
      <c r="AE753" s="20" t="str">
        <f>""</f>
        <v/>
      </c>
      <c r="AF753" s="20" t="str">
        <f>""</f>
        <v/>
      </c>
      <c r="AG753" s="20" t="str">
        <f>""</f>
        <v/>
      </c>
      <c r="AH753" s="20" t="str">
        <f>""</f>
        <v/>
      </c>
      <c r="AI753" s="20" t="str">
        <f>""</f>
        <v/>
      </c>
      <c r="AJ753" s="20" t="str">
        <f>""</f>
        <v/>
      </c>
      <c r="AK753" s="20" t="str">
        <f>""</f>
        <v/>
      </c>
      <c r="AL753" s="20" t="str">
        <f>""</f>
        <v/>
      </c>
      <c r="AM753" s="20" t="str">
        <f>""</f>
        <v/>
      </c>
    </row>
    <row r="754" spans="1:39" ht="15.75" customHeight="1" x14ac:dyDescent="0.25">
      <c r="A754" s="17" t="str">
        <f>IF('Step 15 - Final Approval'!B51="","","Active")</f>
        <v/>
      </c>
      <c r="B754" s="18" t="str">
        <f>IF('Step 15 - Final Approval'!B51="","",'Step 15 - Final Approval'!B51)</f>
        <v/>
      </c>
      <c r="C754" s="18" t="str">
        <f>IF('Step 15 - Final Approval'!B51="","",'Step 15 - Final Approval'!B51)</f>
        <v/>
      </c>
      <c r="D754" s="17" t="str">
        <f>IF('Step 15 - Final Approval'!B51="","",'Step 15 - Final Approval'!G51)</f>
        <v/>
      </c>
      <c r="E754" s="17" t="str">
        <f>IF('Step 15 - Final Approval'!B51="","",'Step 15 - Final Approval'!H51)</f>
        <v/>
      </c>
      <c r="F754" s="18" t="str">
        <f>IF('Step 15 - Final Approval'!B51="","",IF('Step 15 - Final Approval'!C51="","","Fund Code"))</f>
        <v/>
      </c>
      <c r="G754" s="17" t="str">
        <f>IF('Step 15 - Final Approval'!B51="","",IF('Step 15 - Final Approval'!C51="","","Equals"))</f>
        <v/>
      </c>
      <c r="H754" s="18" t="str">
        <f>IF('Step 15 - Final Approval'!B51="","",IF('Step 15 - Final Approval'!C51="","",'Step 15 - Final Approval'!C51))</f>
        <v/>
      </c>
      <c r="I754" s="18" t="str">
        <f>IF('Step 15 - Final Approval'!B51="","","Organization Code")</f>
        <v/>
      </c>
      <c r="J754" s="17" t="str">
        <f>IF('Step 15 - Final Approval'!B51="","","Equals")</f>
        <v/>
      </c>
      <c r="K754" s="18" t="str">
        <f>IF('Step 15 - Final Approval'!B51="","",'Step 15 - Final Approval'!D51)</f>
        <v/>
      </c>
      <c r="L754" s="18" t="str">
        <f>IF('Step 15 - Final Approval'!B51="","","Other Criteria")</f>
        <v/>
      </c>
      <c r="M754" s="17" t="str">
        <f>IF('Step 15 - Final Approval'!B51="","","Equals")</f>
        <v/>
      </c>
      <c r="N754" s="18" t="str">
        <f>IF('Step 15 - Final Approval'!B51="","",'Step 15 - Final Approval'!E51)</f>
        <v/>
      </c>
      <c r="O754" s="18" t="str">
        <f>IF('Step 15 - Final Approval'!B51="","",IF('Step 15 - Final Approval'!F51="","","Total"))</f>
        <v/>
      </c>
      <c r="P754" s="17" t="str">
        <f>IF('Step 15 - Final Approval'!B51="","",IF('Step 15 - Final Approval'!F51="","","&gt;="))</f>
        <v/>
      </c>
      <c r="Q754" s="18" t="str">
        <f>IF('Step 15 - Final Approval'!B51="","",IF('Step 15 - Final Approval'!F51="","",'Step 15 - Final Approval'!F51))</f>
        <v/>
      </c>
      <c r="R754" s="18" t="str">
        <f>""</f>
        <v/>
      </c>
      <c r="S754" s="18" t="str">
        <f>""</f>
        <v/>
      </c>
      <c r="T754" s="18" t="str">
        <f>""</f>
        <v/>
      </c>
      <c r="U754" s="18" t="str">
        <f>IF('Step 15 - Final Approval'!B51="","",'Step 15 - Final Approval'!I51)</f>
        <v/>
      </c>
      <c r="V754" s="17" t="str">
        <f>IF('Step 15 - Final Approval'!B51="","",'Step 15 - Final Approval'!K51)</f>
        <v/>
      </c>
      <c r="W754" s="18" t="str">
        <f>IF('Step 15 - Final Approval'!B51="","",'Step 15 - Final Approval'!L51)</f>
        <v/>
      </c>
      <c r="X754" s="17" t="str">
        <f>IF('Step 15 - Final Approval'!B51="","",'Step 15 - Final Approval'!N51)</f>
        <v/>
      </c>
      <c r="Y754" s="18" t="str">
        <f>""</f>
        <v/>
      </c>
      <c r="Z754" s="18" t="str">
        <f>""</f>
        <v/>
      </c>
      <c r="AA754" s="18" t="str">
        <f>""</f>
        <v/>
      </c>
      <c r="AB754" s="18" t="str">
        <f>""</f>
        <v/>
      </c>
      <c r="AC754" s="18" t="str">
        <f>""</f>
        <v/>
      </c>
      <c r="AD754" s="18" t="str">
        <f>""</f>
        <v/>
      </c>
      <c r="AE754" s="18" t="str">
        <f>""</f>
        <v/>
      </c>
      <c r="AF754" s="18" t="str">
        <f>""</f>
        <v/>
      </c>
      <c r="AG754" s="18" t="str">
        <f>""</f>
        <v/>
      </c>
      <c r="AH754" s="18" t="str">
        <f>""</f>
        <v/>
      </c>
      <c r="AI754" s="18" t="str">
        <f>""</f>
        <v/>
      </c>
      <c r="AJ754" s="18" t="str">
        <f>""</f>
        <v/>
      </c>
      <c r="AK754" s="18" t="str">
        <f>""</f>
        <v/>
      </c>
      <c r="AL754" s="18" t="str">
        <f>""</f>
        <v/>
      </c>
      <c r="AM754" s="18" t="str">
        <f>""</f>
        <v/>
      </c>
    </row>
    <row r="755" spans="1:39" ht="15.75" customHeight="1" x14ac:dyDescent="0.25">
      <c r="A755" s="19" t="str">
        <f>IF('Step 15 - Final Approval'!B52="","","Active")</f>
        <v/>
      </c>
      <c r="B755" s="20" t="str">
        <f>IF('Step 15 - Final Approval'!B52="","",'Step 15 - Final Approval'!B52)</f>
        <v/>
      </c>
      <c r="C755" s="20" t="str">
        <f>IF('Step 15 - Final Approval'!B52="","",'Step 15 - Final Approval'!B52)</f>
        <v/>
      </c>
      <c r="D755" s="19" t="str">
        <f>IF('Step 15 - Final Approval'!B52="","",'Step 15 - Final Approval'!G52)</f>
        <v/>
      </c>
      <c r="E755" s="19" t="str">
        <f>IF('Step 15 - Final Approval'!B52="","",'Step 15 - Final Approval'!H52)</f>
        <v/>
      </c>
      <c r="F755" s="20" t="str">
        <f>IF('Step 15 - Final Approval'!B52="","",IF('Step 15 - Final Approval'!C52="","","Fund Code"))</f>
        <v/>
      </c>
      <c r="G755" s="19" t="str">
        <f>IF('Step 15 - Final Approval'!B52="","",IF('Step 15 - Final Approval'!C52="","","Equals"))</f>
        <v/>
      </c>
      <c r="H755" s="20" t="str">
        <f>IF('Step 15 - Final Approval'!B52="","",IF('Step 15 - Final Approval'!C52="","",'Step 15 - Final Approval'!C52))</f>
        <v/>
      </c>
      <c r="I755" s="20" t="str">
        <f>IF('Step 15 - Final Approval'!B52="","","Organization Code")</f>
        <v/>
      </c>
      <c r="J755" s="19" t="str">
        <f>IF('Step 15 - Final Approval'!B52="","","Equals")</f>
        <v/>
      </c>
      <c r="K755" s="20" t="str">
        <f>IF('Step 15 - Final Approval'!B52="","",'Step 15 - Final Approval'!D52)</f>
        <v/>
      </c>
      <c r="L755" s="20" t="str">
        <f>IF('Step 15 - Final Approval'!B52="","","Other Criteria")</f>
        <v/>
      </c>
      <c r="M755" s="19" t="str">
        <f>IF('Step 15 - Final Approval'!B52="","","Equals")</f>
        <v/>
      </c>
      <c r="N755" s="20" t="str">
        <f>IF('Step 15 - Final Approval'!B52="","",'Step 15 - Final Approval'!E52)</f>
        <v/>
      </c>
      <c r="O755" s="20" t="str">
        <f>IF('Step 15 - Final Approval'!B52="","",IF('Step 15 - Final Approval'!F52="","","Total"))</f>
        <v/>
      </c>
      <c r="P755" s="19" t="str">
        <f>IF('Step 15 - Final Approval'!B52="","",IF('Step 15 - Final Approval'!F52="","","&gt;="))</f>
        <v/>
      </c>
      <c r="Q755" s="20" t="str">
        <f>IF('Step 15 - Final Approval'!B52="","",IF('Step 15 - Final Approval'!F52="","",'Step 15 - Final Approval'!F52))</f>
        <v/>
      </c>
      <c r="R755" s="20" t="str">
        <f>""</f>
        <v/>
      </c>
      <c r="S755" s="20" t="str">
        <f>""</f>
        <v/>
      </c>
      <c r="T755" s="20" t="str">
        <f>""</f>
        <v/>
      </c>
      <c r="U755" s="20" t="str">
        <f>IF('Step 15 - Final Approval'!B52="","",'Step 15 - Final Approval'!I52)</f>
        <v/>
      </c>
      <c r="V755" s="19" t="str">
        <f>IF('Step 15 - Final Approval'!B52="","",'Step 15 - Final Approval'!K52)</f>
        <v/>
      </c>
      <c r="W755" s="20" t="str">
        <f>IF('Step 15 - Final Approval'!B52="","",'Step 15 - Final Approval'!L52)</f>
        <v/>
      </c>
      <c r="X755" s="19" t="str">
        <f>IF('Step 15 - Final Approval'!B52="","",'Step 15 - Final Approval'!N52)</f>
        <v/>
      </c>
      <c r="Y755" s="20" t="str">
        <f>""</f>
        <v/>
      </c>
      <c r="Z755" s="20" t="str">
        <f>""</f>
        <v/>
      </c>
      <c r="AA755" s="20" t="str">
        <f>""</f>
        <v/>
      </c>
      <c r="AB755" s="20" t="str">
        <f>""</f>
        <v/>
      </c>
      <c r="AC755" s="20" t="str">
        <f>""</f>
        <v/>
      </c>
      <c r="AD755" s="20" t="str">
        <f>""</f>
        <v/>
      </c>
      <c r="AE755" s="20" t="str">
        <f>""</f>
        <v/>
      </c>
      <c r="AF755" s="20" t="str">
        <f>""</f>
        <v/>
      </c>
      <c r="AG755" s="20" t="str">
        <f>""</f>
        <v/>
      </c>
      <c r="AH755" s="20" t="str">
        <f>""</f>
        <v/>
      </c>
      <c r="AI755" s="20" t="str">
        <f>""</f>
        <v/>
      </c>
      <c r="AJ755" s="20" t="str">
        <f>""</f>
        <v/>
      </c>
      <c r="AK755" s="20" t="str">
        <f>""</f>
        <v/>
      </c>
      <c r="AL755" s="20" t="str">
        <f>""</f>
        <v/>
      </c>
      <c r="AM755" s="20" t="str">
        <f>""</f>
        <v/>
      </c>
    </row>
    <row r="756" spans="1:39" ht="15.75" customHeight="1" x14ac:dyDescent="0.25">
      <c r="A756" s="17" t="str">
        <f>IF('Step 15 - Final Approval'!B53="","","Active")</f>
        <v/>
      </c>
      <c r="B756" s="18" t="str">
        <f>IF('Step 15 - Final Approval'!B53="","",'Step 15 - Final Approval'!B53)</f>
        <v/>
      </c>
      <c r="C756" s="18" t="str">
        <f>IF('Step 15 - Final Approval'!B53="","",'Step 15 - Final Approval'!B53)</f>
        <v/>
      </c>
      <c r="D756" s="17" t="str">
        <f>IF('Step 15 - Final Approval'!B53="","",'Step 15 - Final Approval'!G53)</f>
        <v/>
      </c>
      <c r="E756" s="17" t="str">
        <f>IF('Step 15 - Final Approval'!B53="","",'Step 15 - Final Approval'!H53)</f>
        <v/>
      </c>
      <c r="F756" s="18" t="str">
        <f>IF('Step 15 - Final Approval'!B53="","",IF('Step 15 - Final Approval'!C53="","","Fund Code"))</f>
        <v/>
      </c>
      <c r="G756" s="17" t="str">
        <f>IF('Step 15 - Final Approval'!B53="","",IF('Step 15 - Final Approval'!C53="","","Equals"))</f>
        <v/>
      </c>
      <c r="H756" s="18" t="str">
        <f>IF('Step 15 - Final Approval'!B53="","",IF('Step 15 - Final Approval'!C53="","",'Step 15 - Final Approval'!C53))</f>
        <v/>
      </c>
      <c r="I756" s="18" t="str">
        <f>IF('Step 15 - Final Approval'!B53="","","Organization Code")</f>
        <v/>
      </c>
      <c r="J756" s="17" t="str">
        <f>IF('Step 15 - Final Approval'!B53="","","Equals")</f>
        <v/>
      </c>
      <c r="K756" s="18" t="str">
        <f>IF('Step 15 - Final Approval'!B53="","",'Step 15 - Final Approval'!D53)</f>
        <v/>
      </c>
      <c r="L756" s="18" t="str">
        <f>IF('Step 15 - Final Approval'!B53="","","Other Criteria")</f>
        <v/>
      </c>
      <c r="M756" s="17" t="str">
        <f>IF('Step 15 - Final Approval'!B53="","","Equals")</f>
        <v/>
      </c>
      <c r="N756" s="18" t="str">
        <f>IF('Step 15 - Final Approval'!B53="","",'Step 15 - Final Approval'!E53)</f>
        <v/>
      </c>
      <c r="O756" s="18" t="str">
        <f>IF('Step 15 - Final Approval'!B53="","",IF('Step 15 - Final Approval'!F53="","","Total"))</f>
        <v/>
      </c>
      <c r="P756" s="17" t="str">
        <f>IF('Step 15 - Final Approval'!B53="","",IF('Step 15 - Final Approval'!F53="","","&gt;="))</f>
        <v/>
      </c>
      <c r="Q756" s="18" t="str">
        <f>IF('Step 15 - Final Approval'!B53="","",IF('Step 15 - Final Approval'!F53="","",'Step 15 - Final Approval'!F53))</f>
        <v/>
      </c>
      <c r="R756" s="18" t="str">
        <f>""</f>
        <v/>
      </c>
      <c r="S756" s="18" t="str">
        <f>""</f>
        <v/>
      </c>
      <c r="T756" s="18" t="str">
        <f>""</f>
        <v/>
      </c>
      <c r="U756" s="18" t="str">
        <f>IF('Step 15 - Final Approval'!B53="","",'Step 15 - Final Approval'!I53)</f>
        <v/>
      </c>
      <c r="V756" s="17" t="str">
        <f>IF('Step 15 - Final Approval'!B53="","",'Step 15 - Final Approval'!K53)</f>
        <v/>
      </c>
      <c r="W756" s="18" t="str">
        <f>IF('Step 15 - Final Approval'!B53="","",'Step 15 - Final Approval'!L53)</f>
        <v/>
      </c>
      <c r="X756" s="17" t="str">
        <f>IF('Step 15 - Final Approval'!B53="","",'Step 15 - Final Approval'!N53)</f>
        <v/>
      </c>
      <c r="Y756" s="18" t="str">
        <f>""</f>
        <v/>
      </c>
      <c r="Z756" s="18" t="str">
        <f>""</f>
        <v/>
      </c>
      <c r="AA756" s="18" t="str">
        <f>""</f>
        <v/>
      </c>
      <c r="AB756" s="18" t="str">
        <f>""</f>
        <v/>
      </c>
      <c r="AC756" s="18" t="str">
        <f>""</f>
        <v/>
      </c>
      <c r="AD756" s="18" t="str">
        <f>""</f>
        <v/>
      </c>
      <c r="AE756" s="18" t="str">
        <f>""</f>
        <v/>
      </c>
      <c r="AF756" s="18" t="str">
        <f>""</f>
        <v/>
      </c>
      <c r="AG756" s="18" t="str">
        <f>""</f>
        <v/>
      </c>
      <c r="AH756" s="18" t="str">
        <f>""</f>
        <v/>
      </c>
      <c r="AI756" s="18" t="str">
        <f>""</f>
        <v/>
      </c>
      <c r="AJ756" s="18" t="str">
        <f>""</f>
        <v/>
      </c>
      <c r="AK756" s="18" t="str">
        <f>""</f>
        <v/>
      </c>
      <c r="AL756" s="18" t="str">
        <f>""</f>
        <v/>
      </c>
      <c r="AM756" s="18" t="str">
        <f>""</f>
        <v/>
      </c>
    </row>
    <row r="757" spans="1:39" ht="15.75" customHeight="1" x14ac:dyDescent="0.25">
      <c r="A757" s="19" t="str">
        <f>IF('Step 15 - Final Approval'!B54="","","Active")</f>
        <v/>
      </c>
      <c r="B757" s="20" t="str">
        <f>IF('Step 15 - Final Approval'!B54="","",'Step 15 - Final Approval'!B54)</f>
        <v/>
      </c>
      <c r="C757" s="20" t="str">
        <f>IF('Step 15 - Final Approval'!B54="","",'Step 15 - Final Approval'!B54)</f>
        <v/>
      </c>
      <c r="D757" s="19" t="str">
        <f>IF('Step 15 - Final Approval'!B54="","",'Step 15 - Final Approval'!G54)</f>
        <v/>
      </c>
      <c r="E757" s="19" t="str">
        <f>IF('Step 15 - Final Approval'!B54="","",'Step 15 - Final Approval'!H54)</f>
        <v/>
      </c>
      <c r="F757" s="20" t="str">
        <f>IF('Step 15 - Final Approval'!B54="","",IF('Step 15 - Final Approval'!C54="","","Fund Code"))</f>
        <v/>
      </c>
      <c r="G757" s="19" t="str">
        <f>IF('Step 15 - Final Approval'!B54="","",IF('Step 15 - Final Approval'!C54="","","Equals"))</f>
        <v/>
      </c>
      <c r="H757" s="20" t="str">
        <f>IF('Step 15 - Final Approval'!B54="","",IF('Step 15 - Final Approval'!C54="","",'Step 15 - Final Approval'!C54))</f>
        <v/>
      </c>
      <c r="I757" s="20" t="str">
        <f>IF('Step 15 - Final Approval'!B54="","","Organization Code")</f>
        <v/>
      </c>
      <c r="J757" s="19" t="str">
        <f>IF('Step 15 - Final Approval'!B54="","","Equals")</f>
        <v/>
      </c>
      <c r="K757" s="20" t="str">
        <f>IF('Step 15 - Final Approval'!B54="","",'Step 15 - Final Approval'!D54)</f>
        <v/>
      </c>
      <c r="L757" s="20" t="str">
        <f>IF('Step 15 - Final Approval'!B54="","","Other Criteria")</f>
        <v/>
      </c>
      <c r="M757" s="19" t="str">
        <f>IF('Step 15 - Final Approval'!B54="","","Equals")</f>
        <v/>
      </c>
      <c r="N757" s="20" t="str">
        <f>IF('Step 15 - Final Approval'!B54="","",'Step 15 - Final Approval'!E54)</f>
        <v/>
      </c>
      <c r="O757" s="20" t="str">
        <f>IF('Step 15 - Final Approval'!B54="","",IF('Step 15 - Final Approval'!F54="","","Total"))</f>
        <v/>
      </c>
      <c r="P757" s="19" t="str">
        <f>IF('Step 15 - Final Approval'!B54="","",IF('Step 15 - Final Approval'!F54="","","&gt;="))</f>
        <v/>
      </c>
      <c r="Q757" s="20" t="str">
        <f>IF('Step 15 - Final Approval'!B54="","",IF('Step 15 - Final Approval'!F54="","",'Step 15 - Final Approval'!F54))</f>
        <v/>
      </c>
      <c r="R757" s="20" t="str">
        <f>""</f>
        <v/>
      </c>
      <c r="S757" s="20" t="str">
        <f>""</f>
        <v/>
      </c>
      <c r="T757" s="20" t="str">
        <f>""</f>
        <v/>
      </c>
      <c r="U757" s="20" t="str">
        <f>IF('Step 15 - Final Approval'!B54="","",'Step 15 - Final Approval'!I54)</f>
        <v/>
      </c>
      <c r="V757" s="19" t="str">
        <f>IF('Step 15 - Final Approval'!B54="","",'Step 15 - Final Approval'!K54)</f>
        <v/>
      </c>
      <c r="W757" s="20" t="str">
        <f>IF('Step 15 - Final Approval'!B54="","",'Step 15 - Final Approval'!L54)</f>
        <v/>
      </c>
      <c r="X757" s="19" t="str">
        <f>IF('Step 15 - Final Approval'!B54="","",'Step 15 - Final Approval'!N54)</f>
        <v/>
      </c>
      <c r="Y757" s="20" t="str">
        <f>""</f>
        <v/>
      </c>
      <c r="Z757" s="20" t="str">
        <f>""</f>
        <v/>
      </c>
      <c r="AA757" s="20" t="str">
        <f>""</f>
        <v/>
      </c>
      <c r="AB757" s="20" t="str">
        <f>""</f>
        <v/>
      </c>
      <c r="AC757" s="20" t="str">
        <f>""</f>
        <v/>
      </c>
      <c r="AD757" s="20" t="str">
        <f>""</f>
        <v/>
      </c>
      <c r="AE757" s="20" t="str">
        <f>""</f>
        <v/>
      </c>
      <c r="AF757" s="20" t="str">
        <f>""</f>
        <v/>
      </c>
      <c r="AG757" s="20" t="str">
        <f>""</f>
        <v/>
      </c>
      <c r="AH757" s="20" t="str">
        <f>""</f>
        <v/>
      </c>
      <c r="AI757" s="20" t="str">
        <f>""</f>
        <v/>
      </c>
      <c r="AJ757" s="20" t="str">
        <f>""</f>
        <v/>
      </c>
      <c r="AK757" s="20" t="str">
        <f>""</f>
        <v/>
      </c>
      <c r="AL757" s="20" t="str">
        <f>""</f>
        <v/>
      </c>
      <c r="AM757" s="20" t="str">
        <f>""</f>
        <v/>
      </c>
    </row>
  </sheetData>
  <mergeCells count="17">
    <mergeCell ref="A1:AM1"/>
    <mergeCell ref="A2:AM2"/>
    <mergeCell ref="A7:AM7"/>
    <mergeCell ref="A57:AM57"/>
    <mergeCell ref="A107:AM107"/>
    <mergeCell ref="A157:AM157"/>
    <mergeCell ref="A207:AM207"/>
    <mergeCell ref="A257:AM257"/>
    <mergeCell ref="A307:AM307"/>
    <mergeCell ref="A357:AM357"/>
    <mergeCell ref="A657:AM657"/>
    <mergeCell ref="A707:AM707"/>
    <mergeCell ref="A407:AM407"/>
    <mergeCell ref="A457:AM457"/>
    <mergeCell ref="A507:AM507"/>
    <mergeCell ref="A557:AM557"/>
    <mergeCell ref="A607:AM607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2fd06c-bfa0-495f-a3ae-211305773922" xsi:nil="true"/>
    <lcf76f155ced4ddcb4097134ff3c332f xmlns="9c6a061e-6d2b-4470-8056-a52a3b6c7f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28CC6384DE4445BCA387129E495F85" ma:contentTypeVersion="10" ma:contentTypeDescription="Create a new document." ma:contentTypeScope="" ma:versionID="84e066d6545e536dbec1e43d49448348">
  <xsd:schema xmlns:xsd="http://www.w3.org/2001/XMLSchema" xmlns:xs="http://www.w3.org/2001/XMLSchema" xmlns:p="http://schemas.microsoft.com/office/2006/metadata/properties" xmlns:ns2="9c6a061e-6d2b-4470-8056-a52a3b6c7fc0" xmlns:ns3="6b2fd06c-bfa0-495f-a3ae-211305773922" targetNamespace="http://schemas.microsoft.com/office/2006/metadata/properties" ma:root="true" ma:fieldsID="3e414b5eb5c2553013a61ceba7fd8d1d" ns2:_="" ns3:_="">
    <xsd:import namespace="9c6a061e-6d2b-4470-8056-a52a3b6c7fc0"/>
    <xsd:import namespace="6b2fd06c-bfa0-495f-a3ae-2113057739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a061e-6d2b-4470-8056-a52a3b6c7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e3fc5e-ebc5-4067-97c8-de4b71dd63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fd06c-bfa0-495f-a3ae-2113057739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689c9-7f53-4146-9c91-173471416000}" ma:internalName="TaxCatchAll" ma:showField="CatchAllData" ma:web="6b2fd06c-bfa0-495f-a3ae-2113057739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3E4AC-1A95-40EF-A258-E113A0ED7383}">
  <ds:schemaRefs>
    <ds:schemaRef ds:uri="http://schemas.microsoft.com/office/2006/metadata/properties"/>
    <ds:schemaRef ds:uri="http://schemas.microsoft.com/office/infopath/2007/PartnerControls"/>
    <ds:schemaRef ds:uri="6b2fd06c-bfa0-495f-a3ae-211305773922"/>
    <ds:schemaRef ds:uri="9c6a061e-6d2b-4470-8056-a52a3b6c7fc0"/>
  </ds:schemaRefs>
</ds:datastoreItem>
</file>

<file path=customXml/itemProps2.xml><?xml version="1.0" encoding="utf-8"?>
<ds:datastoreItem xmlns:ds="http://schemas.openxmlformats.org/officeDocument/2006/customXml" ds:itemID="{A467869A-3461-4899-A114-122C3523A6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FFFA4F-725D-4431-9C55-F86A1323E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6a061e-6d2b-4470-8056-a52a3b6c7fc0"/>
    <ds:schemaRef ds:uri="6b2fd06c-bfa0-495f-a3ae-2113057739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Step 1 - Budget Manager</vt:lpstr>
      <vt:lpstr>Step 2 - Special</vt:lpstr>
      <vt:lpstr>Step 3 - Dean-Director-AVP</vt:lpstr>
      <vt:lpstr>Step 4 - Vice President</vt:lpstr>
      <vt:lpstr>Step 5 - President</vt:lpstr>
      <vt:lpstr>Step 6 - Purchasing</vt:lpstr>
      <vt:lpstr>Step 7 - Dept Head</vt:lpstr>
      <vt:lpstr>Step 8 - Controller</vt:lpstr>
      <vt:lpstr>Step 9 - CFO</vt:lpstr>
      <vt:lpstr>Step 10 - Provost</vt:lpstr>
      <vt:lpstr>Step 11 - Board</vt:lpstr>
      <vt:lpstr>Step 12 - Legal</vt:lpstr>
      <vt:lpstr>Step 13 - Compliance</vt:lpstr>
      <vt:lpstr>Step 14 - IT Review</vt:lpstr>
      <vt:lpstr>Step 15 - Final Approval</vt:lpstr>
      <vt:lpstr>ESM Import (SC Use)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Whitney Walden</cp:lastModifiedBy>
  <cp:revision>0</cp:revision>
  <dcterms:created xsi:type="dcterms:W3CDTF">2026-04-14T20:30:51Z</dcterms:created>
  <dcterms:modified xsi:type="dcterms:W3CDTF">2026-06-04T19:06:04Z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0x010100A228CC6384DE4445BCA387129E495F85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{"FileActivityType":"9","FileActivityTimeStamp":"2026-04-14T20:51:57.677Z","FileActivityUsersOnPage":[{"DisplayName":"Whitney Walden","Id":"wwalden@eschoolmall.com"},{"DisplayName":"Norris Garrison","Id":"ngarrison@eschoolmall.com"},{"DisplayName":"Erica Weidner","Id":"eweidner@eschoolmall.com"},{"DisplayName":"Xiaoying Wang","Id":"xwang@eschoolmall.com"},{"DisplayName":"Josh Lederhandler","Id":"jlederhandler@eschoolmall.com"},{"DisplayName":"Ebby Ezemaduka","Id":"eezemaduka@esmsolutions.com"},{"DisplayName":"Vincent Gallo","Id":"vgallo@eschoolmall.com"}],"FileActivityNavigationId":null}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